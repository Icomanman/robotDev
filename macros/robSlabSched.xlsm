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0" yWindow="0" windowWidth="23040" windowHeight="9780" activeTab="1"/>
  </bookViews>
  <sheets>
    <sheet name="BeamSum" sheetId="2" r:id="rId1"/>
    <sheet name="sched" sheetId="1" r:id="rId2"/>
  </sheets>
  <functionGroups builtInGroupCount="18"/>
  <definedNames>
    <definedName name="clrCover">BeamSum!$B$8</definedName>
    <definedName name="fc">BeamSum!$B$1</definedName>
    <definedName name="fy">BeamSum!$B$2</definedName>
    <definedName name="fys">BeamSum!#REF!</definedName>
    <definedName name="minSpac">BeamSum!$B$7</definedName>
    <definedName name="phi">BeamSum!$B$4</definedName>
    <definedName name="phiV">BeamSum!$C$4</definedName>
    <definedName name="phiVc">BeamSum!$B$3</definedName>
    <definedName name="rhoMax">BeamSum!$B$6</definedName>
    <definedName name="rhoMin">BeamSum!$B$5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9" i="2" l="1"/>
  <c r="O19" i="2" s="1"/>
  <c r="L19" i="2"/>
  <c r="B19" i="2"/>
  <c r="N18" i="2"/>
  <c r="L18" i="2" s="1"/>
  <c r="B14" i="2"/>
  <c r="J13" i="2"/>
  <c r="B3" i="2"/>
  <c r="D2" i="2"/>
  <c r="D1" i="2"/>
  <c r="O18" i="2" l="1"/>
  <c r="J18" i="2"/>
  <c r="B16" i="2" s="1"/>
  <c r="J19" i="2"/>
  <c r="B21" i="2" s="1"/>
  <c r="Q18" i="2"/>
  <c r="R18" i="2" s="1"/>
  <c r="S18" i="2" s="1"/>
  <c r="Q19" i="2"/>
  <c r="R19" i="2" s="1"/>
  <c r="S19" i="2" s="1"/>
  <c r="B20" i="2" l="1"/>
  <c r="B15" i="2"/>
</calcChain>
</file>

<file path=xl/sharedStrings.xml><?xml version="1.0" encoding="utf-8"?>
<sst xmlns="http://schemas.openxmlformats.org/spreadsheetml/2006/main" count="545" uniqueCount="92">
  <si>
    <t>f'c =</t>
  </si>
  <si>
    <t>MPa</t>
  </si>
  <si>
    <t>ksi</t>
  </si>
  <si>
    <t>fy =</t>
  </si>
  <si>
    <t>phi * vc =</t>
  </si>
  <si>
    <t xml:space="preserve">phi = </t>
  </si>
  <si>
    <t>rho min =</t>
  </si>
  <si>
    <t>rho max =</t>
  </si>
  <si>
    <t>minSpac =</t>
  </si>
  <si>
    <t>mm</t>
  </si>
  <si>
    <t>clrCover =</t>
  </si>
  <si>
    <t>B1</t>
  </si>
  <si>
    <t>Beam</t>
  </si>
  <si>
    <t>P</t>
  </si>
  <si>
    <t>Vy</t>
  </si>
  <si>
    <t>Vz</t>
  </si>
  <si>
    <t>My</t>
  </si>
  <si>
    <t>Mz</t>
  </si>
  <si>
    <t>b =</t>
  </si>
  <si>
    <t>kN</t>
  </si>
  <si>
    <t>kNm</t>
  </si>
  <si>
    <t>links:</t>
  </si>
  <si>
    <t>fys =</t>
  </si>
  <si>
    <t>h =</t>
  </si>
  <si>
    <t>main:</t>
  </si>
  <si>
    <t>Top</t>
  </si>
  <si>
    <t>mainAst:</t>
  </si>
  <si>
    <t>mm2</t>
  </si>
  <si>
    <t>d =</t>
  </si>
  <si>
    <t>As (mm2) =</t>
  </si>
  <si>
    <t>mCap (kNm)=</t>
  </si>
  <si>
    <t>vu</t>
  </si>
  <si>
    <t>vs</t>
  </si>
  <si>
    <t>legs</t>
  </si>
  <si>
    <t>linkSpac</t>
  </si>
  <si>
    <t>( + Side, bottom for Robot)</t>
  </si>
  <si>
    <t>Design Data</t>
  </si>
  <si>
    <t>pcs</t>
  </si>
  <si>
    <t>spac</t>
  </si>
  <si>
    <t>layers</t>
  </si>
  <si>
    <t>basePc</t>
  </si>
  <si>
    <t>inLayer</t>
  </si>
  <si>
    <t>Bottom</t>
  </si>
  <si>
    <t>rho =</t>
  </si>
  <si>
    <t>MIDSPAN</t>
  </si>
  <si>
    <t>TYPE</t>
  </si>
  <si>
    <t>REMARKS</t>
  </si>
  <si>
    <t>SLAB  MARK</t>
  </si>
  <si>
    <t>SUPPORT</t>
  </si>
  <si>
    <t>PRIMARY (1)</t>
  </si>
  <si>
    <t>SECONDARY (2)</t>
  </si>
  <si>
    <t>TOP BARS (T1)</t>
  </si>
  <si>
    <t>BOTTOM BARS (B1)</t>
  </si>
  <si>
    <t>TOP BARS (T2)</t>
  </si>
  <si>
    <t>BOTTOM BARS (B2)</t>
  </si>
  <si>
    <t>REINFORCEMENTS</t>
  </si>
  <si>
    <t>THICKNESS (mm)</t>
  </si>
  <si>
    <t>S1</t>
  </si>
  <si>
    <t>S2</t>
  </si>
  <si>
    <t>S3</t>
  </si>
  <si>
    <t>S4</t>
  </si>
  <si>
    <t>ONE-WAY</t>
  </si>
  <si>
    <t>POST-TENSIONED</t>
  </si>
  <si>
    <t>PTS-1</t>
  </si>
  <si>
    <t>S4a</t>
  </si>
  <si>
    <t>TWO-WAY</t>
  </si>
  <si>
    <t>PTS-2</t>
  </si>
  <si>
    <t>PTS-3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</si>
  <si>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</si>
  <si>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</si>
  <si>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</si>
  <si>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</si>
  <si>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</si>
  <si>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</si>
  <si>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</si>
  <si>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</si>
  <si>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</si>
  <si>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</si>
  <si>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</si>
  <si>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</si>
  <si>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</si>
  <si>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(2ND) SECOND FLOOR</t>
  </si>
  <si>
    <t>(3F) THIRD FLOOR</t>
  </si>
  <si>
    <t>S18</t>
  </si>
  <si>
    <t>(4F) FOURTH FLOOR</t>
  </si>
  <si>
    <t>(5F) FIFTH FLOOR</t>
  </si>
  <si>
    <t>SEE PT DRAWINGS</t>
  </si>
  <si>
    <t>(MZ) MEZZANINE FLOOR</t>
  </si>
  <si>
    <t>10@200</t>
  </si>
  <si>
    <t>10@250</t>
  </si>
  <si>
    <t>10@125</t>
  </si>
  <si>
    <t>10@100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</si>
</sst>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1" x14ac:knownFonts="1">
    <font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8"/>
      <color theme="1"/>
      <name val="Arial"/>
      <family val="2"/>
    </font>
    <font>
      <sz val="12"/>
      <color theme="1"/>
      <name val="RomanD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2" fillId="0" borderId="6" xfId="0" applyFont="1" applyBorder="1" applyAlignment="1">
      <alignment horizontal="center" vertical="center"/>
    </xf>
    <xf numFmtId="0" fontId="1" fillId="0" borderId="6" xfId="0" quotePrefix="1" applyFont="1" applyBorder="1" applyAlignment="1">
      <alignment horizontal="center" vertical="center"/>
    </xf>
    <xf numFmtId="2" fontId="8" fillId="2" borderId="6" xfId="0" applyNumberFormat="1" applyFont="1" applyFill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1" fontId="1" fillId="0" borderId="6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4" fontId="1" fillId="0" borderId="6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165" fontId="1" fillId="0" borderId="10" xfId="0" applyNumberFormat="1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0" borderId="11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</cellXfs>
  <cellStyles count="1">
    <cellStyle name="Normal" xfId="0" builtinId="0"/>
  </cellStyles>
  <dxfs count="4"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2"/>
  <sheetViews>
    <sheetView workbookViewId="0">
      <selection activeCell="B30" sqref="B30"/>
    </sheetView>
  </sheetViews>
  <sheetFormatPr defaultRowHeight="13.2" x14ac:dyDescent="0.25"/>
  <cols>
    <col min="1" max="1" width="16.77734375" style="37" customWidth="1"/>
    <col min="2" max="7" width="10.77734375" style="5" customWidth="1"/>
    <col min="8" max="8" width="2.77734375" style="5" customWidth="1"/>
    <col min="9" max="9" width="12.77734375" style="5" customWidth="1"/>
    <col min="10" max="10" width="10.77734375" style="5" customWidth="1"/>
    <col min="11" max="11" width="6.77734375" style="7" customWidth="1"/>
    <col min="12" max="12" width="10.77734375" style="8" customWidth="1"/>
    <col min="13" max="14" width="10.77734375" style="5" customWidth="1"/>
    <col min="15" max="15" width="8.88671875" style="5"/>
    <col min="16" max="16" width="2.77734375" style="5" customWidth="1"/>
    <col min="17" max="19" width="6.77734375" style="5" customWidth="1"/>
    <col min="20" max="16384" width="8.88671875" style="5"/>
  </cols>
  <sheetData>
    <row r="1" spans="1:20" x14ac:dyDescent="0.25">
      <c r="A1" s="1" t="s">
        <v>0</v>
      </c>
      <c r="B1" s="2">
        <v>27.5</v>
      </c>
      <c r="C1" s="3" t="s">
        <v>1</v>
      </c>
      <c r="D1" s="4">
        <f>B1*145.0377/1000</f>
        <v>3.9885367500000002</v>
      </c>
      <c r="E1" s="3" t="s">
        <v>2</v>
      </c>
      <c r="H1" s="6">
        <v>16</v>
      </c>
    </row>
    <row r="2" spans="1:20" x14ac:dyDescent="0.25">
      <c r="A2" s="1" t="s">
        <v>3</v>
      </c>
      <c r="B2" s="2">
        <v>414</v>
      </c>
      <c r="C2" s="3" t="s">
        <v>1</v>
      </c>
      <c r="D2" s="4">
        <f>B2*145.0377/1000</f>
        <v>60.045607799999999</v>
      </c>
      <c r="E2" s="3" t="s">
        <v>2</v>
      </c>
      <c r="H2" s="6">
        <v>20</v>
      </c>
    </row>
    <row r="3" spans="1:20" x14ac:dyDescent="0.25">
      <c r="A3" s="1" t="s">
        <v>4</v>
      </c>
      <c r="B3" s="9">
        <f>0.75*0.17*SQRT(fc)</f>
        <v>0.66861564070847157</v>
      </c>
      <c r="C3" s="3" t="s">
        <v>1</v>
      </c>
      <c r="D3" s="7"/>
      <c r="E3" s="7"/>
      <c r="H3" s="6"/>
    </row>
    <row r="4" spans="1:20" x14ac:dyDescent="0.25">
      <c r="A4" s="1" t="s">
        <v>5</v>
      </c>
      <c r="B4" s="2">
        <v>0.9</v>
      </c>
      <c r="C4" s="2">
        <v>0.75</v>
      </c>
      <c r="D4" s="7"/>
      <c r="E4" s="7"/>
      <c r="H4" s="6"/>
    </row>
    <row r="5" spans="1:20" x14ac:dyDescent="0.25">
      <c r="A5" s="1" t="s">
        <v>6</v>
      </c>
      <c r="B5" s="2">
        <v>3.3E-3</v>
      </c>
      <c r="H5" s="6">
        <v>1</v>
      </c>
    </row>
    <row r="6" spans="1:20" x14ac:dyDescent="0.25">
      <c r="A6" s="1" t="s">
        <v>7</v>
      </c>
      <c r="B6" s="2">
        <v>2.1399999999999999E-2</v>
      </c>
      <c r="H6" s="6">
        <v>2</v>
      </c>
    </row>
    <row r="7" spans="1:20" x14ac:dyDescent="0.25">
      <c r="A7" s="1" t="s">
        <v>8</v>
      </c>
      <c r="B7" s="2">
        <v>30</v>
      </c>
      <c r="C7" s="3" t="s">
        <v>9</v>
      </c>
      <c r="H7" s="6">
        <v>50</v>
      </c>
    </row>
    <row r="8" spans="1:20" x14ac:dyDescent="0.25">
      <c r="A8" s="1" t="s">
        <v>10</v>
      </c>
      <c r="B8" s="2">
        <v>40</v>
      </c>
      <c r="C8" s="3" t="s">
        <v>9</v>
      </c>
      <c r="H8" s="6">
        <v>75</v>
      </c>
    </row>
    <row r="9" spans="1:20" x14ac:dyDescent="0.25">
      <c r="A9" s="10"/>
      <c r="H9" s="6">
        <v>100</v>
      </c>
    </row>
    <row r="10" spans="1:20" x14ac:dyDescent="0.25">
      <c r="A10" s="11" t="s">
        <v>11</v>
      </c>
      <c r="B10" s="12" t="s">
        <v>12</v>
      </c>
      <c r="C10" s="12" t="s">
        <v>13</v>
      </c>
      <c r="D10" s="12" t="s">
        <v>14</v>
      </c>
      <c r="E10" s="12" t="s">
        <v>15</v>
      </c>
      <c r="F10" s="12" t="s">
        <v>16</v>
      </c>
      <c r="G10" s="13" t="s">
        <v>17</v>
      </c>
      <c r="H10" s="6">
        <v>125</v>
      </c>
      <c r="I10" s="1"/>
      <c r="J10" s="2"/>
      <c r="K10" s="3"/>
    </row>
    <row r="11" spans="1:20" x14ac:dyDescent="0.25">
      <c r="A11" s="14" t="s">
        <v>18</v>
      </c>
      <c r="B11" s="15">
        <v>400</v>
      </c>
      <c r="C11" s="16" t="s">
        <v>19</v>
      </c>
      <c r="D11" s="16" t="s">
        <v>19</v>
      </c>
      <c r="E11" s="16" t="s">
        <v>19</v>
      </c>
      <c r="F11" s="16" t="s">
        <v>20</v>
      </c>
      <c r="G11" s="17" t="s">
        <v>20</v>
      </c>
      <c r="H11" s="6">
        <v>150</v>
      </c>
      <c r="I11" s="18" t="s">
        <v>21</v>
      </c>
      <c r="J11" s="19">
        <v>10</v>
      </c>
      <c r="K11" s="20" t="s">
        <v>9</v>
      </c>
      <c r="L11" s="1" t="s">
        <v>22</v>
      </c>
      <c r="M11" s="2">
        <v>275</v>
      </c>
      <c r="N11" s="3" t="s">
        <v>1</v>
      </c>
      <c r="O11" s="4"/>
      <c r="P11" s="3"/>
    </row>
    <row r="12" spans="1:20" x14ac:dyDescent="0.25">
      <c r="A12" s="14" t="s">
        <v>23</v>
      </c>
      <c r="B12" s="15">
        <v>800</v>
      </c>
      <c r="C12" s="21">
        <v>-341.27127891908583</v>
      </c>
      <c r="D12" s="22">
        <v>4.6912278343216958</v>
      </c>
      <c r="E12" s="22">
        <v>0</v>
      </c>
      <c r="F12" s="22">
        <v>180.8742775428862</v>
      </c>
      <c r="G12" s="23">
        <v>0</v>
      </c>
      <c r="H12" s="6">
        <v>175</v>
      </c>
      <c r="I12" s="18" t="s">
        <v>24</v>
      </c>
      <c r="J12" s="19">
        <v>20</v>
      </c>
      <c r="K12" s="20" t="s">
        <v>9</v>
      </c>
    </row>
    <row r="13" spans="1:20" x14ac:dyDescent="0.25">
      <c r="A13" s="24" t="s">
        <v>25</v>
      </c>
      <c r="B13" s="16"/>
      <c r="C13" s="21">
        <v>363.94390349284157</v>
      </c>
      <c r="D13" s="22">
        <v>0</v>
      </c>
      <c r="E13" s="22">
        <v>-270.71449968105986</v>
      </c>
      <c r="F13" s="22">
        <v>0</v>
      </c>
      <c r="G13" s="23">
        <v>3.7661603512786321</v>
      </c>
      <c r="H13" s="6">
        <v>200</v>
      </c>
      <c r="I13" s="18" t="s">
        <v>26</v>
      </c>
      <c r="J13" s="25">
        <f>IF(J12=16,201,IF(J12=20,314,IF(J12=25,490,"Err")))</f>
        <v>314</v>
      </c>
      <c r="K13" s="20" t="s">
        <v>27</v>
      </c>
    </row>
    <row r="14" spans="1:20" x14ac:dyDescent="0.25">
      <c r="A14" s="14" t="s">
        <v>28</v>
      </c>
      <c r="B14" s="26">
        <f>B12-clrCover-J11-(IF(M18&gt;1,1.5*J12,0.5*J12))</f>
        <v>720</v>
      </c>
      <c r="C14" s="22">
        <v>316.4486959693009</v>
      </c>
      <c r="D14" s="21">
        <v>-10.281231997026964</v>
      </c>
      <c r="E14" s="22">
        <v>-237.65116551678614</v>
      </c>
      <c r="F14" s="22">
        <v>-303.47007362379634</v>
      </c>
      <c r="G14" s="23">
        <v>6.3130654931100194</v>
      </c>
      <c r="H14" s="6">
        <v>250</v>
      </c>
    </row>
    <row r="15" spans="1:20" x14ac:dyDescent="0.25">
      <c r="A15" s="14" t="s">
        <v>29</v>
      </c>
      <c r="B15" s="27">
        <f>B11*B14*J18</f>
        <v>3140.0000000000005</v>
      </c>
      <c r="C15" s="22">
        <v>309.8627530419468</v>
      </c>
      <c r="D15" s="21">
        <v>12.115234398066598</v>
      </c>
      <c r="E15" s="22">
        <v>156.50333204943314</v>
      </c>
      <c r="F15" s="22">
        <v>-69.401356149876051</v>
      </c>
      <c r="G15" s="23">
        <v>-4.8125170558896411</v>
      </c>
      <c r="H15" s="6">
        <v>300</v>
      </c>
    </row>
    <row r="16" spans="1:20" x14ac:dyDescent="0.25">
      <c r="A16" s="14" t="s">
        <v>30</v>
      </c>
      <c r="B16" s="28">
        <f>-phi*B11*(B14^2)*J18*fy*(1-(0.588*J18*fy/fc))/1000000</f>
        <v>-761.07471963211651</v>
      </c>
      <c r="C16" s="22">
        <v>357.9841945176691</v>
      </c>
      <c r="D16" s="22">
        <v>-3.0146253676294674</v>
      </c>
      <c r="E16" s="21">
        <v>-418.71193313796886</v>
      </c>
      <c r="F16" s="22">
        <v>-715.69639511928096</v>
      </c>
      <c r="G16" s="23">
        <v>2.0419285015238904</v>
      </c>
      <c r="Q16" s="29" t="s">
        <v>31</v>
      </c>
      <c r="R16" s="29" t="s">
        <v>32</v>
      </c>
      <c r="S16" s="29" t="s">
        <v>33</v>
      </c>
      <c r="T16" s="29" t="s">
        <v>34</v>
      </c>
    </row>
    <row r="17" spans="1:20" x14ac:dyDescent="0.25">
      <c r="A17" s="30" t="s">
        <v>35</v>
      </c>
      <c r="B17" s="16"/>
      <c r="C17" s="22">
        <v>-230.79125612651347</v>
      </c>
      <c r="D17" s="22">
        <v>-2.548013195107913</v>
      </c>
      <c r="E17" s="21">
        <v>419.94713282254139</v>
      </c>
      <c r="F17" s="22">
        <v>-704.74600312658288</v>
      </c>
      <c r="G17" s="23">
        <v>-1.6075816584200082</v>
      </c>
      <c r="I17" s="42" t="s">
        <v>36</v>
      </c>
      <c r="J17" s="42"/>
      <c r="K17" s="29" t="s">
        <v>37</v>
      </c>
      <c r="L17" s="29" t="s">
        <v>38</v>
      </c>
      <c r="M17" s="29" t="s">
        <v>39</v>
      </c>
      <c r="N17" s="29" t="s">
        <v>40</v>
      </c>
      <c r="O17" s="29" t="s">
        <v>41</v>
      </c>
      <c r="Q17" s="43" t="s">
        <v>1</v>
      </c>
      <c r="R17" s="44"/>
      <c r="S17" s="29" t="s">
        <v>37</v>
      </c>
      <c r="T17" s="29" t="s">
        <v>9</v>
      </c>
    </row>
    <row r="18" spans="1:20" x14ac:dyDescent="0.25">
      <c r="A18" s="24" t="s">
        <v>42</v>
      </c>
      <c r="B18" s="16"/>
      <c r="C18" s="22">
        <v>357.9841945176691</v>
      </c>
      <c r="D18" s="22">
        <v>-3.0146253676294674</v>
      </c>
      <c r="E18" s="22">
        <v>-418.71193313796886</v>
      </c>
      <c r="F18" s="21">
        <v>-715.69639511928096</v>
      </c>
      <c r="G18" s="23">
        <v>2.0419285015238904</v>
      </c>
      <c r="I18" s="18" t="s">
        <v>43</v>
      </c>
      <c r="J18" s="31">
        <f>MAX(rhoMin,(K18*J13/(B11*B14)))</f>
        <v>1.0902777777777779E-2</v>
      </c>
      <c r="K18" s="19">
        <v>10</v>
      </c>
      <c r="L18" s="25">
        <f>IF(M18&lt;2,(B11-(2*(J11+clrCover))-(K18*J12))/(K18-1),(B11-(2*(J11+clrCover))-(N18*J12))/((N18)-1))</f>
        <v>50</v>
      </c>
      <c r="M18" s="19">
        <v>2</v>
      </c>
      <c r="N18" s="29">
        <f>IF(M18&lt;2,K18,CEILING(K18/2,1))</f>
        <v>5</v>
      </c>
      <c r="O18" s="29">
        <f>K18-N18</f>
        <v>5</v>
      </c>
      <c r="Q18" s="32">
        <f>MAX(ABS(E16),ABS(E17))*1000/(B14*B11)</f>
        <v>1.4581497667449355</v>
      </c>
      <c r="R18" s="32">
        <f>Q18-phiVc</f>
        <v>0.78953412603646389</v>
      </c>
      <c r="S18" s="33">
        <f>R18*T18*B11/(phiV*M11*0.25*PI()*(J11^2))</f>
        <v>1.9496069259394748</v>
      </c>
      <c r="T18" s="19">
        <v>100</v>
      </c>
    </row>
    <row r="19" spans="1:20" x14ac:dyDescent="0.25">
      <c r="A19" s="14" t="s">
        <v>28</v>
      </c>
      <c r="B19" s="26">
        <f>B12-clrCover-J11-(IF(M19&gt;1,1.5*J12,0.5*J12))</f>
        <v>740</v>
      </c>
      <c r="C19" s="22">
        <v>30.273511268746741</v>
      </c>
      <c r="D19" s="22">
        <v>0.43764155444902131</v>
      </c>
      <c r="E19" s="22">
        <v>0.92234555728470624</v>
      </c>
      <c r="F19" s="21">
        <v>230.31679411340178</v>
      </c>
      <c r="G19" s="23">
        <v>0.18665405146127823</v>
      </c>
      <c r="I19" s="18" t="s">
        <v>43</v>
      </c>
      <c r="J19" s="31">
        <f>MAX(rhoMin,(K19*J13/(B11*B14)))</f>
        <v>3.3E-3</v>
      </c>
      <c r="K19" s="19">
        <v>2</v>
      </c>
      <c r="L19" s="25">
        <f>IF(M19&lt;2,(B11-(2*(J11+clrCover))-(K19*J12))/(K19-1),(B11-(2*(J11+clrCover))-(N19*J12))/((N19)-1))</f>
        <v>260</v>
      </c>
      <c r="M19" s="19">
        <v>1</v>
      </c>
      <c r="N19" s="29">
        <f>IF(M19&lt;2,K19,CEILING(K19/2,1))</f>
        <v>2</v>
      </c>
      <c r="O19" s="29">
        <f>K19-N19</f>
        <v>0</v>
      </c>
      <c r="Q19" s="32">
        <f>MAX(ABS(E16),ABS(E17))*1000/(B19*B11)</f>
        <v>1.418740313589667</v>
      </c>
      <c r="R19" s="32">
        <f>Q19-phiVc</f>
        <v>0.75012467288119544</v>
      </c>
      <c r="S19" s="33">
        <f>R19*T19*B11/(phiV*M11*0.25*PI()*(J11^2))</f>
        <v>1.8522926487153766</v>
      </c>
      <c r="T19" s="19">
        <v>100</v>
      </c>
    </row>
    <row r="20" spans="1:20" x14ac:dyDescent="0.25">
      <c r="A20" s="14" t="s">
        <v>29</v>
      </c>
      <c r="B20" s="27">
        <f>B11*B19*J19</f>
        <v>976.8</v>
      </c>
      <c r="C20" s="22">
        <v>-270.94855787234667</v>
      </c>
      <c r="D20" s="22">
        <v>-8.6233282532042921</v>
      </c>
      <c r="E20" s="22">
        <v>181.82087362107475</v>
      </c>
      <c r="F20" s="22">
        <v>-231.50833334349056</v>
      </c>
      <c r="G20" s="21">
        <v>-5.2647151839700239</v>
      </c>
    </row>
    <row r="21" spans="1:20" x14ac:dyDescent="0.25">
      <c r="A21" s="34" t="s">
        <v>30</v>
      </c>
      <c r="B21" s="35">
        <f>phi*B11*(B19^2)*J19*fy*(1-(0.588*J19*fy/fc))/1000000</f>
        <v>261.45966003247418</v>
      </c>
      <c r="C21" s="36">
        <v>309.8627530419468</v>
      </c>
      <c r="D21" s="36">
        <v>12.115234398066598</v>
      </c>
      <c r="E21" s="36">
        <v>231.78546009044817</v>
      </c>
      <c r="F21" s="36">
        <v>-263.33227196201852</v>
      </c>
      <c r="G21" s="21">
        <v>7.3027174368272263</v>
      </c>
    </row>
    <row r="22" spans="1:20" x14ac:dyDescent="0.25">
      <c r="A22" s="10"/>
    </row>
  </sheetData>
  <dataConsolidate/>
  <mergeCells count="2">
    <mergeCell ref="I17:J17"/>
    <mergeCell ref="Q17:R17"/>
  </mergeCells>
  <conditionalFormatting sqref="J18:J19">
    <cfRule type="cellIs" dxfId="3" priority="4" operator="greaterThanOrEqual">
      <formula>$B$6</formula>
    </cfRule>
  </conditionalFormatting>
  <conditionalFormatting sqref="L18:L19">
    <cfRule type="cellIs" dxfId="2" priority="3" operator="lessThan">
      <formula>$B$7</formula>
    </cfRule>
  </conditionalFormatting>
  <conditionalFormatting sqref="B16">
    <cfRule type="cellIs" dxfId="1" priority="2" operator="greaterThan">
      <formula>$F$18</formula>
    </cfRule>
  </conditionalFormatting>
  <conditionalFormatting sqref="B21">
    <cfRule type="cellIs" dxfId="0" priority="1" operator="lessThanOrEqual">
      <formula>$F$19</formula>
    </cfRule>
  </conditionalFormatting>
  <dataValidations count="3">
    <dataValidation type="list" allowBlank="1" showInputMessage="1" showErrorMessage="1" sqref="T18:T19">
      <formula1>$H$7:$H$15</formula1>
    </dataValidation>
    <dataValidation type="list" allowBlank="1" showInputMessage="1" showErrorMessage="1" sqref="J10 M18:M19">
      <formula1>$H$5:$H$6</formula1>
    </dataValidation>
    <dataValidation type="list" allowBlank="1" showInputMessage="1" showErrorMessage="1" sqref="J12">
      <formula1>$H$1:$H$2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L64"/>
  <sheetViews>
    <sheetView tabSelected="1" zoomScaleNormal="100" workbookViewId="0">
      <selection activeCell="A7" sqref="A7:L7"/>
    </sheetView>
  </sheetViews>
  <sheetFormatPr defaultRowHeight="19.8" x14ac:dyDescent="0.3"/>
  <cols>
    <col min="1" max="1" width="12.77734375" style="38" customWidth="1"/>
    <col min="2" max="2" width="24.77734375" style="38" customWidth="1"/>
    <col min="3" max="11" width="16.77734375" style="38" customWidth="1"/>
    <col min="12" max="12" width="28.77734375" style="38" customWidth="1"/>
    <col min="13" max="16384" width="8.88671875" style="38"/>
  </cols>
  <sheetData>
    <row r="3" spans="1:12" x14ac:dyDescent="0.3">
      <c r="A3" s="52" t="s">
        <v>47</v>
      </c>
      <c r="B3" s="51" t="s">
        <v>45</v>
      </c>
      <c r="C3" s="52" t="s">
        <v>56</v>
      </c>
      <c r="D3" s="48" t="s">
        <v>55</v>
      </c>
      <c r="E3" s="49"/>
      <c r="F3" s="49"/>
      <c r="G3" s="49"/>
      <c r="H3" s="49"/>
      <c r="I3" s="49"/>
      <c r="J3" s="49"/>
      <c r="K3" s="49"/>
      <c r="L3" s="50"/>
    </row>
    <row r="4" spans="1:12" x14ac:dyDescent="0.3">
      <c r="A4" s="52"/>
      <c r="B4" s="51"/>
      <c r="C4" s="52"/>
      <c r="D4" s="45" t="s">
        <v>49</v>
      </c>
      <c r="E4" s="46"/>
      <c r="F4" s="46"/>
      <c r="G4" s="47"/>
      <c r="H4" s="45" t="s">
        <v>50</v>
      </c>
      <c r="I4" s="46"/>
      <c r="J4" s="46"/>
      <c r="K4" s="47"/>
      <c r="L4" s="39"/>
    </row>
    <row r="5" spans="1:12" ht="19.8" customHeight="1" x14ac:dyDescent="0.3">
      <c r="A5" s="52"/>
      <c r="B5" s="51"/>
      <c r="C5" s="52"/>
      <c r="D5" s="51" t="s">
        <v>51</v>
      </c>
      <c r="E5" s="51"/>
      <c r="F5" s="51" t="s">
        <v>52</v>
      </c>
      <c r="G5" s="51"/>
      <c r="H5" s="51" t="s">
        <v>53</v>
      </c>
      <c r="I5" s="51"/>
      <c r="J5" s="51" t="s">
        <v>54</v>
      </c>
      <c r="K5" s="51"/>
      <c r="L5" s="39" t="s">
        <v>46</v>
      </c>
    </row>
    <row r="6" spans="1:12" x14ac:dyDescent="0.3">
      <c r="A6" s="52"/>
      <c r="B6" s="51"/>
      <c r="C6" s="52"/>
      <c r="D6" s="39" t="s">
        <v>48</v>
      </c>
      <c r="E6" s="39" t="s">
        <v>44</v>
      </c>
      <c r="F6" s="39" t="s">
        <v>48</v>
      </c>
      <c r="G6" s="39" t="s">
        <v>44</v>
      </c>
      <c r="H6" s="39" t="s">
        <v>48</v>
      </c>
      <c r="I6" s="39" t="s">
        <v>44</v>
      </c>
      <c r="J6" s="39" t="s">
        <v>48</v>
      </c>
      <c r="K6" s="39" t="s">
        <v>44</v>
      </c>
      <c r="L6" s="39"/>
    </row>
    <row r="7" spans="1:12" s="41" customFormat="1" ht="19.8" customHeight="1" x14ac:dyDescent="0.3">
      <c r="A7" s="53" t="s">
        <v>87</v>
      </c>
      <c r="B7" s="54"/>
      <c r="C7" s="54"/>
      <c r="D7" s="54"/>
      <c r="E7" s="54"/>
      <c r="F7" s="54"/>
      <c r="G7" s="54"/>
      <c r="H7" s="54"/>
      <c r="I7" s="54"/>
      <c r="J7" s="54"/>
      <c r="K7" s="54"/>
      <c r="L7" s="55"/>
    </row>
    <row r="8" spans="1:12" x14ac:dyDescent="0.3">
      <c r="A8" s="39" t="s">
        <v>63</v>
      </c>
      <c r="B8" s="39" t="s">
        <v>62</v>
      </c>
      <c r="C8" s="39">
        <v>180</v>
      </c>
      <c r="D8" s="39"/>
      <c r="E8" s="39"/>
      <c r="F8" s="39"/>
      <c r="G8" s="39"/>
      <c r="H8" s="39"/>
      <c r="I8" s="39"/>
      <c r="J8" s="39"/>
      <c r="K8" s="39"/>
      <c r="L8" s="39" t="s">
        <v>86</v>
      </c>
    </row>
    <row r="9" spans="1:12" x14ac:dyDescent="0.3">
      <c r="A9" s="39" t="s">
        <v>57</v>
      </c>
      <c r="B9" s="39" t="s">
        <v>61</v>
      </c>
      <c r="C9" s="39">
        <v>150</v>
      </c>
      <c r="D9" s="39" t="s">
        <v>89</v>
      </c>
      <c r="E9" s="40" t="s">
        <v>89</v>
      </c>
      <c r="F9" s="40" t="s">
        <v>89</v>
      </c>
      <c r="G9" s="40" t="s">
        <v>89</v>
      </c>
      <c r="H9" s="40" t="s">
        <v>89</v>
      </c>
      <c r="I9" s="40" t="s">
        <v>89</v>
      </c>
      <c r="J9" s="40" t="s">
        <v>89</v>
      </c>
      <c r="K9" s="40" t="s">
        <v>89</v>
      </c>
      <c r="L9" s="39"/>
    </row>
    <row r="10" spans="1:12" x14ac:dyDescent="0.3">
      <c r="A10" s="39" t="s">
        <v>58</v>
      </c>
      <c r="B10" s="39" t="s">
        <v>61</v>
      </c>
      <c r="C10" s="39">
        <v>150</v>
      </c>
      <c r="D10" s="40" t="s">
        <v>89</v>
      </c>
      <c r="E10" s="40" t="s">
        <v>89</v>
      </c>
      <c r="F10" s="40" t="s">
        <v>89</v>
      </c>
      <c r="G10" s="40" t="s">
        <v>89</v>
      </c>
      <c r="H10" s="40" t="s">
        <v>89</v>
      </c>
      <c r="I10" s="40" t="s">
        <v>89</v>
      </c>
      <c r="J10" s="40" t="s">
        <v>89</v>
      </c>
      <c r="K10" s="40" t="s">
        <v>89</v>
      </c>
      <c r="L10" s="39"/>
    </row>
    <row r="11" spans="1:12" x14ac:dyDescent="0.3">
      <c r="A11" s="39" t="s">
        <v>59</v>
      </c>
      <c r="B11" s="39" t="s">
        <v>61</v>
      </c>
      <c r="C11" s="39">
        <v>200</v>
      </c>
      <c r="D11" s="40" t="s">
        <v>88</v>
      </c>
      <c r="E11" s="40" t="s">
        <v>88</v>
      </c>
      <c r="F11" s="40" t="s">
        <v>88</v>
      </c>
      <c r="G11" s="40" t="s">
        <v>88</v>
      </c>
      <c r="H11" s="40" t="s">
        <v>88</v>
      </c>
      <c r="I11" s="40" t="s">
        <v>88</v>
      </c>
      <c r="J11" s="40" t="s">
        <v>88</v>
      </c>
      <c r="K11" s="40" t="s">
        <v>88</v>
      </c>
      <c r="L11" s="39"/>
    </row>
    <row r="12" spans="1:12" x14ac:dyDescent="0.3">
      <c r="A12" s="39" t="s">
        <v>60</v>
      </c>
      <c r="B12" s="39" t="s">
        <v>61</v>
      </c>
      <c r="C12" s="39">
        <v>200</v>
      </c>
      <c r="D12" s="40" t="s">
        <v>88</v>
      </c>
      <c r="E12" s="40" t="s">
        <v>88</v>
      </c>
      <c r="F12" s="40" t="s">
        <v>88</v>
      </c>
      <c r="G12" s="40" t="s">
        <v>88</v>
      </c>
      <c r="H12" s="40" t="s">
        <v>88</v>
      </c>
      <c r="I12" s="40" t="s">
        <v>88</v>
      </c>
      <c r="J12" s="40" t="s">
        <v>88</v>
      </c>
      <c r="K12" s="40" t="s">
        <v>88</v>
      </c>
      <c r="L12" s="39"/>
    </row>
    <row r="13" spans="1:12" x14ac:dyDescent="0.3">
      <c r="A13" s="39" t="s">
        <v>64</v>
      </c>
      <c r="B13" s="39" t="s">
        <v>65</v>
      </c>
      <c r="C13" s="39">
        <v>200</v>
      </c>
      <c r="D13" s="40" t="s">
        <v>91</v>
      </c>
      <c r="E13" s="40" t="s">
        <v>88</v>
      </c>
      <c r="F13" s="40" t="s">
        <v>88</v>
      </c>
      <c r="G13" s="40" t="s">
        <v>88</v>
      </c>
      <c r="H13" s="40" t="s">
        <v>91</v>
      </c>
      <c r="I13" s="40" t="s">
        <v>88</v>
      </c>
      <c r="J13" s="40" t="s">
        <v>88</v>
      </c>
      <c r="K13" s="40" t="s">
        <v>88</v>
      </c>
      <c r="L13" s="39"/>
    </row>
    <row r="14" spans="1:12" x14ac:dyDescent="0.3">
      <c r="A14" s="53" t="s">
        <v>81</v>
      </c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5"/>
    </row>
    <row r="15" spans="1:12" x14ac:dyDescent="0.3">
      <c r="A15" s="39" t="s">
        <v>63</v>
      </c>
      <c r="B15" s="39" t="s">
        <v>62</v>
      </c>
      <c r="C15" s="39">
        <v>160</v>
      </c>
      <c r="D15" s="39"/>
      <c r="E15" s="39"/>
      <c r="F15" s="39"/>
      <c r="G15" s="39"/>
      <c r="H15" s="39"/>
      <c r="I15" s="39"/>
      <c r="J15" s="39"/>
      <c r="K15" s="39"/>
      <c r="L15" s="40" t="s">
        <v>86</v>
      </c>
    </row>
    <row r="16" spans="1:12" x14ac:dyDescent="0.3">
      <c r="A16" s="39" t="s">
        <v>66</v>
      </c>
      <c r="B16" s="39" t="s">
        <v>62</v>
      </c>
      <c r="C16" s="39">
        <v>180</v>
      </c>
      <c r="D16" s="39"/>
      <c r="E16" s="39"/>
      <c r="F16" s="39"/>
      <c r="G16" s="39"/>
      <c r="H16" s="39"/>
      <c r="I16" s="39"/>
      <c r="J16" s="39"/>
      <c r="K16" s="39"/>
      <c r="L16" s="40" t="s">
        <v>86</v>
      </c>
    </row>
    <row r="17" spans="1:12" x14ac:dyDescent="0.3">
      <c r="A17" s="39" t="s">
        <v>67</v>
      </c>
      <c r="B17" s="39" t="s">
        <v>62</v>
      </c>
      <c r="C17" s="39">
        <v>200</v>
      </c>
      <c r="D17" s="39"/>
      <c r="E17" s="39"/>
      <c r="F17" s="39"/>
      <c r="G17" s="39"/>
      <c r="H17" s="39"/>
      <c r="I17" s="39"/>
      <c r="J17" s="39"/>
      <c r="K17" s="39"/>
      <c r="L17" s="40" t="s">
        <v>86</v>
      </c>
    </row>
    <row r="18" spans="1:12" x14ac:dyDescent="0.3">
      <c r="A18" s="39" t="s">
        <v>57</v>
      </c>
      <c r="B18" s="39" t="s">
        <v>61</v>
      </c>
      <c r="C18" s="39">
        <v>150</v>
      </c>
      <c r="D18" s="40" t="s">
        <v>91</v>
      </c>
      <c r="E18" s="40" t="s">
        <v>88</v>
      </c>
      <c r="F18" s="40" t="s">
        <v>88</v>
      </c>
      <c r="G18" s="40" t="s">
        <v>88</v>
      </c>
      <c r="H18" s="40" t="s">
        <v>91</v>
      </c>
      <c r="I18" s="40" t="s">
        <v>88</v>
      </c>
      <c r="J18" s="40" t="s">
        <v>88</v>
      </c>
      <c r="K18" s="40" t="s">
        <v>88</v>
      </c>
      <c r="L18" s="39"/>
    </row>
    <row r="19" spans="1:12" x14ac:dyDescent="0.3">
      <c r="A19" s="39" t="s">
        <v>58</v>
      </c>
      <c r="B19" s="39" t="s">
        <v>65</v>
      </c>
      <c r="C19" s="39">
        <v>150</v>
      </c>
      <c r="D19" s="40" t="s">
        <v>88</v>
      </c>
      <c r="E19" s="40" t="s">
        <v>88</v>
      </c>
      <c r="F19" s="40" t="s">
        <v>88</v>
      </c>
      <c r="G19" s="40" t="s">
        <v>88</v>
      </c>
      <c r="H19" s="40" t="s">
        <v>88</v>
      </c>
      <c r="I19" s="40" t="s">
        <v>88</v>
      </c>
      <c r="J19" s="40" t="s">
        <v>88</v>
      </c>
      <c r="K19" s="40" t="s">
        <v>88</v>
      </c>
      <c r="L19" s="39"/>
    </row>
    <row r="20" spans="1:12" x14ac:dyDescent="0.3">
      <c r="A20" s="39" t="s">
        <v>59</v>
      </c>
      <c r="B20" s="39" t="s">
        <v>61</v>
      </c>
      <c r="C20" s="39">
        <v>200</v>
      </c>
      <c r="D20" s="40" t="s">
        <v>91</v>
      </c>
      <c r="E20" s="40" t="s">
        <v>88</v>
      </c>
      <c r="F20" s="40" t="s">
        <v>88</v>
      </c>
      <c r="G20" s="40" t="s">
        <v>88</v>
      </c>
      <c r="H20" s="40" t="s">
        <v>88</v>
      </c>
      <c r="I20" s="40" t="s">
        <v>88</v>
      </c>
      <c r="J20" s="40" t="s">
        <v>88</v>
      </c>
      <c r="K20" s="40" t="s">
        <v>88</v>
      </c>
      <c r="L20" s="39"/>
    </row>
    <row r="21" spans="1:12" x14ac:dyDescent="0.3">
      <c r="A21" s="39" t="s">
        <v>60</v>
      </c>
      <c r="B21" s="39" t="s">
        <v>65</v>
      </c>
      <c r="C21" s="39">
        <v>200</v>
      </c>
      <c r="D21" s="40" t="s">
        <v>91</v>
      </c>
      <c r="E21" s="40" t="s">
        <v>88</v>
      </c>
      <c r="F21" s="40" t="s">
        <v>88</v>
      </c>
      <c r="G21" s="40" t="s">
        <v>88</v>
      </c>
      <c r="H21" s="40" t="s">
        <v>91</v>
      </c>
      <c r="I21" s="40" t="s">
        <v>88</v>
      </c>
      <c r="J21" s="40" t="s">
        <v>88</v>
      </c>
      <c r="K21" s="40" t="s">
        <v>88</v>
      </c>
      <c r="L21" s="39"/>
    </row>
    <row r="22" spans="1:12" x14ac:dyDescent="0.3">
      <c r="A22" s="39" t="s">
        <v>68</v>
      </c>
      <c r="B22" s="39" t="s">
        <v>61</v>
      </c>
      <c r="C22" s="39">
        <v>150</v>
      </c>
      <c r="D22" s="40" t="s">
        <v>88</v>
      </c>
      <c r="E22" s="40" t="s">
        <v>88</v>
      </c>
      <c r="F22" s="40" t="s">
        <v>88</v>
      </c>
      <c r="G22" s="40" t="s">
        <v>88</v>
      </c>
      <c r="H22" s="40" t="s">
        <v>88</v>
      </c>
      <c r="I22" s="40" t="s">
        <v>88</v>
      </c>
      <c r="J22" s="40" t="s">
        <v>88</v>
      </c>
      <c r="K22" s="40" t="s">
        <v>88</v>
      </c>
      <c r="L22" s="39"/>
    </row>
    <row r="23" spans="1:12" x14ac:dyDescent="0.3">
      <c r="A23" s="39" t="s">
        <v>69</v>
      </c>
      <c r="B23" s="39" t="s">
        <v>61</v>
      </c>
      <c r="C23" s="39">
        <v>150</v>
      </c>
      <c r="D23" s="40" t="s">
        <v>88</v>
      </c>
      <c r="E23" s="40" t="s">
        <v>88</v>
      </c>
      <c r="F23" s="40" t="s">
        <v>88</v>
      </c>
      <c r="G23" s="40" t="s">
        <v>88</v>
      </c>
      <c r="H23" s="40" t="s">
        <v>88</v>
      </c>
      <c r="I23" s="40" t="s">
        <v>88</v>
      </c>
      <c r="J23" s="40" t="s">
        <v>88</v>
      </c>
      <c r="K23" s="40" t="s">
        <v>88</v>
      </c>
      <c r="L23" s="39"/>
    </row>
    <row r="24" spans="1:12" x14ac:dyDescent="0.3">
      <c r="A24" s="39" t="s">
        <v>70</v>
      </c>
      <c r="B24" s="39" t="s">
        <v>65</v>
      </c>
      <c r="C24" s="39">
        <v>200</v>
      </c>
      <c r="D24" s="40" t="s">
        <v>91</v>
      </c>
      <c r="E24" s="40" t="s">
        <v>88</v>
      </c>
      <c r="F24" s="40" t="s">
        <v>88</v>
      </c>
      <c r="G24" s="40" t="s">
        <v>88</v>
      </c>
      <c r="H24" s="40" t="s">
        <v>91</v>
      </c>
      <c r="I24" s="40" t="s">
        <v>88</v>
      </c>
      <c r="J24" s="40" t="s">
        <v>88</v>
      </c>
      <c r="K24" s="40" t="s">
        <v>88</v>
      </c>
      <c r="L24" s="39"/>
    </row>
    <row r="25" spans="1:12" x14ac:dyDescent="0.3">
      <c r="A25" s="39" t="s">
        <v>71</v>
      </c>
      <c r="B25" s="39" t="s">
        <v>65</v>
      </c>
      <c r="C25" s="39">
        <v>200</v>
      </c>
      <c r="D25" s="40" t="s">
        <v>91</v>
      </c>
      <c r="E25" s="40" t="s">
        <v>88</v>
      </c>
      <c r="F25" s="40" t="s">
        <v>88</v>
      </c>
      <c r="G25" s="40" t="s">
        <v>88</v>
      </c>
      <c r="H25" s="40" t="s">
        <v>91</v>
      </c>
      <c r="I25" s="40" t="s">
        <v>88</v>
      </c>
      <c r="J25" s="40" t="s">
        <v>88</v>
      </c>
      <c r="K25" s="40" t="s">
        <v>88</v>
      </c>
      <c r="L25" s="39"/>
    </row>
    <row r="26" spans="1:12" x14ac:dyDescent="0.3">
      <c r="A26" s="39" t="s">
        <v>72</v>
      </c>
      <c r="B26" s="39" t="s">
        <v>65</v>
      </c>
      <c r="C26" s="39">
        <v>200</v>
      </c>
      <c r="D26" s="40" t="s">
        <v>91</v>
      </c>
      <c r="E26" s="40" t="s">
        <v>88</v>
      </c>
      <c r="F26" s="40" t="s">
        <v>88</v>
      </c>
      <c r="G26" s="40" t="s">
        <v>88</v>
      </c>
      <c r="H26" s="40" t="s">
        <v>91</v>
      </c>
      <c r="I26" s="40" t="s">
        <v>88</v>
      </c>
      <c r="J26" s="40" t="s">
        <v>88</v>
      </c>
      <c r="K26" s="40" t="s">
        <v>88</v>
      </c>
      <c r="L26" s="39"/>
    </row>
    <row r="27" spans="1:12" x14ac:dyDescent="0.3">
      <c r="A27" s="39" t="s">
        <v>73</v>
      </c>
      <c r="B27" s="39" t="s">
        <v>65</v>
      </c>
      <c r="C27" s="39">
        <v>150</v>
      </c>
      <c r="D27" s="40" t="s">
        <v>88</v>
      </c>
      <c r="E27" s="40" t="s">
        <v>88</v>
      </c>
      <c r="F27" s="40" t="s">
        <v>88</v>
      </c>
      <c r="G27" s="40" t="s">
        <v>88</v>
      </c>
      <c r="H27" s="40" t="s">
        <v>88</v>
      </c>
      <c r="I27" s="40" t="s">
        <v>88</v>
      </c>
      <c r="J27" s="40" t="s">
        <v>88</v>
      </c>
      <c r="K27" s="40" t="s">
        <v>88</v>
      </c>
      <c r="L27" s="39"/>
    </row>
    <row r="28" spans="1:12" x14ac:dyDescent="0.3">
      <c r="A28" s="39" t="s">
        <v>74</v>
      </c>
      <c r="B28" s="39" t="s">
        <v>65</v>
      </c>
      <c r="C28" s="39">
        <v>150</v>
      </c>
      <c r="D28" s="40" t="s">
        <v>88</v>
      </c>
      <c r="E28" s="40" t="s">
        <v>88</v>
      </c>
      <c r="F28" s="40" t="s">
        <v>88</v>
      </c>
      <c r="G28" s="40" t="s">
        <v>88</v>
      </c>
      <c r="H28" s="40" t="s">
        <v>88</v>
      </c>
      <c r="I28" s="40" t="s">
        <v>88</v>
      </c>
      <c r="J28" s="40" t="s">
        <v>88</v>
      </c>
      <c r="K28" s="40" t="s">
        <v>88</v>
      </c>
      <c r="L28" s="39"/>
    </row>
    <row r="29" spans="1:12" x14ac:dyDescent="0.3">
      <c r="A29" s="39" t="s">
        <v>75</v>
      </c>
      <c r="B29" s="39" t="s">
        <v>61</v>
      </c>
      <c r="C29" s="39">
        <v>150</v>
      </c>
      <c r="D29" s="40" t="s">
        <v>91</v>
      </c>
      <c r="E29" s="40" t="s">
        <v>88</v>
      </c>
      <c r="F29" s="40" t="s">
        <v>88</v>
      </c>
      <c r="G29" s="40" t="s">
        <v>88</v>
      </c>
      <c r="H29" s="40" t="s">
        <v>91</v>
      </c>
      <c r="I29" s="40" t="s">
        <v>88</v>
      </c>
      <c r="J29" s="40" t="s">
        <v>88</v>
      </c>
      <c r="K29" s="40" t="s">
        <v>88</v>
      </c>
      <c r="L29" s="39"/>
    </row>
    <row r="30" spans="1:12" x14ac:dyDescent="0.3">
      <c r="A30" s="39" t="s">
        <v>76</v>
      </c>
      <c r="B30" s="39" t="s">
        <v>65</v>
      </c>
      <c r="C30" s="39">
        <v>150</v>
      </c>
      <c r="D30" s="40" t="s">
        <v>91</v>
      </c>
      <c r="E30" s="40" t="s">
        <v>88</v>
      </c>
      <c r="F30" s="40" t="s">
        <v>88</v>
      </c>
      <c r="G30" s="40" t="s">
        <v>88</v>
      </c>
      <c r="H30" s="40" t="s">
        <v>91</v>
      </c>
      <c r="I30" s="40" t="s">
        <v>88</v>
      </c>
      <c r="J30" s="40" t="s">
        <v>88</v>
      </c>
      <c r="K30" s="40" t="s">
        <v>88</v>
      </c>
      <c r="L30" s="39"/>
    </row>
    <row r="31" spans="1:12" x14ac:dyDescent="0.3">
      <c r="A31" s="39" t="s">
        <v>77</v>
      </c>
      <c r="B31" s="39" t="s">
        <v>61</v>
      </c>
      <c r="C31" s="39">
        <v>150</v>
      </c>
      <c r="D31" s="40" t="s">
        <v>90</v>
      </c>
      <c r="E31" s="40" t="s">
        <v>89</v>
      </c>
      <c r="F31" s="40" t="s">
        <v>89</v>
      </c>
      <c r="G31" s="40" t="s">
        <v>90</v>
      </c>
      <c r="H31" s="40" t="s">
        <v>89</v>
      </c>
      <c r="I31" s="40" t="s">
        <v>89</v>
      </c>
      <c r="J31" s="40" t="s">
        <v>89</v>
      </c>
      <c r="K31" s="40" t="s">
        <v>89</v>
      </c>
      <c r="L31" s="39"/>
    </row>
    <row r="32" spans="1:12" x14ac:dyDescent="0.3">
      <c r="A32" s="39" t="s">
        <v>78</v>
      </c>
      <c r="B32" s="39" t="s">
        <v>65</v>
      </c>
      <c r="C32" s="39">
        <v>150</v>
      </c>
      <c r="D32" s="40" t="s">
        <v>90</v>
      </c>
      <c r="E32" s="40" t="s">
        <v>89</v>
      </c>
      <c r="F32" s="40" t="s">
        <v>89</v>
      </c>
      <c r="G32" s="40" t="s">
        <v>89</v>
      </c>
      <c r="H32" s="40" t="s">
        <v>90</v>
      </c>
      <c r="I32" s="40" t="s">
        <v>89</v>
      </c>
      <c r="J32" s="40" t="s">
        <v>89</v>
      </c>
      <c r="K32" s="40" t="s">
        <v>89</v>
      </c>
      <c r="L32" s="39"/>
    </row>
    <row r="33" spans="1:12" x14ac:dyDescent="0.3">
      <c r="A33" s="39" t="s">
        <v>79</v>
      </c>
      <c r="B33" s="39" t="s">
        <v>65</v>
      </c>
      <c r="C33" s="39">
        <v>150</v>
      </c>
      <c r="D33" s="40" t="s">
        <v>91</v>
      </c>
      <c r="E33" s="40" t="s">
        <v>88</v>
      </c>
      <c r="F33" s="40" t="s">
        <v>88</v>
      </c>
      <c r="G33" s="40" t="s">
        <v>88</v>
      </c>
      <c r="H33" s="40" t="s">
        <v>91</v>
      </c>
      <c r="I33" s="40" t="s">
        <v>88</v>
      </c>
      <c r="J33" s="40" t="s">
        <v>88</v>
      </c>
      <c r="K33" s="40" t="s">
        <v>88</v>
      </c>
      <c r="L33" s="39"/>
    </row>
    <row r="34" spans="1:12" x14ac:dyDescent="0.3">
      <c r="A34" s="39" t="s">
        <v>80</v>
      </c>
      <c r="B34" s="39" t="s">
        <v>65</v>
      </c>
      <c r="C34" s="39">
        <v>150</v>
      </c>
      <c r="D34" s="40" t="s">
        <v>90</v>
      </c>
      <c r="E34" s="40" t="s">
        <v>89</v>
      </c>
      <c r="F34" s="40" t="s">
        <v>89</v>
      </c>
      <c r="G34" s="40" t="s">
        <v>90</v>
      </c>
      <c r="H34" s="40" t="s">
        <v>89</v>
      </c>
      <c r="I34" s="40" t="s">
        <v>89</v>
      </c>
      <c r="J34" s="40" t="s">
        <v>89</v>
      </c>
      <c r="K34" s="40" t="s">
        <v>89</v>
      </c>
      <c r="L34" s="39"/>
    </row>
    <row r="35" spans="1:12" ht="19.8" customHeight="1" x14ac:dyDescent="0.3">
      <c r="A35" s="53" t="s">
        <v>82</v>
      </c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5"/>
    </row>
    <row r="36" spans="1:12" x14ac:dyDescent="0.3">
      <c r="A36" s="39" t="s">
        <v>63</v>
      </c>
      <c r="B36" s="39" t="s">
        <v>62</v>
      </c>
      <c r="C36" s="39">
        <v>180</v>
      </c>
      <c r="D36" s="39"/>
      <c r="E36" s="39"/>
      <c r="F36" s="39"/>
      <c r="G36" s="39"/>
      <c r="H36" s="39"/>
      <c r="I36" s="39"/>
      <c r="J36" s="39"/>
      <c r="K36" s="39"/>
      <c r="L36" s="40" t="s">
        <v>86</v>
      </c>
    </row>
    <row r="37" spans="1:12" x14ac:dyDescent="0.3">
      <c r="A37" s="39" t="s">
        <v>67</v>
      </c>
      <c r="B37" s="39" t="s">
        <v>62</v>
      </c>
      <c r="C37" s="39">
        <v>200</v>
      </c>
      <c r="D37" s="39"/>
      <c r="E37" s="39"/>
      <c r="F37" s="39"/>
      <c r="G37" s="39"/>
      <c r="H37" s="39"/>
      <c r="I37" s="39"/>
      <c r="J37" s="39"/>
      <c r="K37" s="39"/>
      <c r="L37" s="40" t="s">
        <v>86</v>
      </c>
    </row>
    <row r="38" spans="1:12" x14ac:dyDescent="0.3">
      <c r="A38" s="39" t="s">
        <v>57</v>
      </c>
      <c r="B38" s="39" t="s">
        <v>61</v>
      </c>
      <c r="C38" s="39">
        <v>150</v>
      </c>
      <c r="D38" s="40" t="s">
        <v>91</v>
      </c>
      <c r="E38" s="40" t="s">
        <v>88</v>
      </c>
      <c r="F38" s="40" t="s">
        <v>88</v>
      </c>
      <c r="G38" s="40" t="s">
        <v>88</v>
      </c>
      <c r="H38" s="40" t="s">
        <v>91</v>
      </c>
      <c r="I38" s="40" t="s">
        <v>88</v>
      </c>
      <c r="J38" s="40" t="s">
        <v>88</v>
      </c>
      <c r="K38" s="40" t="s">
        <v>88</v>
      </c>
      <c r="L38" s="39"/>
    </row>
    <row r="39" spans="1:12" x14ac:dyDescent="0.3">
      <c r="A39" s="39" t="s">
        <v>58</v>
      </c>
      <c r="B39" s="39" t="s">
        <v>65</v>
      </c>
      <c r="C39" s="39">
        <v>150</v>
      </c>
      <c r="D39" s="40" t="s">
        <v>90</v>
      </c>
      <c r="E39" s="40" t="s">
        <v>89</v>
      </c>
      <c r="F39" s="40" t="s">
        <v>89</v>
      </c>
      <c r="G39" s="40" t="s">
        <v>89</v>
      </c>
      <c r="H39" s="40" t="s">
        <v>90</v>
      </c>
      <c r="I39" s="40" t="s">
        <v>89</v>
      </c>
      <c r="J39" s="40" t="s">
        <v>89</v>
      </c>
      <c r="K39" s="40" t="s">
        <v>89</v>
      </c>
      <c r="L39" s="39"/>
    </row>
    <row r="40" spans="1:12" x14ac:dyDescent="0.3">
      <c r="A40" s="39" t="s">
        <v>73</v>
      </c>
      <c r="B40" s="39" t="s">
        <v>65</v>
      </c>
      <c r="C40" s="39">
        <v>150</v>
      </c>
      <c r="D40" s="40" t="s">
        <v>88</v>
      </c>
      <c r="E40" s="40" t="s">
        <v>88</v>
      </c>
      <c r="F40" s="40" t="s">
        <v>88</v>
      </c>
      <c r="G40" s="40" t="s">
        <v>88</v>
      </c>
      <c r="H40" s="40" t="s">
        <v>88</v>
      </c>
      <c r="I40" s="40" t="s">
        <v>88</v>
      </c>
      <c r="J40" s="40" t="s">
        <v>88</v>
      </c>
      <c r="K40" s="40" t="s">
        <v>88</v>
      </c>
      <c r="L40" s="39"/>
    </row>
    <row r="41" spans="1:12" x14ac:dyDescent="0.3">
      <c r="A41" s="39" t="s">
        <v>74</v>
      </c>
      <c r="B41" s="39" t="s">
        <v>65</v>
      </c>
      <c r="C41" s="39">
        <v>150</v>
      </c>
      <c r="D41" s="40" t="s">
        <v>88</v>
      </c>
      <c r="E41" s="40" t="s">
        <v>88</v>
      </c>
      <c r="F41" s="40" t="s">
        <v>88</v>
      </c>
      <c r="G41" s="40" t="s">
        <v>88</v>
      </c>
      <c r="H41" s="40" t="s">
        <v>88</v>
      </c>
      <c r="I41" s="40" t="s">
        <v>88</v>
      </c>
      <c r="J41" s="40" t="s">
        <v>88</v>
      </c>
      <c r="K41" s="40" t="s">
        <v>88</v>
      </c>
      <c r="L41" s="39"/>
    </row>
    <row r="42" spans="1:12" x14ac:dyDescent="0.3">
      <c r="A42" s="39" t="s">
        <v>75</v>
      </c>
      <c r="B42" s="39" t="s">
        <v>61</v>
      </c>
      <c r="C42" s="39">
        <v>150</v>
      </c>
      <c r="D42" s="40" t="s">
        <v>88</v>
      </c>
      <c r="E42" s="40" t="s">
        <v>88</v>
      </c>
      <c r="F42" s="40" t="s">
        <v>88</v>
      </c>
      <c r="G42" s="40" t="s">
        <v>88</v>
      </c>
      <c r="H42" s="40" t="s">
        <v>88</v>
      </c>
      <c r="I42" s="40" t="s">
        <v>88</v>
      </c>
      <c r="J42" s="40" t="s">
        <v>88</v>
      </c>
      <c r="K42" s="40" t="s">
        <v>88</v>
      </c>
      <c r="L42" s="39"/>
    </row>
    <row r="43" spans="1:12" x14ac:dyDescent="0.3">
      <c r="A43" s="39" t="s">
        <v>76</v>
      </c>
      <c r="B43" s="39" t="s">
        <v>65</v>
      </c>
      <c r="C43" s="39">
        <v>150</v>
      </c>
      <c r="D43" s="40" t="s">
        <v>88</v>
      </c>
      <c r="E43" s="40" t="s">
        <v>88</v>
      </c>
      <c r="F43" s="40" t="s">
        <v>88</v>
      </c>
      <c r="G43" s="40" t="s">
        <v>88</v>
      </c>
      <c r="H43" s="40" t="s">
        <v>88</v>
      </c>
      <c r="I43" s="40" t="s">
        <v>88</v>
      </c>
      <c r="J43" s="40" t="s">
        <v>88</v>
      </c>
      <c r="K43" s="40" t="s">
        <v>88</v>
      </c>
      <c r="L43" s="39"/>
    </row>
    <row r="44" spans="1:12" x14ac:dyDescent="0.3">
      <c r="A44" s="39" t="s">
        <v>77</v>
      </c>
      <c r="B44" s="39" t="s">
        <v>61</v>
      </c>
      <c r="C44" s="39">
        <v>150</v>
      </c>
      <c r="D44" s="40" t="s">
        <v>90</v>
      </c>
      <c r="E44" s="40" t="s">
        <v>89</v>
      </c>
      <c r="F44" s="40" t="s">
        <v>89</v>
      </c>
      <c r="G44" s="40" t="s">
        <v>90</v>
      </c>
      <c r="H44" s="40" t="s">
        <v>89</v>
      </c>
      <c r="I44" s="40" t="s">
        <v>89</v>
      </c>
      <c r="J44" s="40" t="s">
        <v>89</v>
      </c>
      <c r="K44" s="40" t="s">
        <v>89</v>
      </c>
      <c r="L44" s="39"/>
    </row>
    <row r="45" spans="1:12" x14ac:dyDescent="0.3">
      <c r="A45" s="39" t="s">
        <v>78</v>
      </c>
      <c r="B45" s="39" t="s">
        <v>65</v>
      </c>
      <c r="C45" s="39">
        <v>150</v>
      </c>
      <c r="D45" s="40" t="s">
        <v>90</v>
      </c>
      <c r="E45" s="40" t="s">
        <v>89</v>
      </c>
      <c r="F45" s="40" t="s">
        <v>89</v>
      </c>
      <c r="G45" s="40" t="s">
        <v>89</v>
      </c>
      <c r="H45" s="40" t="s">
        <v>90</v>
      </c>
      <c r="I45" s="40" t="s">
        <v>89</v>
      </c>
      <c r="J45" s="40" t="s">
        <v>89</v>
      </c>
      <c r="K45" s="40" t="s">
        <v>89</v>
      </c>
      <c r="L45" s="39"/>
    </row>
    <row r="46" spans="1:12" x14ac:dyDescent="0.3">
      <c r="A46" s="39" t="s">
        <v>79</v>
      </c>
      <c r="B46" s="39" t="s">
        <v>65</v>
      </c>
      <c r="C46" s="39">
        <v>150</v>
      </c>
      <c r="D46" s="40" t="s">
        <v>90</v>
      </c>
      <c r="E46" s="40" t="s">
        <v>89</v>
      </c>
      <c r="F46" s="40" t="s">
        <v>89</v>
      </c>
      <c r="G46" s="40" t="s">
        <v>90</v>
      </c>
      <c r="H46" s="40" t="s">
        <v>89</v>
      </c>
      <c r="I46" s="40" t="s">
        <v>89</v>
      </c>
      <c r="J46" s="40" t="s">
        <v>89</v>
      </c>
      <c r="K46" s="40" t="s">
        <v>89</v>
      </c>
      <c r="L46" s="39"/>
    </row>
    <row r="47" spans="1:12" x14ac:dyDescent="0.3">
      <c r="A47" s="39" t="s">
        <v>80</v>
      </c>
      <c r="B47" s="39" t="s">
        <v>65</v>
      </c>
      <c r="C47" s="39">
        <v>150</v>
      </c>
      <c r="D47" s="40" t="s">
        <v>88</v>
      </c>
      <c r="E47" s="40" t="s">
        <v>88</v>
      </c>
      <c r="F47" s="40" t="s">
        <v>88</v>
      </c>
      <c r="G47" s="40" t="s">
        <v>88</v>
      </c>
      <c r="H47" s="40" t="s">
        <v>88</v>
      </c>
      <c r="I47" s="40" t="s">
        <v>88</v>
      </c>
      <c r="J47" s="40" t="s">
        <v>88</v>
      </c>
      <c r="K47" s="40" t="s">
        <v>88</v>
      </c>
      <c r="L47" s="39"/>
    </row>
    <row r="48" spans="1:12" x14ac:dyDescent="0.3">
      <c r="A48" s="39" t="s">
        <v>83</v>
      </c>
      <c r="B48" s="39" t="s">
        <v>65</v>
      </c>
      <c r="C48" s="39">
        <v>150</v>
      </c>
      <c r="D48" s="40" t="s">
        <v>91</v>
      </c>
      <c r="E48" s="40" t="s">
        <v>88</v>
      </c>
      <c r="F48" s="40" t="s">
        <v>88</v>
      </c>
      <c r="G48" s="40" t="s">
        <v>91</v>
      </c>
      <c r="H48" s="40" t="s">
        <v>89</v>
      </c>
      <c r="I48" s="40" t="s">
        <v>89</v>
      </c>
      <c r="J48" s="40" t="s">
        <v>89</v>
      </c>
      <c r="K48" s="40" t="s">
        <v>89</v>
      </c>
      <c r="L48" s="39"/>
    </row>
    <row r="49" spans="1:12" x14ac:dyDescent="0.3">
      <c r="A49" s="53" t="s">
        <v>84</v>
      </c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5"/>
    </row>
    <row r="50" spans="1:12" x14ac:dyDescent="0.3">
      <c r="A50" s="39" t="s">
        <v>63</v>
      </c>
      <c r="B50" s="39" t="s">
        <v>62</v>
      </c>
      <c r="C50" s="39">
        <v>180</v>
      </c>
      <c r="D50" s="39"/>
      <c r="E50" s="39"/>
      <c r="F50" s="39"/>
      <c r="G50" s="39"/>
      <c r="H50" s="39"/>
      <c r="I50" s="39"/>
      <c r="J50" s="39"/>
      <c r="K50" s="39"/>
      <c r="L50" s="40" t="s">
        <v>86</v>
      </c>
    </row>
    <row r="51" spans="1:12" x14ac:dyDescent="0.3">
      <c r="A51" s="39" t="s">
        <v>67</v>
      </c>
      <c r="B51" s="39" t="s">
        <v>62</v>
      </c>
      <c r="C51" s="39">
        <v>200</v>
      </c>
      <c r="D51" s="39"/>
      <c r="E51" s="39"/>
      <c r="F51" s="39"/>
      <c r="G51" s="39"/>
      <c r="H51" s="39"/>
      <c r="I51" s="39"/>
      <c r="J51" s="39"/>
      <c r="K51" s="39"/>
      <c r="L51" s="40" t="s">
        <v>86</v>
      </c>
    </row>
    <row r="52" spans="1:12" x14ac:dyDescent="0.3">
      <c r="A52" s="39" t="s">
        <v>57</v>
      </c>
      <c r="B52" s="39" t="s">
        <v>61</v>
      </c>
      <c r="C52" s="39">
        <v>150</v>
      </c>
      <c r="D52" s="40" t="s">
        <v>91</v>
      </c>
      <c r="E52" s="40" t="s">
        <v>88</v>
      </c>
      <c r="F52" s="40" t="s">
        <v>88</v>
      </c>
      <c r="G52" s="40" t="s">
        <v>88</v>
      </c>
      <c r="H52" s="40" t="s">
        <v>91</v>
      </c>
      <c r="I52" s="40" t="s">
        <v>88</v>
      </c>
      <c r="J52" s="40" t="s">
        <v>88</v>
      </c>
      <c r="K52" s="40" t="s">
        <v>88</v>
      </c>
      <c r="L52" s="39"/>
    </row>
    <row r="53" spans="1:12" x14ac:dyDescent="0.3">
      <c r="A53" s="39" t="s">
        <v>58</v>
      </c>
      <c r="B53" s="39" t="s">
        <v>65</v>
      </c>
      <c r="C53" s="39">
        <v>150</v>
      </c>
      <c r="D53" s="40" t="s">
        <v>90</v>
      </c>
      <c r="E53" s="40" t="s">
        <v>89</v>
      </c>
      <c r="F53" s="40" t="s">
        <v>89</v>
      </c>
      <c r="G53" s="40" t="s">
        <v>89</v>
      </c>
      <c r="H53" s="40" t="s">
        <v>90</v>
      </c>
      <c r="I53" s="40" t="s">
        <v>89</v>
      </c>
      <c r="J53" s="40" t="s">
        <v>89</v>
      </c>
      <c r="K53" s="40" t="s">
        <v>89</v>
      </c>
      <c r="L53" s="39"/>
    </row>
    <row r="54" spans="1:12" x14ac:dyDescent="0.3">
      <c r="A54" s="39" t="s">
        <v>73</v>
      </c>
      <c r="B54" s="39" t="s">
        <v>65</v>
      </c>
      <c r="C54" s="39">
        <v>150</v>
      </c>
      <c r="D54" s="40" t="s">
        <v>88</v>
      </c>
      <c r="E54" s="40" t="s">
        <v>88</v>
      </c>
      <c r="F54" s="40" t="s">
        <v>88</v>
      </c>
      <c r="G54" s="40" t="s">
        <v>88</v>
      </c>
      <c r="H54" s="40" t="s">
        <v>88</v>
      </c>
      <c r="I54" s="40" t="s">
        <v>88</v>
      </c>
      <c r="J54" s="40" t="s">
        <v>88</v>
      </c>
      <c r="K54" s="40" t="s">
        <v>88</v>
      </c>
      <c r="L54" s="39"/>
    </row>
    <row r="55" spans="1:12" x14ac:dyDescent="0.3">
      <c r="A55" s="39" t="s">
        <v>76</v>
      </c>
      <c r="B55" s="39" t="s">
        <v>65</v>
      </c>
      <c r="C55" s="39">
        <v>150</v>
      </c>
      <c r="D55" s="40" t="s">
        <v>88</v>
      </c>
      <c r="E55" s="40" t="s">
        <v>88</v>
      </c>
      <c r="F55" s="40" t="s">
        <v>88</v>
      </c>
      <c r="G55" s="40" t="s">
        <v>88</v>
      </c>
      <c r="H55" s="40" t="s">
        <v>88</v>
      </c>
      <c r="I55" s="40" t="s">
        <v>88</v>
      </c>
      <c r="J55" s="40" t="s">
        <v>88</v>
      </c>
      <c r="K55" s="40" t="s">
        <v>88</v>
      </c>
      <c r="L55" s="39"/>
    </row>
    <row r="56" spans="1:12" x14ac:dyDescent="0.3">
      <c r="A56" s="39" t="s">
        <v>83</v>
      </c>
      <c r="B56" s="39" t="s">
        <v>61</v>
      </c>
      <c r="C56" s="39">
        <v>150</v>
      </c>
      <c r="D56" s="40" t="s">
        <v>91</v>
      </c>
      <c r="E56" s="40" t="s">
        <v>88</v>
      </c>
      <c r="F56" s="40" t="s">
        <v>88</v>
      </c>
      <c r="G56" s="40" t="s">
        <v>91</v>
      </c>
      <c r="H56" s="40" t="s">
        <v>89</v>
      </c>
      <c r="I56" s="40" t="s">
        <v>89</v>
      </c>
      <c r="J56" s="40" t="s">
        <v>89</v>
      </c>
      <c r="K56" s="40" t="s">
        <v>89</v>
      </c>
      <c r="L56" s="39"/>
    </row>
    <row r="57" spans="1:12" x14ac:dyDescent="0.3">
      <c r="A57" s="53" t="s">
        <v>85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5"/>
    </row>
    <row r="58" spans="1:12" x14ac:dyDescent="0.3">
      <c r="A58" s="39" t="s">
        <v>63</v>
      </c>
      <c r="B58" s="39" t="s">
        <v>62</v>
      </c>
      <c r="C58" s="39">
        <v>180</v>
      </c>
      <c r="D58" s="39"/>
      <c r="E58" s="39"/>
      <c r="F58" s="39"/>
      <c r="G58" s="39"/>
      <c r="H58" s="39"/>
      <c r="I58" s="39"/>
      <c r="J58" s="39"/>
      <c r="K58" s="39"/>
      <c r="L58" s="40" t="s">
        <v>86</v>
      </c>
    </row>
    <row r="59" spans="1:12" x14ac:dyDescent="0.3">
      <c r="A59" s="39" t="s">
        <v>67</v>
      </c>
      <c r="B59" s="39" t="s">
        <v>62</v>
      </c>
      <c r="C59" s="39">
        <v>200</v>
      </c>
      <c r="D59" s="39"/>
      <c r="E59" s="39"/>
      <c r="F59" s="39"/>
      <c r="G59" s="39"/>
      <c r="H59" s="39"/>
      <c r="I59" s="39"/>
      <c r="J59" s="39"/>
      <c r="K59" s="39"/>
      <c r="L59" s="40" t="s">
        <v>86</v>
      </c>
    </row>
    <row r="60" spans="1:12" x14ac:dyDescent="0.3">
      <c r="A60" s="39" t="s">
        <v>57</v>
      </c>
      <c r="B60" s="39" t="s">
        <v>61</v>
      </c>
      <c r="C60" s="39">
        <v>150</v>
      </c>
      <c r="D60" s="40" t="s">
        <v>91</v>
      </c>
      <c r="E60" s="40" t="s">
        <v>88</v>
      </c>
      <c r="F60" s="40" t="s">
        <v>88</v>
      </c>
      <c r="G60" s="40" t="s">
        <v>88</v>
      </c>
      <c r="H60" s="40" t="s">
        <v>91</v>
      </c>
      <c r="I60" s="40" t="s">
        <v>88</v>
      </c>
      <c r="J60" s="40" t="s">
        <v>88</v>
      </c>
      <c r="K60" s="40" t="s">
        <v>88</v>
      </c>
      <c r="L60" s="39"/>
    </row>
    <row r="61" spans="1:12" x14ac:dyDescent="0.3">
      <c r="A61" s="39" t="s">
        <v>58</v>
      </c>
      <c r="B61" s="39" t="s">
        <v>65</v>
      </c>
      <c r="C61" s="39">
        <v>150</v>
      </c>
      <c r="D61" s="40" t="s">
        <v>90</v>
      </c>
      <c r="E61" s="40" t="s">
        <v>89</v>
      </c>
      <c r="F61" s="40" t="s">
        <v>89</v>
      </c>
      <c r="G61" s="40" t="s">
        <v>89</v>
      </c>
      <c r="H61" s="40" t="s">
        <v>90</v>
      </c>
      <c r="I61" s="40" t="s">
        <v>89</v>
      </c>
      <c r="J61" s="40" t="s">
        <v>89</v>
      </c>
      <c r="K61" s="40" t="s">
        <v>89</v>
      </c>
      <c r="L61" s="39"/>
    </row>
    <row r="62" spans="1:12" x14ac:dyDescent="0.3">
      <c r="A62" s="39" t="s">
        <v>73</v>
      </c>
      <c r="B62" s="39" t="s">
        <v>65</v>
      </c>
      <c r="C62" s="39">
        <v>150</v>
      </c>
      <c r="D62" s="40" t="s">
        <v>88</v>
      </c>
      <c r="E62" s="40" t="s">
        <v>88</v>
      </c>
      <c r="F62" s="40" t="s">
        <v>88</v>
      </c>
      <c r="G62" s="40" t="s">
        <v>88</v>
      </c>
      <c r="H62" s="40" t="s">
        <v>88</v>
      </c>
      <c r="I62" s="40" t="s">
        <v>88</v>
      </c>
      <c r="J62" s="40" t="s">
        <v>88</v>
      </c>
      <c r="K62" s="40" t="s">
        <v>88</v>
      </c>
      <c r="L62" s="39"/>
    </row>
    <row r="63" spans="1:12" x14ac:dyDescent="0.3">
      <c r="A63" s="39" t="s">
        <v>76</v>
      </c>
      <c r="B63" s="39" t="s">
        <v>65</v>
      </c>
      <c r="C63" s="39">
        <v>150</v>
      </c>
      <c r="D63" s="40" t="s">
        <v>88</v>
      </c>
      <c r="E63" s="40" t="s">
        <v>88</v>
      </c>
      <c r="F63" s="40" t="s">
        <v>88</v>
      </c>
      <c r="G63" s="40" t="s">
        <v>88</v>
      </c>
      <c r="H63" s="40" t="s">
        <v>88</v>
      </c>
      <c r="I63" s="40" t="s">
        <v>88</v>
      </c>
      <c r="J63" s="40" t="s">
        <v>88</v>
      </c>
      <c r="K63" s="40" t="s">
        <v>88</v>
      </c>
      <c r="L63" s="39"/>
    </row>
    <row r="64" spans="1:12" x14ac:dyDescent="0.3">
      <c r="A64" s="39" t="s">
        <v>83</v>
      </c>
      <c r="B64" s="39" t="s">
        <v>61</v>
      </c>
      <c r="C64" s="39">
        <v>150</v>
      </c>
      <c r="D64" s="40" t="s">
        <v>91</v>
      </c>
      <c r="E64" s="40" t="s">
        <v>88</v>
      </c>
      <c r="F64" s="40" t="s">
        <v>88</v>
      </c>
      <c r="G64" s="40" t="s">
        <v>91</v>
      </c>
      <c r="H64" s="40" t="s">
        <v>89</v>
      </c>
      <c r="I64" s="40" t="s">
        <v>89</v>
      </c>
      <c r="J64" s="40" t="s">
        <v>89</v>
      </c>
      <c r="K64" s="40" t="s">
        <v>89</v>
      </c>
      <c r="L64" s="39"/>
    </row>
  </sheetData>
  <dataConsolidate/>
  <mergeCells count="15">
    <mergeCell ref="A57:L57"/>
    <mergeCell ref="A7:L7"/>
    <mergeCell ref="A14:L14"/>
    <mergeCell ref="A35:L35"/>
    <mergeCell ref="A49:L49"/>
    <mergeCell ref="D4:G4"/>
    <mergeCell ref="H4:K4"/>
    <mergeCell ref="D3:L3"/>
    <mergeCell ref="B3:B6"/>
    <mergeCell ref="A3:A6"/>
    <mergeCell ref="C3:C6"/>
    <mergeCell ref="D5:E5"/>
    <mergeCell ref="F5:G5"/>
    <mergeCell ref="H5:I5"/>
    <mergeCell ref="J5:K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BeamSum</vt:lpstr>
      <vt:lpstr>sched</vt:lpstr>
      <vt:lpstr>clrCover</vt:lpstr>
      <vt:lpstr>fc</vt:lpstr>
      <vt:lpstr>fy</vt:lpstr>
      <vt:lpstr>minSpac</vt:lpstr>
      <vt:lpstr>phi</vt:lpstr>
      <vt:lpstr>phiV</vt:lpstr>
      <vt:lpstr>phiVc</vt:lpstr>
      <vt:lpstr>rhoMax</vt:lpstr>
      <vt:lpstr>rhoMin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2019-08-07T08:04:26Z</dcterms:created>
  <dcterms:modified xsi:type="dcterms:W3CDTF">2019-09-14T10:28:24Z</dcterms:modified>
</cp:coreProperties>
</file>