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 activeTab="1"/>
  </bookViews>
  <sheets>
    <sheet name="dropSum" sheetId="1" r:id="rId1"/>
    <sheet name="PierSum" sheetId="3" r:id="rId2"/>
  </sheets>
  <functionGroups builtInGroupCount="18"/>
  <definedNames>
    <definedName name="ASt">PierSum!#REF!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64" i="3" l="1"/>
  <c r="M264" i="3"/>
  <c r="L264" i="3"/>
  <c r="N263" i="3"/>
  <c r="M263" i="3"/>
  <c r="L263" i="3" s="1"/>
  <c r="N262" i="3"/>
  <c r="N261" i="3"/>
  <c r="N260" i="3"/>
  <c r="B260" i="3"/>
  <c r="H264" i="3" s="1"/>
  <c r="I264" i="3" s="1"/>
  <c r="N259" i="3"/>
  <c r="N258" i="3"/>
  <c r="N257" i="3"/>
  <c r="N254" i="3"/>
  <c r="M254" i="3"/>
  <c r="L254" i="3"/>
  <c r="N253" i="3"/>
  <c r="M253" i="3"/>
  <c r="L253" i="3"/>
  <c r="N252" i="3"/>
  <c r="N251" i="3"/>
  <c r="N250" i="3"/>
  <c r="B250" i="3"/>
  <c r="M248" i="3" s="1"/>
  <c r="L248" i="3" s="1"/>
  <c r="N249" i="3"/>
  <c r="N248" i="3"/>
  <c r="N247" i="3"/>
  <c r="N244" i="3"/>
  <c r="M244" i="3"/>
  <c r="L244" i="3" s="1"/>
  <c r="N243" i="3"/>
  <c r="M243" i="3"/>
  <c r="L243" i="3" s="1"/>
  <c r="N242" i="3"/>
  <c r="N241" i="3"/>
  <c r="N240" i="3"/>
  <c r="B240" i="3"/>
  <c r="M241" i="3" s="1"/>
  <c r="L241" i="3" s="1"/>
  <c r="N239" i="3"/>
  <c r="N238" i="3"/>
  <c r="N237" i="3"/>
  <c r="N234" i="3"/>
  <c r="M234" i="3"/>
  <c r="L234" i="3" s="1"/>
  <c r="N233" i="3"/>
  <c r="M233" i="3"/>
  <c r="L233" i="3"/>
  <c r="N232" i="3"/>
  <c r="N231" i="3"/>
  <c r="N230" i="3"/>
  <c r="B230" i="3"/>
  <c r="H229" i="3" s="1"/>
  <c r="I229" i="3" s="1"/>
  <c r="N229" i="3"/>
  <c r="N228" i="3"/>
  <c r="N227" i="3"/>
  <c r="N224" i="3"/>
  <c r="M224" i="3"/>
  <c r="L224" i="3"/>
  <c r="N223" i="3"/>
  <c r="M223" i="3"/>
  <c r="L223" i="3"/>
  <c r="N222" i="3"/>
  <c r="M222" i="3"/>
  <c r="L222" i="3" s="1"/>
  <c r="N221" i="3"/>
  <c r="H221" i="3"/>
  <c r="I221" i="3" s="1"/>
  <c r="N220" i="3"/>
  <c r="B220" i="3"/>
  <c r="H224" i="3" s="1"/>
  <c r="I224" i="3" s="1"/>
  <c r="N219" i="3"/>
  <c r="M219" i="3"/>
  <c r="L219" i="3" s="1"/>
  <c r="N218" i="3"/>
  <c r="H218" i="3"/>
  <c r="I218" i="3" s="1"/>
  <c r="N217" i="3"/>
  <c r="N214" i="3"/>
  <c r="M214" i="3"/>
  <c r="L214" i="3" s="1"/>
  <c r="N213" i="3"/>
  <c r="M213" i="3"/>
  <c r="L213" i="3" s="1"/>
  <c r="N212" i="3"/>
  <c r="N211" i="3"/>
  <c r="N210" i="3"/>
  <c r="B210" i="3"/>
  <c r="H213" i="3" s="1"/>
  <c r="I213" i="3" s="1"/>
  <c r="N209" i="3"/>
  <c r="N208" i="3"/>
  <c r="N207" i="3"/>
  <c r="N204" i="3"/>
  <c r="M204" i="3"/>
  <c r="L204" i="3" s="1"/>
  <c r="N203" i="3"/>
  <c r="M203" i="3"/>
  <c r="L203" i="3" s="1"/>
  <c r="N202" i="3"/>
  <c r="N201" i="3"/>
  <c r="N200" i="3"/>
  <c r="B200" i="3"/>
  <c r="H197" i="3" s="1"/>
  <c r="I197" i="3" s="1"/>
  <c r="N199" i="3"/>
  <c r="N198" i="3"/>
  <c r="N197" i="3"/>
  <c r="N194" i="3"/>
  <c r="M194" i="3"/>
  <c r="L194" i="3" s="1"/>
  <c r="N193" i="3"/>
  <c r="M193" i="3"/>
  <c r="L193" i="3"/>
  <c r="N192" i="3"/>
  <c r="H192" i="3"/>
  <c r="I192" i="3" s="1"/>
  <c r="N191" i="3"/>
  <c r="N190" i="3"/>
  <c r="B190" i="3"/>
  <c r="H193" i="3" s="1"/>
  <c r="I193" i="3" s="1"/>
  <c r="N189" i="3"/>
  <c r="M189" i="3"/>
  <c r="L189" i="3" s="1"/>
  <c r="N188" i="3"/>
  <c r="H188" i="3"/>
  <c r="I188" i="3" s="1"/>
  <c r="N187" i="3"/>
  <c r="M187" i="3"/>
  <c r="L187" i="3" s="1"/>
  <c r="N184" i="3"/>
  <c r="M184" i="3"/>
  <c r="L184" i="3"/>
  <c r="N183" i="3"/>
  <c r="M183" i="3"/>
  <c r="L183" i="3" s="1"/>
  <c r="N182" i="3"/>
  <c r="N181" i="3"/>
  <c r="N180" i="3"/>
  <c r="B180" i="3"/>
  <c r="H182" i="3" s="1"/>
  <c r="I182" i="3" s="1"/>
  <c r="N179" i="3"/>
  <c r="N178" i="3"/>
  <c r="N177" i="3"/>
  <c r="N174" i="3"/>
  <c r="M174" i="3"/>
  <c r="L174" i="3" s="1"/>
  <c r="N173" i="3"/>
  <c r="M173" i="3"/>
  <c r="L173" i="3" s="1"/>
  <c r="N172" i="3"/>
  <c r="N171" i="3"/>
  <c r="N170" i="3"/>
  <c r="B170" i="3"/>
  <c r="H172" i="3" s="1"/>
  <c r="I172" i="3" s="1"/>
  <c r="N169" i="3"/>
  <c r="N168" i="3"/>
  <c r="N167" i="3"/>
  <c r="N164" i="3"/>
  <c r="M164" i="3"/>
  <c r="L164" i="3" s="1"/>
  <c r="N163" i="3"/>
  <c r="M163" i="3"/>
  <c r="L163" i="3"/>
  <c r="N162" i="3"/>
  <c r="N161" i="3"/>
  <c r="N160" i="3"/>
  <c r="B160" i="3"/>
  <c r="M162" i="3" s="1"/>
  <c r="L162" i="3" s="1"/>
  <c r="N159" i="3"/>
  <c r="N158" i="3"/>
  <c r="N157" i="3"/>
  <c r="N154" i="3"/>
  <c r="M154" i="3"/>
  <c r="L154" i="3"/>
  <c r="N153" i="3"/>
  <c r="M153" i="3"/>
  <c r="L153" i="3"/>
  <c r="N152" i="3"/>
  <c r="M152" i="3"/>
  <c r="L152" i="3" s="1"/>
  <c r="N151" i="3"/>
  <c r="N150" i="3"/>
  <c r="B150" i="3"/>
  <c r="H152" i="3" s="1"/>
  <c r="I152" i="3" s="1"/>
  <c r="N149" i="3"/>
  <c r="M149" i="3"/>
  <c r="L149" i="3"/>
  <c r="N148" i="3"/>
  <c r="N147" i="3"/>
  <c r="N144" i="3"/>
  <c r="M144" i="3"/>
  <c r="L144" i="3"/>
  <c r="N143" i="3"/>
  <c r="M143" i="3"/>
  <c r="L143" i="3" s="1"/>
  <c r="N142" i="3"/>
  <c r="N141" i="3"/>
  <c r="N140" i="3"/>
  <c r="B140" i="3"/>
  <c r="H144" i="3" s="1"/>
  <c r="I144" i="3" s="1"/>
  <c r="N139" i="3"/>
  <c r="M139" i="3"/>
  <c r="L139" i="3" s="1"/>
  <c r="N138" i="3"/>
  <c r="N137" i="3"/>
  <c r="N134" i="3"/>
  <c r="M134" i="3"/>
  <c r="L134" i="3" s="1"/>
  <c r="N133" i="3"/>
  <c r="M133" i="3"/>
  <c r="L133" i="3"/>
  <c r="N132" i="3"/>
  <c r="N131" i="3"/>
  <c r="N130" i="3"/>
  <c r="B130" i="3"/>
  <c r="H133" i="3" s="1"/>
  <c r="I133" i="3" s="1"/>
  <c r="N129" i="3"/>
  <c r="N128" i="3"/>
  <c r="N127" i="3"/>
  <c r="H181" i="3" l="1"/>
  <c r="I181" i="3" s="1"/>
  <c r="H151" i="3"/>
  <c r="I151" i="3" s="1"/>
  <c r="H154" i="3"/>
  <c r="I154" i="3" s="1"/>
  <c r="M182" i="3"/>
  <c r="L182" i="3" s="1"/>
  <c r="M190" i="3"/>
  <c r="L190" i="3" s="1"/>
  <c r="H148" i="3"/>
  <c r="I148" i="3" s="1"/>
  <c r="M179" i="3"/>
  <c r="L179" i="3" s="1"/>
  <c r="H187" i="3"/>
  <c r="I187" i="3" s="1"/>
  <c r="H189" i="3"/>
  <c r="I189" i="3" s="1"/>
  <c r="H194" i="3"/>
  <c r="I194" i="3" s="1"/>
  <c r="M191" i="3"/>
  <c r="L191" i="3" s="1"/>
  <c r="H230" i="3"/>
  <c r="I230" i="3" s="1"/>
  <c r="H184" i="3"/>
  <c r="I184" i="3" s="1"/>
  <c r="H178" i="3"/>
  <c r="I178" i="3" s="1"/>
  <c r="H190" i="3"/>
  <c r="I190" i="3" s="1"/>
  <c r="M188" i="3"/>
  <c r="L188" i="3" s="1"/>
  <c r="H168" i="3"/>
  <c r="I168" i="3" s="1"/>
  <c r="H174" i="3"/>
  <c r="I174" i="3" s="1"/>
  <c r="H227" i="3"/>
  <c r="I227" i="3" s="1"/>
  <c r="H127" i="3"/>
  <c r="I127" i="3" s="1"/>
  <c r="M131" i="3"/>
  <c r="L131" i="3" s="1"/>
  <c r="M169" i="3"/>
  <c r="L169" i="3" s="1"/>
  <c r="M172" i="3"/>
  <c r="L172" i="3" s="1"/>
  <c r="H203" i="3"/>
  <c r="I203" i="3" s="1"/>
  <c r="M128" i="3"/>
  <c r="L128" i="3" s="1"/>
  <c r="H138" i="3"/>
  <c r="I138" i="3" s="1"/>
  <c r="M142" i="3"/>
  <c r="L142" i="3" s="1"/>
  <c r="M147" i="3"/>
  <c r="L147" i="3" s="1"/>
  <c r="M150" i="3"/>
  <c r="L150" i="3" s="1"/>
  <c r="M177" i="3"/>
  <c r="L177" i="3" s="1"/>
  <c r="M180" i="3"/>
  <c r="L180" i="3" s="1"/>
  <c r="M259" i="3"/>
  <c r="L259" i="3" s="1"/>
  <c r="H263" i="3"/>
  <c r="I263" i="3" s="1"/>
  <c r="M170" i="3"/>
  <c r="L170" i="3" s="1"/>
  <c r="M167" i="3"/>
  <c r="L167" i="3" s="1"/>
  <c r="H171" i="3"/>
  <c r="I171" i="3" s="1"/>
  <c r="M130" i="3"/>
  <c r="L130" i="3" s="1"/>
  <c r="H130" i="3"/>
  <c r="I130" i="3" s="1"/>
  <c r="M231" i="3"/>
  <c r="L231" i="3" s="1"/>
  <c r="H261" i="3"/>
  <c r="I261" i="3" s="1"/>
  <c r="M127" i="3"/>
  <c r="L127" i="3" s="1"/>
  <c r="H141" i="3"/>
  <c r="I141" i="3" s="1"/>
  <c r="M228" i="3"/>
  <c r="L228" i="3" s="1"/>
  <c r="H258" i="3"/>
  <c r="I258" i="3" s="1"/>
  <c r="M262" i="3"/>
  <c r="L262" i="3" s="1"/>
  <c r="H240" i="3"/>
  <c r="I240" i="3" s="1"/>
  <c r="H232" i="3"/>
  <c r="I232" i="3" s="1"/>
  <c r="H250" i="3"/>
  <c r="I250" i="3" s="1"/>
  <c r="M251" i="3"/>
  <c r="L251" i="3" s="1"/>
  <c r="M227" i="3"/>
  <c r="L227" i="3" s="1"/>
  <c r="M230" i="3"/>
  <c r="L230" i="3" s="1"/>
  <c r="H239" i="3"/>
  <c r="I239" i="3" s="1"/>
  <c r="H242" i="3"/>
  <c r="I242" i="3" s="1"/>
  <c r="H234" i="3"/>
  <c r="I234" i="3" s="1"/>
  <c r="M240" i="3"/>
  <c r="L240" i="3" s="1"/>
  <c r="H228" i="3"/>
  <c r="I228" i="3" s="1"/>
  <c r="M229" i="3"/>
  <c r="L229" i="3" s="1"/>
  <c r="H231" i="3"/>
  <c r="I231" i="3" s="1"/>
  <c r="M232" i="3"/>
  <c r="L232" i="3" s="1"/>
  <c r="H244" i="3"/>
  <c r="I244" i="3" s="1"/>
  <c r="M247" i="3"/>
  <c r="L247" i="3" s="1"/>
  <c r="M250" i="3"/>
  <c r="L250" i="3" s="1"/>
  <c r="H259" i="3"/>
  <c r="I259" i="3" s="1"/>
  <c r="H262" i="3"/>
  <c r="I262" i="3" s="1"/>
  <c r="H243" i="3"/>
  <c r="I243" i="3" s="1"/>
  <c r="M238" i="3"/>
  <c r="L238" i="3" s="1"/>
  <c r="H247" i="3"/>
  <c r="I247" i="3" s="1"/>
  <c r="H257" i="3"/>
  <c r="I257" i="3" s="1"/>
  <c r="M258" i="3"/>
  <c r="L258" i="3" s="1"/>
  <c r="H260" i="3"/>
  <c r="I260" i="3" s="1"/>
  <c r="M261" i="3"/>
  <c r="L261" i="3" s="1"/>
  <c r="M237" i="3"/>
  <c r="L237" i="3" s="1"/>
  <c r="H249" i="3"/>
  <c r="I249" i="3" s="1"/>
  <c r="H252" i="3"/>
  <c r="I252" i="3" s="1"/>
  <c r="H238" i="3"/>
  <c r="I238" i="3" s="1"/>
  <c r="M239" i="3"/>
  <c r="L239" i="3" s="1"/>
  <c r="H241" i="3"/>
  <c r="I241" i="3" s="1"/>
  <c r="M242" i="3"/>
  <c r="L242" i="3" s="1"/>
  <c r="H254" i="3"/>
  <c r="I254" i="3" s="1"/>
  <c r="M257" i="3"/>
  <c r="L257" i="3" s="1"/>
  <c r="M260" i="3"/>
  <c r="L260" i="3" s="1"/>
  <c r="H233" i="3"/>
  <c r="I233" i="3" s="1"/>
  <c r="H248" i="3"/>
  <c r="I248" i="3" s="1"/>
  <c r="M249" i="3"/>
  <c r="L249" i="3" s="1"/>
  <c r="H251" i="3"/>
  <c r="I251" i="3" s="1"/>
  <c r="M252" i="3"/>
  <c r="L252" i="3" s="1"/>
  <c r="H237" i="3"/>
  <c r="I237" i="3" s="1"/>
  <c r="H253" i="3"/>
  <c r="I253" i="3" s="1"/>
  <c r="M198" i="3"/>
  <c r="L198" i="3" s="1"/>
  <c r="H207" i="3"/>
  <c r="I207" i="3" s="1"/>
  <c r="M208" i="3"/>
  <c r="L208" i="3" s="1"/>
  <c r="H210" i="3"/>
  <c r="I210" i="3" s="1"/>
  <c r="M211" i="3"/>
  <c r="L211" i="3" s="1"/>
  <c r="H223" i="3"/>
  <c r="I223" i="3" s="1"/>
  <c r="H199" i="3"/>
  <c r="I199" i="3" s="1"/>
  <c r="H202" i="3"/>
  <c r="I202" i="3" s="1"/>
  <c r="H217" i="3"/>
  <c r="I217" i="3" s="1"/>
  <c r="M218" i="3"/>
  <c r="L218" i="3" s="1"/>
  <c r="H220" i="3"/>
  <c r="I220" i="3" s="1"/>
  <c r="M221" i="3"/>
  <c r="L221" i="3" s="1"/>
  <c r="M197" i="3"/>
  <c r="L197" i="3" s="1"/>
  <c r="M200" i="3"/>
  <c r="L200" i="3" s="1"/>
  <c r="H209" i="3"/>
  <c r="I209" i="3" s="1"/>
  <c r="H212" i="3"/>
  <c r="I212" i="3" s="1"/>
  <c r="H191" i="3"/>
  <c r="I191" i="3" s="1"/>
  <c r="M192" i="3"/>
  <c r="L192" i="3" s="1"/>
  <c r="H204" i="3"/>
  <c r="I204" i="3" s="1"/>
  <c r="M207" i="3"/>
  <c r="L207" i="3" s="1"/>
  <c r="M210" i="3"/>
  <c r="L210" i="3" s="1"/>
  <c r="H219" i="3"/>
  <c r="I219" i="3" s="1"/>
  <c r="H222" i="3"/>
  <c r="I222" i="3" s="1"/>
  <c r="M201" i="3"/>
  <c r="L201" i="3" s="1"/>
  <c r="H198" i="3"/>
  <c r="I198" i="3" s="1"/>
  <c r="M199" i="3"/>
  <c r="L199" i="3" s="1"/>
  <c r="H201" i="3"/>
  <c r="I201" i="3" s="1"/>
  <c r="M202" i="3"/>
  <c r="L202" i="3" s="1"/>
  <c r="H214" i="3"/>
  <c r="I214" i="3" s="1"/>
  <c r="M217" i="3"/>
  <c r="L217" i="3" s="1"/>
  <c r="M220" i="3"/>
  <c r="L220" i="3" s="1"/>
  <c r="H208" i="3"/>
  <c r="I208" i="3" s="1"/>
  <c r="M209" i="3"/>
  <c r="L209" i="3" s="1"/>
  <c r="H211" i="3"/>
  <c r="I211" i="3" s="1"/>
  <c r="M212" i="3"/>
  <c r="L212" i="3" s="1"/>
  <c r="H200" i="3"/>
  <c r="I200" i="3" s="1"/>
  <c r="H183" i="3"/>
  <c r="I183" i="3" s="1"/>
  <c r="H177" i="3"/>
  <c r="I177" i="3" s="1"/>
  <c r="M178" i="3"/>
  <c r="L178" i="3" s="1"/>
  <c r="H180" i="3"/>
  <c r="I180" i="3" s="1"/>
  <c r="M181" i="3"/>
  <c r="L181" i="3" s="1"/>
  <c r="H179" i="3"/>
  <c r="I179" i="3" s="1"/>
  <c r="H173" i="3"/>
  <c r="I173" i="3" s="1"/>
  <c r="H167" i="3"/>
  <c r="I167" i="3" s="1"/>
  <c r="M168" i="3"/>
  <c r="L168" i="3" s="1"/>
  <c r="H170" i="3"/>
  <c r="I170" i="3" s="1"/>
  <c r="M171" i="3"/>
  <c r="L171" i="3" s="1"/>
  <c r="H169" i="3"/>
  <c r="I169" i="3" s="1"/>
  <c r="H157" i="3"/>
  <c r="I157" i="3" s="1"/>
  <c r="M158" i="3"/>
  <c r="L158" i="3" s="1"/>
  <c r="M161" i="3"/>
  <c r="L161" i="3" s="1"/>
  <c r="H159" i="3"/>
  <c r="I159" i="3" s="1"/>
  <c r="H162" i="3"/>
  <c r="I162" i="3" s="1"/>
  <c r="M157" i="3"/>
  <c r="L157" i="3" s="1"/>
  <c r="M160" i="3"/>
  <c r="L160" i="3" s="1"/>
  <c r="H164" i="3"/>
  <c r="I164" i="3" s="1"/>
  <c r="H163" i="3"/>
  <c r="I163" i="3" s="1"/>
  <c r="H160" i="3"/>
  <c r="I160" i="3" s="1"/>
  <c r="H158" i="3"/>
  <c r="I158" i="3" s="1"/>
  <c r="M159" i="3"/>
  <c r="L159" i="3" s="1"/>
  <c r="H161" i="3"/>
  <c r="I161" i="3" s="1"/>
  <c r="H153" i="3"/>
  <c r="I153" i="3" s="1"/>
  <c r="H147" i="3"/>
  <c r="I147" i="3" s="1"/>
  <c r="M148" i="3"/>
  <c r="L148" i="3" s="1"/>
  <c r="H150" i="3"/>
  <c r="I150" i="3" s="1"/>
  <c r="M151" i="3"/>
  <c r="L151" i="3" s="1"/>
  <c r="H149" i="3"/>
  <c r="I149" i="3" s="1"/>
  <c r="H143" i="3"/>
  <c r="I143" i="3" s="1"/>
  <c r="H137" i="3"/>
  <c r="I137" i="3" s="1"/>
  <c r="M138" i="3"/>
  <c r="L138" i="3" s="1"/>
  <c r="H140" i="3"/>
  <c r="I140" i="3" s="1"/>
  <c r="M141" i="3"/>
  <c r="L141" i="3" s="1"/>
  <c r="H139" i="3"/>
  <c r="I139" i="3" s="1"/>
  <c r="H142" i="3"/>
  <c r="I142" i="3" s="1"/>
  <c r="M137" i="3"/>
  <c r="L137" i="3" s="1"/>
  <c r="M140" i="3"/>
  <c r="L140" i="3" s="1"/>
  <c r="H129" i="3"/>
  <c r="I129" i="3" s="1"/>
  <c r="H132" i="3"/>
  <c r="I132" i="3" s="1"/>
  <c r="H134" i="3"/>
  <c r="I134" i="3" s="1"/>
  <c r="H128" i="3"/>
  <c r="I128" i="3" s="1"/>
  <c r="M129" i="3"/>
  <c r="L129" i="3" s="1"/>
  <c r="H131" i="3"/>
  <c r="I131" i="3" s="1"/>
  <c r="M132" i="3"/>
  <c r="L132" i="3" s="1"/>
  <c r="N124" i="3"/>
  <c r="M124" i="3"/>
  <c r="L124" i="3" s="1"/>
  <c r="N123" i="3"/>
  <c r="M123" i="3"/>
  <c r="L123" i="3" s="1"/>
  <c r="N122" i="3"/>
  <c r="N121" i="3"/>
  <c r="N120" i="3"/>
  <c r="B120" i="3"/>
  <c r="H122" i="3" s="1"/>
  <c r="I122" i="3" s="1"/>
  <c r="N119" i="3"/>
  <c r="N118" i="3"/>
  <c r="N117" i="3"/>
  <c r="N114" i="3"/>
  <c r="M114" i="3"/>
  <c r="L114" i="3" s="1"/>
  <c r="N113" i="3"/>
  <c r="M113" i="3"/>
  <c r="L113" i="3" s="1"/>
  <c r="N112" i="3"/>
  <c r="N111" i="3"/>
  <c r="N110" i="3"/>
  <c r="B110" i="3"/>
  <c r="H113" i="3" s="1"/>
  <c r="I113" i="3" s="1"/>
  <c r="N109" i="3"/>
  <c r="N108" i="3"/>
  <c r="N107" i="3"/>
  <c r="N104" i="3"/>
  <c r="M104" i="3"/>
  <c r="L104" i="3" s="1"/>
  <c r="N103" i="3"/>
  <c r="M103" i="3"/>
  <c r="L103" i="3" s="1"/>
  <c r="N102" i="3"/>
  <c r="N101" i="3"/>
  <c r="N100" i="3"/>
  <c r="B100" i="3"/>
  <c r="M101" i="3" s="1"/>
  <c r="L101" i="3" s="1"/>
  <c r="N99" i="3"/>
  <c r="N98" i="3"/>
  <c r="N97" i="3"/>
  <c r="N94" i="3"/>
  <c r="M94" i="3"/>
  <c r="L94" i="3" s="1"/>
  <c r="N93" i="3"/>
  <c r="M93" i="3"/>
  <c r="L93" i="3" s="1"/>
  <c r="N92" i="3"/>
  <c r="N91" i="3"/>
  <c r="N90" i="3"/>
  <c r="H90" i="3"/>
  <c r="I90" i="3" s="1"/>
  <c r="B90" i="3"/>
  <c r="H93" i="3" s="1"/>
  <c r="I93" i="3" s="1"/>
  <c r="N89" i="3"/>
  <c r="M89" i="3"/>
  <c r="L89" i="3" s="1"/>
  <c r="N88" i="3"/>
  <c r="M88" i="3"/>
  <c r="L88" i="3" s="1"/>
  <c r="N87" i="3"/>
  <c r="H87" i="3"/>
  <c r="I87" i="3" s="1"/>
  <c r="N84" i="3"/>
  <c r="M84" i="3"/>
  <c r="L84" i="3"/>
  <c r="N83" i="3"/>
  <c r="M83" i="3"/>
  <c r="L83" i="3" s="1"/>
  <c r="N82" i="3"/>
  <c r="N81" i="3"/>
  <c r="N80" i="3"/>
  <c r="B80" i="3"/>
  <c r="H82" i="3" s="1"/>
  <c r="I82" i="3" s="1"/>
  <c r="N79" i="3"/>
  <c r="N78" i="3"/>
  <c r="N77" i="3"/>
  <c r="N74" i="3"/>
  <c r="M74" i="3"/>
  <c r="L74" i="3" s="1"/>
  <c r="N73" i="3"/>
  <c r="M73" i="3"/>
  <c r="L73" i="3" s="1"/>
  <c r="N72" i="3"/>
  <c r="N71" i="3"/>
  <c r="N70" i="3"/>
  <c r="B70" i="3"/>
  <c r="H72" i="3" s="1"/>
  <c r="N69" i="3"/>
  <c r="N68" i="3"/>
  <c r="N67" i="3"/>
  <c r="N64" i="3"/>
  <c r="M64" i="3"/>
  <c r="L64" i="3"/>
  <c r="N63" i="3"/>
  <c r="M63" i="3"/>
  <c r="L63" i="3"/>
  <c r="N62" i="3"/>
  <c r="N61" i="3"/>
  <c r="N60" i="3"/>
  <c r="B60" i="3"/>
  <c r="H63" i="3" s="1"/>
  <c r="I63" i="3" s="1"/>
  <c r="N59" i="3"/>
  <c r="N58" i="3"/>
  <c r="N57" i="3"/>
  <c r="N54" i="3"/>
  <c r="M54" i="3"/>
  <c r="L54" i="3" s="1"/>
  <c r="N53" i="3"/>
  <c r="M53" i="3"/>
  <c r="L53" i="3" s="1"/>
  <c r="N52" i="3"/>
  <c r="N51" i="3"/>
  <c r="N50" i="3"/>
  <c r="B50" i="3"/>
  <c r="M51" i="3" s="1"/>
  <c r="L51" i="3" s="1"/>
  <c r="N49" i="3"/>
  <c r="N48" i="3"/>
  <c r="N47" i="3"/>
  <c r="N44" i="3"/>
  <c r="M44" i="3"/>
  <c r="L44" i="3"/>
  <c r="N43" i="3"/>
  <c r="M43" i="3"/>
  <c r="L43" i="3" s="1"/>
  <c r="N42" i="3"/>
  <c r="N41" i="3"/>
  <c r="N40" i="3"/>
  <c r="B40" i="3"/>
  <c r="M41" i="3" s="1"/>
  <c r="L41" i="3" s="1"/>
  <c r="N39" i="3"/>
  <c r="N38" i="3"/>
  <c r="N37" i="3"/>
  <c r="N34" i="3"/>
  <c r="M34" i="3"/>
  <c r="L34" i="3" s="1"/>
  <c r="N33" i="3"/>
  <c r="M33" i="3"/>
  <c r="L33" i="3"/>
  <c r="N32" i="3"/>
  <c r="M32" i="3"/>
  <c r="L32" i="3" s="1"/>
  <c r="N31" i="3"/>
  <c r="N30" i="3"/>
  <c r="B30" i="3"/>
  <c r="M30" i="3" s="1"/>
  <c r="L30" i="3" s="1"/>
  <c r="N29" i="3"/>
  <c r="M29" i="3"/>
  <c r="L29" i="3"/>
  <c r="N28" i="3"/>
  <c r="N27" i="3"/>
  <c r="N24" i="3"/>
  <c r="M24" i="3"/>
  <c r="L24" i="3" s="1"/>
  <c r="N23" i="3"/>
  <c r="M23" i="3"/>
  <c r="L23" i="3"/>
  <c r="N22" i="3"/>
  <c r="N21" i="3"/>
  <c r="N20" i="3"/>
  <c r="B20" i="3"/>
  <c r="M21" i="3" s="1"/>
  <c r="L21" i="3" s="1"/>
  <c r="N19" i="3"/>
  <c r="N18" i="3"/>
  <c r="N17" i="3"/>
  <c r="H17" i="3"/>
  <c r="I17" i="3" s="1"/>
  <c r="L13" i="3"/>
  <c r="M14" i="3"/>
  <c r="L14" i="3" s="1"/>
  <c r="M13" i="3"/>
  <c r="N13" i="3"/>
  <c r="N14" i="3"/>
  <c r="H58" i="3" l="1"/>
  <c r="I58" i="3" s="1"/>
  <c r="H64" i="3"/>
  <c r="I64" i="3" s="1"/>
  <c r="M58" i="3"/>
  <c r="L58" i="3" s="1"/>
  <c r="H81" i="3"/>
  <c r="I81" i="3" s="1"/>
  <c r="H31" i="3"/>
  <c r="I31" i="3" s="1"/>
  <c r="H34" i="3"/>
  <c r="I34" i="3" s="1"/>
  <c r="H59" i="3"/>
  <c r="I59" i="3" s="1"/>
  <c r="M82" i="3"/>
  <c r="L82" i="3" s="1"/>
  <c r="M59" i="3"/>
  <c r="L59" i="3" s="1"/>
  <c r="M79" i="3"/>
  <c r="L79" i="3" s="1"/>
  <c r="M87" i="3"/>
  <c r="L87" i="3" s="1"/>
  <c r="H57" i="3"/>
  <c r="I57" i="3" s="1"/>
  <c r="H91" i="3"/>
  <c r="I91" i="3" s="1"/>
  <c r="M57" i="3"/>
  <c r="L57" i="3" s="1"/>
  <c r="M80" i="3"/>
  <c r="L80" i="3" s="1"/>
  <c r="M60" i="3"/>
  <c r="L60" i="3" s="1"/>
  <c r="M61" i="3"/>
  <c r="L61" i="3" s="1"/>
  <c r="H84" i="3"/>
  <c r="I84" i="3" s="1"/>
  <c r="M77" i="3"/>
  <c r="L77" i="3" s="1"/>
  <c r="H78" i="3"/>
  <c r="I78" i="3" s="1"/>
  <c r="H42" i="3"/>
  <c r="I42" i="3" s="1"/>
  <c r="M19" i="3"/>
  <c r="L19" i="3" s="1"/>
  <c r="M22" i="3"/>
  <c r="L22" i="3" s="1"/>
  <c r="H39" i="3"/>
  <c r="I39" i="3" s="1"/>
  <c r="M69" i="3"/>
  <c r="L69" i="3" s="1"/>
  <c r="H71" i="3"/>
  <c r="I71" i="3" s="1"/>
  <c r="M99" i="3"/>
  <c r="L99" i="3" s="1"/>
  <c r="H107" i="3"/>
  <c r="I107" i="3" s="1"/>
  <c r="M109" i="3"/>
  <c r="L109" i="3" s="1"/>
  <c r="M111" i="3"/>
  <c r="L111" i="3" s="1"/>
  <c r="H28" i="3"/>
  <c r="I28" i="3" s="1"/>
  <c r="H61" i="3"/>
  <c r="I61" i="3" s="1"/>
  <c r="H70" i="3"/>
  <c r="I70" i="3" s="1"/>
  <c r="M91" i="3"/>
  <c r="L91" i="3" s="1"/>
  <c r="H94" i="3"/>
  <c r="I94" i="3" s="1"/>
  <c r="M107" i="3"/>
  <c r="L107" i="3" s="1"/>
  <c r="H114" i="3"/>
  <c r="I114" i="3" s="1"/>
  <c r="M119" i="3"/>
  <c r="L119" i="3" s="1"/>
  <c r="M122" i="3"/>
  <c r="L122" i="3" s="1"/>
  <c r="H108" i="3"/>
  <c r="I108" i="3" s="1"/>
  <c r="H110" i="3"/>
  <c r="I110" i="3" s="1"/>
  <c r="H18" i="3"/>
  <c r="I18" i="3" s="1"/>
  <c r="M40" i="3"/>
  <c r="L40" i="3" s="1"/>
  <c r="H62" i="3"/>
  <c r="I62" i="3" s="1"/>
  <c r="H67" i="3"/>
  <c r="I67" i="3" s="1"/>
  <c r="M92" i="3"/>
  <c r="L92" i="3" s="1"/>
  <c r="H101" i="3"/>
  <c r="I101" i="3" s="1"/>
  <c r="H104" i="3"/>
  <c r="I104" i="3" s="1"/>
  <c r="M108" i="3"/>
  <c r="L108" i="3" s="1"/>
  <c r="M112" i="3"/>
  <c r="L112" i="3" s="1"/>
  <c r="M117" i="3"/>
  <c r="L117" i="3" s="1"/>
  <c r="M120" i="3"/>
  <c r="L120" i="3" s="1"/>
  <c r="H20" i="3"/>
  <c r="I20" i="3" s="1"/>
  <c r="H68" i="3"/>
  <c r="I68" i="3" s="1"/>
  <c r="H21" i="3"/>
  <c r="I21" i="3" s="1"/>
  <c r="M37" i="3"/>
  <c r="L37" i="3" s="1"/>
  <c r="M62" i="3"/>
  <c r="L62" i="3" s="1"/>
  <c r="M72" i="3"/>
  <c r="L72" i="3" s="1"/>
  <c r="H74" i="3"/>
  <c r="I74" i="3" s="1"/>
  <c r="H98" i="3"/>
  <c r="I98" i="3" s="1"/>
  <c r="M110" i="3"/>
  <c r="L110" i="3" s="1"/>
  <c r="H69" i="3"/>
  <c r="I69" i="3" s="1"/>
  <c r="H112" i="3"/>
  <c r="I112" i="3" s="1"/>
  <c r="M18" i="3"/>
  <c r="L18" i="3" s="1"/>
  <c r="H24" i="3"/>
  <c r="I24" i="3" s="1"/>
  <c r="H60" i="3"/>
  <c r="I60" i="3" s="1"/>
  <c r="H73" i="3"/>
  <c r="I73" i="3" s="1"/>
  <c r="H88" i="3"/>
  <c r="I88" i="3" s="1"/>
  <c r="M90" i="3"/>
  <c r="L90" i="3" s="1"/>
  <c r="H109" i="3"/>
  <c r="I109" i="3" s="1"/>
  <c r="H118" i="3"/>
  <c r="I118" i="3" s="1"/>
  <c r="H121" i="3"/>
  <c r="I121" i="3" s="1"/>
  <c r="H124" i="3"/>
  <c r="I124" i="3" s="1"/>
  <c r="M102" i="3"/>
  <c r="L102" i="3" s="1"/>
  <c r="H111" i="3"/>
  <c r="I111" i="3" s="1"/>
  <c r="H123" i="3"/>
  <c r="I123" i="3" s="1"/>
  <c r="H117" i="3"/>
  <c r="I117" i="3" s="1"/>
  <c r="M118" i="3"/>
  <c r="L118" i="3" s="1"/>
  <c r="H120" i="3"/>
  <c r="I120" i="3" s="1"/>
  <c r="M121" i="3"/>
  <c r="L121" i="3" s="1"/>
  <c r="H119" i="3"/>
  <c r="I119" i="3" s="1"/>
  <c r="H99" i="3"/>
  <c r="I99" i="3" s="1"/>
  <c r="H102" i="3"/>
  <c r="I102" i="3" s="1"/>
  <c r="M97" i="3"/>
  <c r="L97" i="3" s="1"/>
  <c r="M100" i="3"/>
  <c r="L100" i="3" s="1"/>
  <c r="H103" i="3"/>
  <c r="I103" i="3" s="1"/>
  <c r="H97" i="3"/>
  <c r="I97" i="3" s="1"/>
  <c r="M98" i="3"/>
  <c r="L98" i="3" s="1"/>
  <c r="H100" i="3"/>
  <c r="I100" i="3" s="1"/>
  <c r="H89" i="3"/>
  <c r="I89" i="3" s="1"/>
  <c r="H92" i="3"/>
  <c r="I92" i="3" s="1"/>
  <c r="H83" i="3"/>
  <c r="I83" i="3" s="1"/>
  <c r="H77" i="3"/>
  <c r="I77" i="3" s="1"/>
  <c r="M78" i="3"/>
  <c r="L78" i="3" s="1"/>
  <c r="H80" i="3"/>
  <c r="I80" i="3" s="1"/>
  <c r="M81" i="3"/>
  <c r="L81" i="3" s="1"/>
  <c r="H79" i="3"/>
  <c r="I79" i="3" s="1"/>
  <c r="M68" i="3"/>
  <c r="L68" i="3" s="1"/>
  <c r="M71" i="3"/>
  <c r="L71" i="3" s="1"/>
  <c r="M67" i="3"/>
  <c r="L67" i="3" s="1"/>
  <c r="M70" i="3"/>
  <c r="L70" i="3" s="1"/>
  <c r="I72" i="3"/>
  <c r="H49" i="3"/>
  <c r="I49" i="3" s="1"/>
  <c r="H52" i="3"/>
  <c r="I52" i="3" s="1"/>
  <c r="M47" i="3"/>
  <c r="L47" i="3" s="1"/>
  <c r="H54" i="3"/>
  <c r="I54" i="3" s="1"/>
  <c r="M50" i="3"/>
  <c r="L50" i="3" s="1"/>
  <c r="H48" i="3"/>
  <c r="I48" i="3" s="1"/>
  <c r="M49" i="3"/>
  <c r="L49" i="3" s="1"/>
  <c r="H51" i="3"/>
  <c r="I51" i="3" s="1"/>
  <c r="M52" i="3"/>
  <c r="L52" i="3" s="1"/>
  <c r="H53" i="3"/>
  <c r="I53" i="3" s="1"/>
  <c r="H47" i="3"/>
  <c r="I47" i="3" s="1"/>
  <c r="M48" i="3"/>
  <c r="L48" i="3" s="1"/>
  <c r="H50" i="3"/>
  <c r="I50" i="3" s="1"/>
  <c r="H44" i="3"/>
  <c r="I44" i="3" s="1"/>
  <c r="H38" i="3"/>
  <c r="I38" i="3" s="1"/>
  <c r="M39" i="3"/>
  <c r="L39" i="3" s="1"/>
  <c r="H41" i="3"/>
  <c r="I41" i="3" s="1"/>
  <c r="M42" i="3"/>
  <c r="L42" i="3" s="1"/>
  <c r="H43" i="3"/>
  <c r="I43" i="3" s="1"/>
  <c r="H37" i="3"/>
  <c r="I37" i="3" s="1"/>
  <c r="M38" i="3"/>
  <c r="L38" i="3" s="1"/>
  <c r="H40" i="3"/>
  <c r="I40" i="3" s="1"/>
  <c r="H33" i="3"/>
  <c r="I33" i="3" s="1"/>
  <c r="H27" i="3"/>
  <c r="I27" i="3" s="1"/>
  <c r="H30" i="3"/>
  <c r="I30" i="3" s="1"/>
  <c r="M31" i="3"/>
  <c r="L31" i="3" s="1"/>
  <c r="M28" i="3"/>
  <c r="L28" i="3" s="1"/>
  <c r="H29" i="3"/>
  <c r="I29" i="3" s="1"/>
  <c r="H32" i="3"/>
  <c r="I32" i="3" s="1"/>
  <c r="M27" i="3"/>
  <c r="L27" i="3" s="1"/>
  <c r="H19" i="3"/>
  <c r="I19" i="3" s="1"/>
  <c r="H22" i="3"/>
  <c r="I22" i="3" s="1"/>
  <c r="M17" i="3"/>
  <c r="L17" i="3" s="1"/>
  <c r="M20" i="3"/>
  <c r="L20" i="3" s="1"/>
  <c r="H23" i="3"/>
  <c r="I23" i="3" s="1"/>
  <c r="J17" i="1"/>
  <c r="N12" i="3" l="1"/>
  <c r="N11" i="3"/>
  <c r="N10" i="3"/>
  <c r="B10" i="3"/>
  <c r="N9" i="3"/>
  <c r="N8" i="3"/>
  <c r="N7" i="3"/>
  <c r="D2" i="3"/>
  <c r="D1" i="3"/>
  <c r="M12" i="3" l="1"/>
  <c r="H14" i="3"/>
  <c r="I14" i="3" s="1"/>
  <c r="H13" i="3"/>
  <c r="I13" i="3" s="1"/>
  <c r="H9" i="3"/>
  <c r="H8" i="3"/>
  <c r="H11" i="3"/>
  <c r="M10" i="3"/>
  <c r="L10" i="3" s="1"/>
  <c r="H7" i="3"/>
  <c r="M9" i="3"/>
  <c r="L9" i="3" s="1"/>
  <c r="M8" i="3"/>
  <c r="L8" i="3" s="1"/>
  <c r="L12" i="3"/>
  <c r="M11" i="3"/>
  <c r="L11" i="3" s="1"/>
  <c r="H10" i="3"/>
  <c r="H12" i="3"/>
  <c r="M7" i="3"/>
  <c r="L7" i="3" s="1"/>
  <c r="I9" i="3" l="1"/>
  <c r="I11" i="3"/>
  <c r="I7" i="3"/>
  <c r="I10" i="3"/>
  <c r="I8" i="3"/>
  <c r="I12" i="3"/>
</calcChain>
</file>

<file path=xl/sharedStrings.xml><?xml version="1.0" encoding="utf-8"?>
<sst xmlns="http://schemas.openxmlformats.org/spreadsheetml/2006/main" count="340" uniqueCount="48">
  <si>
    <t>LC</t>
  </si>
  <si>
    <t>Kn</t>
  </si>
  <si>
    <t>f'c =</t>
  </si>
  <si>
    <t>MPa</t>
  </si>
  <si>
    <t>bBar</t>
  </si>
  <si>
    <t>fy =</t>
  </si>
  <si>
    <t xml:space="preserve">phi = </t>
  </si>
  <si>
    <t>gamma =</t>
  </si>
  <si>
    <t>Rny</t>
  </si>
  <si>
    <t>Rho</t>
  </si>
  <si>
    <t>b =</t>
  </si>
  <si>
    <t>h =</t>
  </si>
  <si>
    <t>Ag =</t>
  </si>
  <si>
    <t>Range:</t>
  </si>
  <si>
    <t>NXX</t>
  </si>
  <si>
    <t>kN/m</t>
  </si>
  <si>
    <t>NYY</t>
  </si>
  <si>
    <t>MXX</t>
  </si>
  <si>
    <t>kNm/m</t>
  </si>
  <si>
    <t>Panel ID</t>
  </si>
  <si>
    <t>Pier / Wall</t>
  </si>
  <si>
    <t>NXY</t>
  </si>
  <si>
    <t>3F-W1</t>
  </si>
  <si>
    <t>5F-W1</t>
  </si>
  <si>
    <t>Roof-W1</t>
  </si>
  <si>
    <t>3F-W2</t>
  </si>
  <si>
    <t>5F-W2</t>
  </si>
  <si>
    <t>Roof-W2</t>
  </si>
  <si>
    <t>2F-W2</t>
  </si>
  <si>
    <t>2F-W1</t>
  </si>
  <si>
    <t>2F-W3</t>
  </si>
  <si>
    <t>3F-W3</t>
  </si>
  <si>
    <t>5F-W3</t>
  </si>
  <si>
    <t>Roof-W3</t>
  </si>
  <si>
    <t>2F-W4</t>
  </si>
  <si>
    <t>3F-W4</t>
  </si>
  <si>
    <t>5F-W4</t>
  </si>
  <si>
    <t>Roof-W4</t>
  </si>
  <si>
    <t>2F-W5</t>
  </si>
  <si>
    <t>2F-W6</t>
  </si>
  <si>
    <t>3F-W6</t>
  </si>
  <si>
    <t>5F-W6</t>
  </si>
  <si>
    <t>Roof-W6</t>
  </si>
  <si>
    <t>2F-W7</t>
  </si>
  <si>
    <t>3F-W7</t>
  </si>
  <si>
    <t>5F-W7</t>
  </si>
  <si>
    <t>Roof-W7</t>
  </si>
  <si>
    <t>MZ-W5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</si>
</sst>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4" fillId="0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</cellXfs>
  <cellStyles count="1">
    <cellStyle name="Normal" xfId="0" builtinId="0"/>
  </cellStyles>
  <dxfs count="8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7"/>
  <sheetViews>
    <sheetView zoomScaleNormal="100" workbookViewId="0">
      <selection activeCell="J6" sqref="J6:M13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24" t="s">
        <v>19</v>
      </c>
      <c r="B4" s="1" t="s">
        <v>14</v>
      </c>
      <c r="C4" s="1" t="s">
        <v>16</v>
      </c>
      <c r="D4" s="16" t="s">
        <v>21</v>
      </c>
      <c r="E4" s="1" t="s">
        <v>17</v>
      </c>
      <c r="F4" s="24" t="s">
        <v>0</v>
      </c>
      <c r="G4" s="15"/>
      <c r="I4" s="24" t="s">
        <v>19</v>
      </c>
      <c r="J4" s="13" t="s">
        <v>14</v>
      </c>
      <c r="K4" s="13" t="s">
        <v>16</v>
      </c>
      <c r="L4" s="16" t="s">
        <v>21</v>
      </c>
      <c r="M4" s="13" t="s">
        <v>17</v>
      </c>
      <c r="N4" s="24" t="s">
        <v>0</v>
      </c>
    </row>
    <row r="5" spans="1:14" x14ac:dyDescent="0.3">
      <c r="A5" s="24"/>
      <c r="B5" s="1" t="s">
        <v>15</v>
      </c>
      <c r="C5" s="12" t="s">
        <v>15</v>
      </c>
      <c r="D5" s="16" t="s">
        <v>15</v>
      </c>
      <c r="E5" s="12" t="s">
        <v>18</v>
      </c>
      <c r="F5" s="24"/>
      <c r="G5" s="15"/>
      <c r="I5" s="24"/>
      <c r="J5" s="13" t="s">
        <v>15</v>
      </c>
      <c r="K5" s="13" t="s">
        <v>15</v>
      </c>
      <c r="L5" s="16" t="s">
        <v>15</v>
      </c>
      <c r="M5" s="13" t="s">
        <v>18</v>
      </c>
      <c r="N5" s="24"/>
    </row>
    <row r="6" spans="1:14" x14ac:dyDescent="0.3">
      <c r="H6" s="11">
        <v>0</v>
      </c>
      <c r="J6" s="21"/>
      <c r="K6" s="22"/>
      <c r="L6" s="22"/>
      <c r="M6" s="22"/>
      <c r="N6" s="9"/>
    </row>
    <row r="7" spans="1:14" x14ac:dyDescent="0.3">
      <c r="H7" s="11">
        <v>1</v>
      </c>
      <c r="J7" s="21"/>
      <c r="K7" s="22"/>
      <c r="L7" s="22"/>
      <c r="M7" s="22"/>
      <c r="N7" s="9"/>
    </row>
    <row r="8" spans="1:14" x14ac:dyDescent="0.3">
      <c r="H8" s="11">
        <v>2</v>
      </c>
      <c r="J8" s="22"/>
      <c r="K8" s="21"/>
      <c r="L8" s="22"/>
      <c r="M8" s="22"/>
      <c r="N8" s="9"/>
    </row>
    <row r="9" spans="1:14" x14ac:dyDescent="0.3">
      <c r="H9" s="11">
        <v>3</v>
      </c>
      <c r="J9" s="22"/>
      <c r="K9" s="21"/>
      <c r="L9" s="22"/>
      <c r="M9" s="22"/>
      <c r="N9" s="9"/>
    </row>
    <row r="10" spans="1:14" x14ac:dyDescent="0.3">
      <c r="H10" s="11">
        <v>4</v>
      </c>
      <c r="J10" s="22"/>
      <c r="K10" s="22"/>
      <c r="L10" s="21"/>
      <c r="M10" s="22"/>
      <c r="N10" s="9"/>
    </row>
    <row r="11" spans="1:14" x14ac:dyDescent="0.3">
      <c r="H11" s="11">
        <v>5</v>
      </c>
      <c r="J11" s="22"/>
      <c r="K11" s="22"/>
      <c r="L11" s="21"/>
      <c r="M11" s="22"/>
      <c r="N11" s="9"/>
    </row>
    <row r="12" spans="1:14" x14ac:dyDescent="0.3">
      <c r="H12" s="11">
        <v>6</v>
      </c>
      <c r="J12" s="22"/>
      <c r="K12" s="22"/>
      <c r="L12" s="22"/>
      <c r="M12" s="21"/>
      <c r="N12" s="9"/>
    </row>
    <row r="13" spans="1:14" x14ac:dyDescent="0.3">
      <c r="H13" s="11">
        <v>7</v>
      </c>
      <c r="J13" s="22"/>
      <c r="K13" s="22"/>
      <c r="L13" s="22"/>
      <c r="M13" s="21"/>
      <c r="N13" s="9"/>
    </row>
    <row r="14" spans="1:14" x14ac:dyDescent="0.3">
      <c r="J14" s="8"/>
      <c r="K14" s="8"/>
      <c r="L14" s="8"/>
      <c r="M14" s="9"/>
      <c r="N14" s="14"/>
    </row>
    <row r="15" spans="1:14" x14ac:dyDescent="0.3">
      <c r="I15" s="17">
        <v>0</v>
      </c>
      <c r="J15" s="17">
        <v>1</v>
      </c>
      <c r="K15" s="17">
        <v>2</v>
      </c>
      <c r="L15" s="17">
        <v>3</v>
      </c>
      <c r="M15" s="17">
        <v>4</v>
      </c>
      <c r="N15" s="18">
        <v>5</v>
      </c>
    </row>
    <row r="17" spans="9:10" x14ac:dyDescent="0.3">
      <c r="I17" s="3" t="s">
        <v>13</v>
      </c>
      <c r="J17" s="11">
        <f>COUNTA(A6:A100000)</f>
        <v>0</v>
      </c>
    </row>
  </sheetData>
  <mergeCells count="4">
    <mergeCell ref="A4:A5"/>
    <mergeCell ref="F4:F5"/>
    <mergeCell ref="N4:N5"/>
    <mergeCell ref="I4:I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holder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apaya_extract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4"/>
  <sheetViews>
    <sheetView tabSelected="1" zoomScaleNormal="100" workbookViewId="0">
      <pane ySplit="1608" topLeftCell="A243" activePane="bottomLeft"/>
      <selection activeCell="E1" sqref="E1:E1048576"/>
      <selection pane="bottomLeft" activeCell="C249" sqref="C249"/>
    </sheetView>
  </sheetViews>
  <sheetFormatPr defaultRowHeight="13.2" x14ac:dyDescent="0.3"/>
  <cols>
    <col min="1" max="2" width="12.77734375" style="1" customWidth="1"/>
    <col min="3" max="4" width="10.77734375" style="1" customWidth="1"/>
    <col min="5" max="5" width="10.77734375" style="19" customWidth="1"/>
    <col min="6" max="6" width="10.77734375" style="1" customWidth="1"/>
    <col min="7" max="7" width="2.77734375" style="1" customWidth="1"/>
    <col min="8" max="9" width="8.88671875" style="1"/>
    <col min="10" max="10" width="2.77734375" style="1" customWidth="1"/>
    <col min="11" max="13" width="8.77734375" style="1" customWidth="1"/>
    <col min="14" max="16384" width="8.88671875" style="1"/>
  </cols>
  <sheetData>
    <row r="1" spans="1:15" ht="14.4" customHeight="1" x14ac:dyDescent="0.3">
      <c r="A1" s="2" t="s">
        <v>2</v>
      </c>
      <c r="B1" s="4">
        <v>27.5</v>
      </c>
      <c r="C1" s="5" t="s">
        <v>3</v>
      </c>
      <c r="D1" s="6">
        <f>B1*145.0377/1000</f>
        <v>3.9885367500000002</v>
      </c>
      <c r="E1" s="6"/>
      <c r="I1" s="25" t="s">
        <v>4</v>
      </c>
    </row>
    <row r="2" spans="1:15" x14ac:dyDescent="0.3">
      <c r="A2" s="2" t="s">
        <v>5</v>
      </c>
      <c r="B2" s="4">
        <v>414</v>
      </c>
      <c r="C2" s="5" t="s">
        <v>3</v>
      </c>
      <c r="D2" s="6">
        <f>B2*145.0377/1000</f>
        <v>60.045607799999999</v>
      </c>
      <c r="E2" s="6"/>
      <c r="I2" s="25"/>
    </row>
    <row r="3" spans="1:15" x14ac:dyDescent="0.3">
      <c r="A3" s="2" t="s">
        <v>6</v>
      </c>
      <c r="B3" s="4">
        <v>0.7</v>
      </c>
      <c r="I3" s="25"/>
    </row>
    <row r="4" spans="1:15" x14ac:dyDescent="0.3">
      <c r="A4" s="2" t="s">
        <v>7</v>
      </c>
      <c r="B4" s="4">
        <v>0.9</v>
      </c>
      <c r="I4" s="25"/>
    </row>
    <row r="5" spans="1:15" x14ac:dyDescent="0.3">
      <c r="A5" s="2"/>
      <c r="B5" s="4"/>
      <c r="I5" s="25"/>
    </row>
    <row r="6" spans="1:15" x14ac:dyDescent="0.3">
      <c r="B6" s="1" t="s">
        <v>20</v>
      </c>
      <c r="C6" s="19" t="s">
        <v>14</v>
      </c>
      <c r="D6" s="19" t="s">
        <v>16</v>
      </c>
      <c r="E6" s="19" t="s">
        <v>21</v>
      </c>
      <c r="F6" s="19" t="s">
        <v>17</v>
      </c>
      <c r="H6" s="1" t="s">
        <v>1</v>
      </c>
      <c r="I6" s="1" t="s">
        <v>8</v>
      </c>
      <c r="K6" s="1" t="s">
        <v>9</v>
      </c>
    </row>
    <row r="7" spans="1:15" x14ac:dyDescent="0.3">
      <c r="A7" s="20"/>
      <c r="B7" s="7" t="s">
        <v>29</v>
      </c>
      <c r="C7" s="21">
        <v>-7816.893028927354</v>
      </c>
      <c r="D7" s="22">
        <v>-2805.4212403312772</v>
      </c>
      <c r="E7" s="22">
        <v>-2084.999605521863</v>
      </c>
      <c r="F7" s="22">
        <v>5.6991619683076333</v>
      </c>
      <c r="H7" s="8">
        <f>($C7*1000/$B$3)/$B10/$B$1</f>
        <v>-2.030361825695417</v>
      </c>
      <c r="I7" s="8">
        <f>(ABS(($F7+0.1)*1000)/$C7)*($H7/$B9)</f>
        <v>7.5313791796203034E-3</v>
      </c>
      <c r="L7" s="9">
        <f>M7/O7</f>
        <v>0</v>
      </c>
      <c r="M7" s="1">
        <f>B10*K7</f>
        <v>0</v>
      </c>
      <c r="N7" s="1" t="str">
        <f>IF(O7=490, "D25",IF(O7=314,"D20","D16"))</f>
        <v>D16</v>
      </c>
      <c r="O7" s="1">
        <v>201</v>
      </c>
    </row>
    <row r="8" spans="1:15" x14ac:dyDescent="0.3">
      <c r="A8" s="2" t="s">
        <v>10</v>
      </c>
      <c r="B8" s="4">
        <v>1000</v>
      </c>
      <c r="C8" s="21">
        <v>6921.5741049862108</v>
      </c>
      <c r="D8" s="22">
        <v>2860.9816862958905</v>
      </c>
      <c r="E8" s="22">
        <v>2109.1806994677686</v>
      </c>
      <c r="F8" s="22">
        <v>24.09771336890725</v>
      </c>
      <c r="H8" s="8">
        <f>($C8*1000/$B$3)/$B10/$B$1</f>
        <v>1.7978114558405742</v>
      </c>
      <c r="I8" s="8">
        <f>(ABS(($F8+0.1)*1000)/$C8)*($H8/$B9)</f>
        <v>3.1425601777801619E-2</v>
      </c>
      <c r="L8" s="9">
        <f>M8/O7</f>
        <v>0</v>
      </c>
      <c r="M8" s="1">
        <f>B10*K8</f>
        <v>0</v>
      </c>
      <c r="N8" s="1" t="str">
        <f>IF(O7=490, "D25",IF(O7=314,"D20","D16"))</f>
        <v>D16</v>
      </c>
      <c r="O8" s="7"/>
    </row>
    <row r="9" spans="1:15" x14ac:dyDescent="0.3">
      <c r="A9" s="2" t="s">
        <v>11</v>
      </c>
      <c r="B9" s="4">
        <v>200</v>
      </c>
      <c r="C9" s="22">
        <v>-3886.1665899452164</v>
      </c>
      <c r="D9" s="21">
        <v>-3167.3156066310939</v>
      </c>
      <c r="E9" s="22">
        <v>-2115.5917650101851</v>
      </c>
      <c r="F9" s="22">
        <v>-8.8287688426456334</v>
      </c>
      <c r="H9" s="8">
        <f>($C9*1000/$B$3)/$B10/$B$1</f>
        <v>-1.00939391946629</v>
      </c>
      <c r="I9" s="8">
        <f>(ABS(($F9+0.1)*1000)/$C9)*($H9/$B9)</f>
        <v>1.1336063432007316E-2</v>
      </c>
      <c r="L9" s="9">
        <f>M9/O7</f>
        <v>0</v>
      </c>
      <c r="M9" s="1">
        <f>B10*K9</f>
        <v>0</v>
      </c>
      <c r="N9" s="1" t="str">
        <f>IF(O7=490, "D25",IF(O7=314,"D20","D16"))</f>
        <v>D16</v>
      </c>
    </row>
    <row r="10" spans="1:15" x14ac:dyDescent="0.3">
      <c r="A10" s="2" t="s">
        <v>12</v>
      </c>
      <c r="B10" s="10">
        <f>IF(B8="",(0.25*PI()*B9^2),B8*B9)</f>
        <v>200000</v>
      </c>
      <c r="C10" s="22">
        <v>6708.9071071087383</v>
      </c>
      <c r="D10" s="21">
        <v>2861.6683918817985</v>
      </c>
      <c r="E10" s="22">
        <v>2106.4670860128713</v>
      </c>
      <c r="F10" s="22">
        <v>29.831277507073754</v>
      </c>
      <c r="H10" s="8">
        <f>($C10*1000/$B$3)/$B10/$B$1</f>
        <v>1.7425732745736981</v>
      </c>
      <c r="I10" s="8">
        <f>(ABS(($F10+0.1)*1000)/$C10)*($H10/$B9)</f>
        <v>3.8871788970225661E-2</v>
      </c>
      <c r="L10" s="9">
        <f>M10/O7</f>
        <v>0</v>
      </c>
      <c r="M10" s="1">
        <f>B10*K10</f>
        <v>0</v>
      </c>
      <c r="N10" s="1" t="str">
        <f>IF(O7=490, "D25",IF(O7=314,"D20","D16"))</f>
        <v>D16</v>
      </c>
    </row>
    <row r="11" spans="1:15" x14ac:dyDescent="0.3">
      <c r="C11" s="22">
        <v>-2594.3627855618815</v>
      </c>
      <c r="D11" s="22">
        <v>-339.17892071235622</v>
      </c>
      <c r="E11" s="21">
        <v>-2354.5913625025437</v>
      </c>
      <c r="F11" s="22">
        <v>-7.1446329195238558</v>
      </c>
      <c r="H11" s="8">
        <f>($C11*1000/$B$3)/$B10/$B$1</f>
        <v>-0.67386046378230691</v>
      </c>
      <c r="I11" s="8">
        <f>(ABS(($F11+0.1)*1000)/$C11)*($H11/$B9)</f>
        <v>9.1488739214595528E-3</v>
      </c>
      <c r="L11" s="9">
        <f>M11/O7</f>
        <v>0</v>
      </c>
      <c r="M11" s="1">
        <f>B10*K11</f>
        <v>0</v>
      </c>
      <c r="N11" s="1" t="str">
        <f>IF(O7=490, "D25",IF(O7=314,"D20","D16"))</f>
        <v>D16</v>
      </c>
    </row>
    <row r="12" spans="1:15" x14ac:dyDescent="0.3">
      <c r="C12" s="22">
        <v>2230.0087358617775</v>
      </c>
      <c r="D12" s="22">
        <v>355.23957214372462</v>
      </c>
      <c r="E12" s="21">
        <v>2340.9758622506051</v>
      </c>
      <c r="F12" s="22">
        <v>-7.1422622224150007</v>
      </c>
      <c r="H12" s="8">
        <f>($C12*1000/$B$3)/$B10/$B$1</f>
        <v>0.57922304827578641</v>
      </c>
      <c r="I12" s="8">
        <f>(ABS(($F12+0.1)*1000)/$C12)*($H12/$B9)</f>
        <v>9.1457950940454554E-3</v>
      </c>
      <c r="L12" s="9">
        <f>M12/O7</f>
        <v>0</v>
      </c>
      <c r="M12" s="1">
        <f>B10*K12</f>
        <v>0</v>
      </c>
      <c r="N12" s="1" t="str">
        <f>IF(O7=490, "D25",IF(O7=314,"D20","D16"))</f>
        <v>D16</v>
      </c>
    </row>
    <row r="13" spans="1:15" x14ac:dyDescent="0.3">
      <c r="C13" s="22">
        <v>-672.34856147996209</v>
      </c>
      <c r="D13" s="22">
        <v>-113.48855256648824</v>
      </c>
      <c r="E13" s="22">
        <v>9.7750465255990715</v>
      </c>
      <c r="F13" s="21">
        <v>-80.080341493720582</v>
      </c>
      <c r="H13" s="8">
        <f>($C13*1000/$B$3)/$B10/$B$1</f>
        <v>-0.17463598999479538</v>
      </c>
      <c r="I13" s="8">
        <f t="shared" ref="I13" si="0">(ABS(($F13+0.1)*1000)/$C13)*($H13/$B10)</f>
        <v>1.0387057336846831E-4</v>
      </c>
      <c r="K13" s="19"/>
      <c r="L13" s="9">
        <f>M13/O7</f>
        <v>0</v>
      </c>
      <c r="M13" s="19">
        <f>B11*K13</f>
        <v>0</v>
      </c>
      <c r="N13" s="19" t="str">
        <f t="shared" ref="N13:N14" si="1">IF(O8=490, "D25",IF(O8=314,"D20","D16"))</f>
        <v>D16</v>
      </c>
    </row>
    <row r="14" spans="1:15" x14ac:dyDescent="0.3">
      <c r="C14" s="22">
        <v>1974.305967083563</v>
      </c>
      <c r="D14" s="22">
        <v>823.11519036708978</v>
      </c>
      <c r="E14" s="22">
        <v>765.57208979343443</v>
      </c>
      <c r="F14" s="21">
        <v>100.21704110599124</v>
      </c>
      <c r="H14" s="8">
        <f>($C14*1000/$B$3)/$B10/$B$1</f>
        <v>0.51280674469702947</v>
      </c>
      <c r="I14" s="8">
        <f>(ABS(($F14+0.1)*1000)/$C14)*($H14/$B10)</f>
        <v>1.3028187156622243E-4</v>
      </c>
      <c r="K14" s="19"/>
      <c r="L14" s="9">
        <f>M14/O7</f>
        <v>0</v>
      </c>
      <c r="M14" s="19">
        <f>B12*K14</f>
        <v>0</v>
      </c>
      <c r="N14" s="19" t="str">
        <f t="shared" si="1"/>
        <v>D16</v>
      </c>
    </row>
    <row r="16" spans="1:15" x14ac:dyDescent="0.3">
      <c r="A16" s="19"/>
      <c r="B16" s="19" t="s">
        <v>20</v>
      </c>
      <c r="C16" s="19" t="s">
        <v>14</v>
      </c>
      <c r="D16" s="19" t="s">
        <v>16</v>
      </c>
      <c r="E16" s="19" t="s">
        <v>21</v>
      </c>
      <c r="F16" s="19" t="s">
        <v>17</v>
      </c>
      <c r="G16" s="19"/>
      <c r="H16" s="19" t="s">
        <v>1</v>
      </c>
      <c r="I16" s="19" t="s">
        <v>8</v>
      </c>
      <c r="J16" s="19"/>
      <c r="K16" s="19" t="s">
        <v>9</v>
      </c>
      <c r="L16" s="19"/>
      <c r="M16" s="19"/>
      <c r="N16" s="19"/>
      <c r="O16" s="19"/>
    </row>
    <row r="17" spans="1:15" x14ac:dyDescent="0.3">
      <c r="A17" s="20"/>
      <c r="B17" s="7" t="s">
        <v>22</v>
      </c>
      <c r="C17" s="21">
        <v>-4277.7990081847993</v>
      </c>
      <c r="D17" s="22">
        <v>-415.52021622378737</v>
      </c>
      <c r="E17" s="22">
        <v>-795.43930954942584</v>
      </c>
      <c r="F17" s="22">
        <v>23.708573286767852</v>
      </c>
      <c r="G17" s="19"/>
      <c r="H17" s="8">
        <f>($C17*1000/$B$3)/$B20/$B$1</f>
        <v>-1.1111166255025453</v>
      </c>
      <c r="I17" s="8">
        <f>(ABS(($F17+0.1)*1000)/$C17)*($H17/$B19)</f>
        <v>3.0920225047750455E-2</v>
      </c>
      <c r="J17" s="19"/>
      <c r="K17" s="19"/>
      <c r="L17" s="9">
        <f>M17/O17</f>
        <v>0</v>
      </c>
      <c r="M17" s="19">
        <f>B20*K17</f>
        <v>0</v>
      </c>
      <c r="N17" s="19" t="str">
        <f>IF(O17=490, "D25",IF(O17=314,"D20","D16"))</f>
        <v>D16</v>
      </c>
      <c r="O17" s="19">
        <v>201</v>
      </c>
    </row>
    <row r="18" spans="1:15" x14ac:dyDescent="0.3">
      <c r="A18" s="2" t="s">
        <v>10</v>
      </c>
      <c r="B18" s="4">
        <v>1000</v>
      </c>
      <c r="C18" s="21">
        <v>3359.892702390965</v>
      </c>
      <c r="D18" s="22">
        <v>204.26995454647786</v>
      </c>
      <c r="E18" s="22">
        <v>-812.1357668675688</v>
      </c>
      <c r="F18" s="22">
        <v>72.084944579092294</v>
      </c>
      <c r="G18" s="19"/>
      <c r="H18" s="8">
        <f>($C18*1000/$B$3)/$B20/$B$1</f>
        <v>0.87269940321843265</v>
      </c>
      <c r="I18" s="8">
        <f>(ABS(($F18+0.1)*1000)/$C18)*($H18/$B19)</f>
        <v>9.3746681271548435E-2</v>
      </c>
      <c r="J18" s="19"/>
      <c r="K18" s="19"/>
      <c r="L18" s="9">
        <f>M18/O17</f>
        <v>0</v>
      </c>
      <c r="M18" s="19">
        <f>B20*K18</f>
        <v>0</v>
      </c>
      <c r="N18" s="19" t="str">
        <f>IF(O17=490, "D25",IF(O17=314,"D20","D16"))</f>
        <v>D16</v>
      </c>
      <c r="O18" s="7"/>
    </row>
    <row r="19" spans="1:15" x14ac:dyDescent="0.3">
      <c r="A19" s="2" t="s">
        <v>11</v>
      </c>
      <c r="B19" s="4">
        <v>200</v>
      </c>
      <c r="C19" s="22">
        <v>-2175.4654621608192</v>
      </c>
      <c r="D19" s="21">
        <v>-2387.6826653689482</v>
      </c>
      <c r="E19" s="22">
        <v>214.86833874497597</v>
      </c>
      <c r="F19" s="22">
        <v>24.891185540684251</v>
      </c>
      <c r="G19" s="19"/>
      <c r="H19" s="8">
        <f>($C19*1000/$B$3)/$B20/$B$1</f>
        <v>-0.56505596419761539</v>
      </c>
      <c r="I19" s="8">
        <f>(ABS(($F19+0.1)*1000)/$C19)*($H19/$B19)</f>
        <v>3.2456085117771753E-2</v>
      </c>
      <c r="J19" s="19"/>
      <c r="K19" s="19"/>
      <c r="L19" s="9">
        <f>M19/O17</f>
        <v>0</v>
      </c>
      <c r="M19" s="19">
        <f>B20*K19</f>
        <v>0</v>
      </c>
      <c r="N19" s="19" t="str">
        <f>IF(O17=490, "D25",IF(O17=314,"D20","D16"))</f>
        <v>D16</v>
      </c>
      <c r="O19" s="19"/>
    </row>
    <row r="20" spans="1:15" x14ac:dyDescent="0.3">
      <c r="A20" s="2" t="s">
        <v>12</v>
      </c>
      <c r="B20" s="10">
        <f>IF(B18="",(0.25*PI()*B19^2),B18*B19)</f>
        <v>200000</v>
      </c>
      <c r="C20" s="22">
        <v>1286.4242259144908</v>
      </c>
      <c r="D20" s="21">
        <v>2023.9782231324918</v>
      </c>
      <c r="E20" s="22">
        <v>-295.29890499192419</v>
      </c>
      <c r="F20" s="22">
        <v>-2.5827208263514296</v>
      </c>
      <c r="G20" s="19"/>
      <c r="H20" s="8">
        <f>($C20*1000/$B$3)/$B20/$B$1</f>
        <v>0.33413616257519241</v>
      </c>
      <c r="I20" s="8">
        <f>(ABS(($F20+0.1)*1000)/$C20)*($H20/$B19)</f>
        <v>3.2243127614953629E-3</v>
      </c>
      <c r="J20" s="19"/>
      <c r="K20" s="19"/>
      <c r="L20" s="9">
        <f>M20/O17</f>
        <v>0</v>
      </c>
      <c r="M20" s="19">
        <f>B20*K20</f>
        <v>0</v>
      </c>
      <c r="N20" s="19" t="str">
        <f>IF(O17=490, "D25",IF(O17=314,"D20","D16"))</f>
        <v>D16</v>
      </c>
      <c r="O20" s="19"/>
    </row>
    <row r="21" spans="1:15" x14ac:dyDescent="0.3">
      <c r="A21" s="19"/>
      <c r="B21" s="19"/>
      <c r="C21" s="22">
        <v>-2000.1370086234308</v>
      </c>
      <c r="D21" s="22">
        <v>-68.928914166670722</v>
      </c>
      <c r="E21" s="21">
        <v>-1579.5701230440927</v>
      </c>
      <c r="F21" s="22">
        <v>16.382789730504911</v>
      </c>
      <c r="G21" s="19"/>
      <c r="H21" s="8">
        <f>($C21*1000/$B$3)/$B20/$B$1</f>
        <v>-0.51951610613595611</v>
      </c>
      <c r="I21" s="8">
        <f>(ABS(($F21+0.1)*1000)/$C21)*($H21/$B19)</f>
        <v>2.1406220429227161E-2</v>
      </c>
      <c r="J21" s="19"/>
      <c r="K21" s="19"/>
      <c r="L21" s="9">
        <f>M21/O17</f>
        <v>0</v>
      </c>
      <c r="M21" s="19">
        <f>B20*K21</f>
        <v>0</v>
      </c>
      <c r="N21" s="19" t="str">
        <f>IF(O17=490, "D25",IF(O17=314,"D20","D16"))</f>
        <v>D16</v>
      </c>
      <c r="O21" s="19"/>
    </row>
    <row r="22" spans="1:15" x14ac:dyDescent="0.3">
      <c r="A22" s="19"/>
      <c r="B22" s="19"/>
      <c r="C22" s="22">
        <v>1423.1636034504195</v>
      </c>
      <c r="D22" s="22">
        <v>114.02548622868737</v>
      </c>
      <c r="E22" s="21">
        <v>1405.9825468302681</v>
      </c>
      <c r="F22" s="22">
        <v>5.2575794061104792</v>
      </c>
      <c r="G22" s="19"/>
      <c r="H22" s="8">
        <f>($C22*1000/$B$3)/$B20/$B$1</f>
        <v>0.36965288401309593</v>
      </c>
      <c r="I22" s="8">
        <f>(ABS(($F22+0.1)*1000)/$C22)*($H22/$B19)</f>
        <v>6.9578953326110112E-3</v>
      </c>
      <c r="J22" s="19"/>
      <c r="K22" s="19"/>
      <c r="L22" s="9">
        <f>M22/O17</f>
        <v>0</v>
      </c>
      <c r="M22" s="19">
        <f>B20*K22</f>
        <v>0</v>
      </c>
      <c r="N22" s="19" t="str">
        <f>IF(O17=490, "D25",IF(O17=314,"D20","D16"))</f>
        <v>D16</v>
      </c>
      <c r="O22" s="19"/>
    </row>
    <row r="23" spans="1:15" x14ac:dyDescent="0.3">
      <c r="A23" s="19"/>
      <c r="B23" s="19"/>
      <c r="C23" s="22">
        <v>-587.46623217863544</v>
      </c>
      <c r="D23" s="22">
        <v>-336.47038275827578</v>
      </c>
      <c r="E23" s="22">
        <v>502.99441069097384</v>
      </c>
      <c r="F23" s="21">
        <v>-116.55533127917192</v>
      </c>
      <c r="G23" s="19"/>
      <c r="H23" s="8">
        <f>($C23*1000/$B$3)/$B20/$B$1</f>
        <v>-0.15258863173471049</v>
      </c>
      <c r="I23" s="8">
        <f t="shared" ref="I23" si="2">(ABS(($F23+0.1)*1000)/$C23)*($H23/$B20)</f>
        <v>1.5124068997295054E-4</v>
      </c>
      <c r="J23" s="19"/>
      <c r="K23" s="19"/>
      <c r="L23" s="9">
        <f>M23/O17</f>
        <v>0</v>
      </c>
      <c r="M23" s="19">
        <f>B21*K23</f>
        <v>0</v>
      </c>
      <c r="N23" s="19" t="str">
        <f t="shared" ref="N23:N24" si="3">IF(O18=490, "D25",IF(O18=314,"D20","D16"))</f>
        <v>D16</v>
      </c>
      <c r="O23" s="19"/>
    </row>
    <row r="24" spans="1:15" x14ac:dyDescent="0.3">
      <c r="A24" s="19"/>
      <c r="B24" s="19"/>
      <c r="C24" s="22">
        <v>3359.892702390965</v>
      </c>
      <c r="D24" s="22">
        <v>204.26995454647786</v>
      </c>
      <c r="E24" s="22">
        <v>-812.1357668675688</v>
      </c>
      <c r="F24" s="21">
        <v>72.084944579092294</v>
      </c>
      <c r="G24" s="19"/>
      <c r="H24" s="8">
        <f>($C24*1000/$B$3)/$B20/$B$1</f>
        <v>0.87269940321843265</v>
      </c>
      <c r="I24" s="8">
        <f>(ABS(($F24+0.1)*1000)/$C24)*($H24/$B20)</f>
        <v>9.3746681271548432E-5</v>
      </c>
      <c r="J24" s="19"/>
      <c r="K24" s="19"/>
      <c r="L24" s="9">
        <f>M24/O17</f>
        <v>0</v>
      </c>
      <c r="M24" s="19">
        <f>B22*K24</f>
        <v>0</v>
      </c>
      <c r="N24" s="19" t="str">
        <f t="shared" si="3"/>
        <v>D16</v>
      </c>
      <c r="O24" s="19"/>
    </row>
    <row r="26" spans="1:15" x14ac:dyDescent="0.3">
      <c r="A26" s="19"/>
      <c r="B26" s="19" t="s">
        <v>20</v>
      </c>
      <c r="C26" s="19" t="s">
        <v>14</v>
      </c>
      <c r="D26" s="19" t="s">
        <v>16</v>
      </c>
      <c r="E26" s="19" t="s">
        <v>21</v>
      </c>
      <c r="F26" s="19" t="s">
        <v>17</v>
      </c>
      <c r="G26" s="19"/>
      <c r="H26" s="19" t="s">
        <v>1</v>
      </c>
      <c r="I26" s="19" t="s">
        <v>8</v>
      </c>
      <c r="J26" s="19"/>
      <c r="K26" s="19" t="s">
        <v>9</v>
      </c>
      <c r="L26" s="19"/>
      <c r="M26" s="19"/>
      <c r="N26" s="19"/>
      <c r="O26" s="19"/>
    </row>
    <row r="27" spans="1:15" x14ac:dyDescent="0.3">
      <c r="A27" s="20"/>
      <c r="B27" s="7" t="s">
        <v>23</v>
      </c>
      <c r="C27" s="21">
        <v>-1267.4753982358632</v>
      </c>
      <c r="D27" s="22">
        <v>-194.49852797564907</v>
      </c>
      <c r="E27" s="22">
        <v>-188.47285682251862</v>
      </c>
      <c r="F27" s="22">
        <v>26.991817289326672</v>
      </c>
      <c r="G27" s="19"/>
      <c r="H27" s="8">
        <f>($C27*1000/$B$3)/$B30/$B$1</f>
        <v>-0.32921438915217227</v>
      </c>
      <c r="I27" s="8">
        <f>(ABS(($F27+0.1)*1000)/$C27)*($H27/$B29)</f>
        <v>3.518417829782685E-2</v>
      </c>
      <c r="J27" s="19"/>
      <c r="K27" s="19"/>
      <c r="L27" s="9">
        <f>M27/O27</f>
        <v>0</v>
      </c>
      <c r="M27" s="19">
        <f>B30*K27</f>
        <v>0</v>
      </c>
      <c r="N27" s="19" t="str">
        <f>IF(O27=490, "D25",IF(O27=314,"D20","D16"))</f>
        <v>D16</v>
      </c>
      <c r="O27" s="19">
        <v>201</v>
      </c>
    </row>
    <row r="28" spans="1:15" x14ac:dyDescent="0.3">
      <c r="A28" s="2" t="s">
        <v>10</v>
      </c>
      <c r="B28" s="4">
        <v>1000</v>
      </c>
      <c r="C28" s="21">
        <v>901.01384724238017</v>
      </c>
      <c r="D28" s="22">
        <v>112.15040692727341</v>
      </c>
      <c r="E28" s="22">
        <v>-438.58534151341087</v>
      </c>
      <c r="F28" s="22">
        <v>34.815878697552705</v>
      </c>
      <c r="G28" s="19"/>
      <c r="H28" s="8">
        <f>($C28*1000/$B$3)/$B30/$B$1</f>
        <v>0.23402957071230651</v>
      </c>
      <c r="I28" s="8">
        <f>(ABS(($F28+0.1)*1000)/$C28)*($H28/$B29)</f>
        <v>4.5345297009808695E-2</v>
      </c>
      <c r="J28" s="19"/>
      <c r="K28" s="19"/>
      <c r="L28" s="9">
        <f>M28/O27</f>
        <v>0</v>
      </c>
      <c r="M28" s="19">
        <f>B30*K28</f>
        <v>0</v>
      </c>
      <c r="N28" s="19" t="str">
        <f>IF(O27=490, "D25",IF(O27=314,"D20","D16"))</f>
        <v>D16</v>
      </c>
      <c r="O28" s="7"/>
    </row>
    <row r="29" spans="1:15" x14ac:dyDescent="0.3">
      <c r="A29" s="2" t="s">
        <v>11</v>
      </c>
      <c r="B29" s="4">
        <v>200</v>
      </c>
      <c r="C29" s="22">
        <v>-1027.2234093802313</v>
      </c>
      <c r="D29" s="21">
        <v>-749.87806302082811</v>
      </c>
      <c r="E29" s="22">
        <v>293.92316733418602</v>
      </c>
      <c r="F29" s="22">
        <v>-29.804866321321992</v>
      </c>
      <c r="G29" s="19"/>
      <c r="H29" s="8">
        <f>($C29*1000/$B$3)/$B30/$B$1</f>
        <v>-0.2668112751636964</v>
      </c>
      <c r="I29" s="8">
        <f>(ABS(($F29+0.1)*1000)/$C29)*($H29/$B29)</f>
        <v>3.8577748469249336E-2</v>
      </c>
      <c r="J29" s="19"/>
      <c r="K29" s="19"/>
      <c r="L29" s="9">
        <f>M29/O27</f>
        <v>0</v>
      </c>
      <c r="M29" s="19">
        <f>B30*K29</f>
        <v>0</v>
      </c>
      <c r="N29" s="19" t="str">
        <f>IF(O27=490, "D25",IF(O27=314,"D20","D16"))</f>
        <v>D16</v>
      </c>
      <c r="O29" s="19"/>
    </row>
    <row r="30" spans="1:15" x14ac:dyDescent="0.3">
      <c r="A30" s="2" t="s">
        <v>12</v>
      </c>
      <c r="B30" s="10">
        <f>IF(B28="",(0.25*PI()*B29^2),B28*B29)</f>
        <v>200000</v>
      </c>
      <c r="C30" s="22">
        <v>618.80452139622855</v>
      </c>
      <c r="D30" s="21">
        <v>593.45848219565505</v>
      </c>
      <c r="E30" s="22">
        <v>457.74240655387382</v>
      </c>
      <c r="F30" s="22">
        <v>14.77250233736387</v>
      </c>
      <c r="G30" s="19"/>
      <c r="H30" s="8">
        <f>($C30*1000/$B$3)/$B30/$B$1</f>
        <v>0.16072844711590353</v>
      </c>
      <c r="I30" s="8">
        <f>(ABS(($F30+0.1)*1000)/$C30)*($H30/$B29)</f>
        <v>1.9314938100472558E-2</v>
      </c>
      <c r="J30" s="19"/>
      <c r="K30" s="19"/>
      <c r="L30" s="9">
        <f>M30/O27</f>
        <v>0</v>
      </c>
      <c r="M30" s="19">
        <f>B30*K30</f>
        <v>0</v>
      </c>
      <c r="N30" s="19" t="str">
        <f>IF(O27=490, "D25",IF(O27=314,"D20","D16"))</f>
        <v>D16</v>
      </c>
      <c r="O30" s="19"/>
    </row>
    <row r="31" spans="1:15" x14ac:dyDescent="0.3">
      <c r="A31" s="19"/>
      <c r="B31" s="19"/>
      <c r="C31" s="22">
        <v>673.83863202412692</v>
      </c>
      <c r="D31" s="22">
        <v>-6.0265518699263572</v>
      </c>
      <c r="E31" s="21">
        <v>-628.87830064420325</v>
      </c>
      <c r="F31" s="22">
        <v>10.0352736317643</v>
      </c>
      <c r="G31" s="19"/>
      <c r="H31" s="8">
        <f>($C31*1000/$B$3)/$B30/$B$1</f>
        <v>0.17502302130496802</v>
      </c>
      <c r="I31" s="8">
        <f>(ABS(($F31+0.1)*1000)/$C31)*($H31/$B29)</f>
        <v>1.3162693028265324E-2</v>
      </c>
      <c r="J31" s="19"/>
      <c r="K31" s="19"/>
      <c r="L31" s="9">
        <f>M31/O27</f>
        <v>0</v>
      </c>
      <c r="M31" s="19">
        <f>B30*K31</f>
        <v>0</v>
      </c>
      <c r="N31" s="19" t="str">
        <f>IF(O27=490, "D25",IF(O27=314,"D20","D16"))</f>
        <v>D16</v>
      </c>
      <c r="O31" s="19"/>
    </row>
    <row r="32" spans="1:15" x14ac:dyDescent="0.3">
      <c r="A32" s="19"/>
      <c r="B32" s="19"/>
      <c r="C32" s="22">
        <v>-772.04608577548356</v>
      </c>
      <c r="D32" s="22">
        <v>7.0825151991077746</v>
      </c>
      <c r="E32" s="21">
        <v>736.81652281130221</v>
      </c>
      <c r="F32" s="22">
        <v>-4.1819364416000449</v>
      </c>
      <c r="G32" s="19"/>
      <c r="H32" s="8">
        <f>($C32*1000/$B$3)/$B30/$B$1</f>
        <v>-0.20053145085077495</v>
      </c>
      <c r="I32" s="8">
        <f>(ABS(($F32+0.1)*1000)/$C32)*($H32/$B29)</f>
        <v>5.3012161579221373E-3</v>
      </c>
      <c r="J32" s="19"/>
      <c r="K32" s="19"/>
      <c r="L32" s="9">
        <f>M32/O27</f>
        <v>0</v>
      </c>
      <c r="M32" s="19">
        <f>B30*K32</f>
        <v>0</v>
      </c>
      <c r="N32" s="19" t="str">
        <f>IF(O27=490, "D25",IF(O27=314,"D20","D16"))</f>
        <v>D16</v>
      </c>
      <c r="O32" s="19"/>
    </row>
    <row r="33" spans="1:15" x14ac:dyDescent="0.3">
      <c r="A33" s="19"/>
      <c r="B33" s="19"/>
      <c r="C33" s="22">
        <v>-610.60033965358502</v>
      </c>
      <c r="D33" s="22">
        <v>-310.87175102773585</v>
      </c>
      <c r="E33" s="22">
        <v>228.48530040951641</v>
      </c>
      <c r="F33" s="21">
        <v>-85.048113774625136</v>
      </c>
      <c r="G33" s="19"/>
      <c r="H33" s="8">
        <f>($C33*1000/$B$3)/$B30/$B$1</f>
        <v>-0.15859749081911301</v>
      </c>
      <c r="I33" s="8">
        <f t="shared" ref="I33" si="4">(ABS(($F33+0.1)*1000)/$C33)*($H33/$B30)</f>
        <v>1.1032222568133136E-4</v>
      </c>
      <c r="J33" s="19"/>
      <c r="K33" s="19"/>
      <c r="L33" s="9">
        <f>M33/O27</f>
        <v>0</v>
      </c>
      <c r="M33" s="19">
        <f>B31*K33</f>
        <v>0</v>
      </c>
      <c r="N33" s="19" t="str">
        <f t="shared" ref="N33:N34" si="5">IF(O28=490, "D25",IF(O28=314,"D20","D16"))</f>
        <v>D16</v>
      </c>
      <c r="O33" s="19"/>
    </row>
    <row r="34" spans="1:15" x14ac:dyDescent="0.3">
      <c r="A34" s="19"/>
      <c r="B34" s="19"/>
      <c r="C34" s="22">
        <v>-43.911993476331929</v>
      </c>
      <c r="D34" s="22">
        <v>119.67483879015548</v>
      </c>
      <c r="E34" s="22">
        <v>-84.508708992970114</v>
      </c>
      <c r="F34" s="21">
        <v>68.632580173780028</v>
      </c>
      <c r="G34" s="19"/>
      <c r="H34" s="8">
        <f>($C34*1000/$B$3)/$B30/$B$1</f>
        <v>-1.1405712591255049E-2</v>
      </c>
      <c r="I34" s="8">
        <f>(ABS(($F34+0.1)*1000)/$C34)*($H34/$B30)</f>
        <v>8.9263091134779264E-5</v>
      </c>
      <c r="J34" s="19"/>
      <c r="K34" s="19"/>
      <c r="L34" s="9">
        <f>M34/O27</f>
        <v>0</v>
      </c>
      <c r="M34" s="19">
        <f>B32*K34</f>
        <v>0</v>
      </c>
      <c r="N34" s="19" t="str">
        <f t="shared" si="5"/>
        <v>D16</v>
      </c>
      <c r="O34" s="19"/>
    </row>
    <row r="36" spans="1:15" x14ac:dyDescent="0.3">
      <c r="A36" s="19"/>
      <c r="B36" s="19" t="s">
        <v>20</v>
      </c>
      <c r="C36" s="19" t="s">
        <v>14</v>
      </c>
      <c r="D36" s="19" t="s">
        <v>16</v>
      </c>
      <c r="E36" s="19" t="s">
        <v>21</v>
      </c>
      <c r="F36" s="19" t="s">
        <v>17</v>
      </c>
      <c r="G36" s="19"/>
      <c r="H36" s="19" t="s">
        <v>1</v>
      </c>
      <c r="I36" s="19" t="s">
        <v>8</v>
      </c>
      <c r="J36" s="19"/>
      <c r="K36" s="19" t="s">
        <v>9</v>
      </c>
      <c r="L36" s="19"/>
      <c r="M36" s="19"/>
      <c r="N36" s="19"/>
      <c r="O36" s="19"/>
    </row>
    <row r="37" spans="1:15" x14ac:dyDescent="0.3">
      <c r="A37" s="20"/>
      <c r="B37" s="7" t="s">
        <v>24</v>
      </c>
      <c r="C37" s="21">
        <v>-567.61844011664402</v>
      </c>
      <c r="D37" s="22">
        <v>-204.51149908024806</v>
      </c>
      <c r="E37" s="22">
        <v>-9.9158388118524456</v>
      </c>
      <c r="F37" s="22">
        <v>-0.5077033282326856</v>
      </c>
      <c r="G37" s="19"/>
      <c r="H37" s="8">
        <f>($C37*1000/$B$3)/$B40/$B$1</f>
        <v>-0.1474333610692582</v>
      </c>
      <c r="I37" s="8">
        <f>(ABS(($F37+0.1)*1000)/$C37)*($H37/$B39)</f>
        <v>5.2948484186063078E-4</v>
      </c>
      <c r="J37" s="19"/>
      <c r="K37" s="19"/>
      <c r="L37" s="9">
        <f>M37/O37</f>
        <v>0</v>
      </c>
      <c r="M37" s="19">
        <f>B40*K37</f>
        <v>0</v>
      </c>
      <c r="N37" s="19" t="str">
        <f>IF(O37=490, "D25",IF(O37=314,"D20","D16"))</f>
        <v>D16</v>
      </c>
      <c r="O37" s="19">
        <v>201</v>
      </c>
    </row>
    <row r="38" spans="1:15" x14ac:dyDescent="0.3">
      <c r="A38" s="2" t="s">
        <v>10</v>
      </c>
      <c r="B38" s="4">
        <v>1000</v>
      </c>
      <c r="C38" s="21">
        <v>618.91653520597617</v>
      </c>
      <c r="D38" s="22">
        <v>342.84448455076927</v>
      </c>
      <c r="E38" s="22">
        <v>13.115729488596353</v>
      </c>
      <c r="F38" s="22">
        <v>13.8497279484637</v>
      </c>
      <c r="G38" s="19"/>
      <c r="H38" s="8">
        <f>($C38*1000/$B$3)/$B40/$B$1</f>
        <v>0.16075754161194189</v>
      </c>
      <c r="I38" s="8">
        <f>(ABS(($F38+0.1)*1000)/$C38)*($H38/$B39)</f>
        <v>1.8116529803199614E-2</v>
      </c>
      <c r="J38" s="19"/>
      <c r="K38" s="19"/>
      <c r="L38" s="9">
        <f>M38/O37</f>
        <v>0</v>
      </c>
      <c r="M38" s="19">
        <f>B40*K38</f>
        <v>0</v>
      </c>
      <c r="N38" s="19" t="str">
        <f>IF(O37=490, "D25",IF(O37=314,"D20","D16"))</f>
        <v>D16</v>
      </c>
      <c r="O38" s="7"/>
    </row>
    <row r="39" spans="1:15" x14ac:dyDescent="0.3">
      <c r="A39" s="2" t="s">
        <v>11</v>
      </c>
      <c r="B39" s="4">
        <v>200</v>
      </c>
      <c r="C39" s="22">
        <v>-167.38732250838922</v>
      </c>
      <c r="D39" s="21">
        <v>-522.04529359488026</v>
      </c>
      <c r="E39" s="22">
        <v>-26.495821165170469</v>
      </c>
      <c r="F39" s="22">
        <v>-3.2264608212883932</v>
      </c>
      <c r="G39" s="19"/>
      <c r="H39" s="8">
        <f>($C39*1000/$B$3)/$B40/$B$1</f>
        <v>-4.347722662555565E-2</v>
      </c>
      <c r="I39" s="8">
        <f>(ABS(($F39+0.1)*1000)/$C39)*($H39/$B39)</f>
        <v>4.0603387289459654E-3</v>
      </c>
      <c r="J39" s="19"/>
      <c r="K39" s="19"/>
      <c r="L39" s="9">
        <f>M39/O37</f>
        <v>0</v>
      </c>
      <c r="M39" s="19">
        <f>B40*K39</f>
        <v>0</v>
      </c>
      <c r="N39" s="19" t="str">
        <f>IF(O37=490, "D25",IF(O37=314,"D20","D16"))</f>
        <v>D16</v>
      </c>
      <c r="O39" s="19"/>
    </row>
    <row r="40" spans="1:15" x14ac:dyDescent="0.3">
      <c r="A40" s="2" t="s">
        <v>12</v>
      </c>
      <c r="B40" s="10">
        <f>IF(B38="",(0.25*PI()*B39^2),B38*B39)</f>
        <v>200000</v>
      </c>
      <c r="C40" s="22">
        <v>302.32561545419281</v>
      </c>
      <c r="D40" s="21">
        <v>1585.082176852711</v>
      </c>
      <c r="E40" s="22">
        <v>-470.81769473439579</v>
      </c>
      <c r="F40" s="22">
        <v>-19.334153329755296</v>
      </c>
      <c r="G40" s="19"/>
      <c r="H40" s="8">
        <f>($C40*1000/$B$3)/$B40/$B$1</f>
        <v>7.8526133884205929E-2</v>
      </c>
      <c r="I40" s="8">
        <f>(ABS(($F40+0.1)*1000)/$C40)*($H40/$B39)</f>
        <v>2.4979419908773115E-2</v>
      </c>
      <c r="J40" s="19"/>
      <c r="K40" s="19"/>
      <c r="L40" s="9">
        <f>M40/O37</f>
        <v>0</v>
      </c>
      <c r="M40" s="19">
        <f>B40*K40</f>
        <v>0</v>
      </c>
      <c r="N40" s="19" t="str">
        <f>IF(O37=490, "D25",IF(O37=314,"D20","D16"))</f>
        <v>D16</v>
      </c>
      <c r="O40" s="19"/>
    </row>
    <row r="41" spans="1:15" x14ac:dyDescent="0.3">
      <c r="A41" s="19"/>
      <c r="B41" s="19"/>
      <c r="C41" s="22">
        <v>302.32561545419281</v>
      </c>
      <c r="D41" s="22">
        <v>1585.082176852711</v>
      </c>
      <c r="E41" s="21">
        <v>-470.81769473439579</v>
      </c>
      <c r="F41" s="22">
        <v>-19.334153329755296</v>
      </c>
      <c r="G41" s="19"/>
      <c r="H41" s="8">
        <f>($C41*1000/$B$3)/$B40/$B$1</f>
        <v>7.8526133884205929E-2</v>
      </c>
      <c r="I41" s="8">
        <f>(ABS(($F41+0.1)*1000)/$C41)*($H41/$B39)</f>
        <v>2.4979419908773115E-2</v>
      </c>
      <c r="J41" s="19"/>
      <c r="K41" s="19"/>
      <c r="L41" s="9">
        <f>M41/O37</f>
        <v>0</v>
      </c>
      <c r="M41" s="19">
        <f>B40*K41</f>
        <v>0</v>
      </c>
      <c r="N41" s="19" t="str">
        <f>IF(O37=490, "D25",IF(O37=314,"D20","D16"))</f>
        <v>D16</v>
      </c>
      <c r="O41" s="19"/>
    </row>
    <row r="42" spans="1:15" x14ac:dyDescent="0.3">
      <c r="A42" s="19"/>
      <c r="B42" s="19"/>
      <c r="C42" s="22">
        <v>280.15304321108135</v>
      </c>
      <c r="D42" s="22">
        <v>1454.5375559512386</v>
      </c>
      <c r="E42" s="21">
        <v>531.12802985316353</v>
      </c>
      <c r="F42" s="22">
        <v>-11.789914348988319</v>
      </c>
      <c r="G42" s="19"/>
      <c r="H42" s="8">
        <f>($C42*1000/$B$3)/$B40/$B$1</f>
        <v>7.2767024210670495E-2</v>
      </c>
      <c r="I42" s="8">
        <f>(ABS(($F42+0.1)*1000)/$C42)*($H42/$B39)</f>
        <v>1.5181706946738078E-2</v>
      </c>
      <c r="J42" s="19"/>
      <c r="K42" s="19"/>
      <c r="L42" s="9">
        <f>M42/O37</f>
        <v>0</v>
      </c>
      <c r="M42" s="19">
        <f>B40*K42</f>
        <v>0</v>
      </c>
      <c r="N42" s="19" t="str">
        <f>IF(O37=490, "D25",IF(O37=314,"D20","D16"))</f>
        <v>D16</v>
      </c>
      <c r="O42" s="19"/>
    </row>
    <row r="43" spans="1:15" x14ac:dyDescent="0.3">
      <c r="A43" s="19"/>
      <c r="B43" s="19"/>
      <c r="C43" s="22">
        <v>-226.29442534387491</v>
      </c>
      <c r="D43" s="22">
        <v>-5.8443508437272973</v>
      </c>
      <c r="E43" s="22">
        <v>-138.33369781390834</v>
      </c>
      <c r="F43" s="21">
        <v>-32.74979245279706</v>
      </c>
      <c r="G43" s="19"/>
      <c r="H43" s="8">
        <f>($C43*1000/$B$3)/$B40/$B$1</f>
        <v>-5.8777772816590891E-2</v>
      </c>
      <c r="I43" s="8">
        <f t="shared" ref="I43" si="6">(ABS(($F43+0.1)*1000)/$C43)*($H43/$B40)</f>
        <v>4.2402327860775399E-5</v>
      </c>
      <c r="J43" s="19"/>
      <c r="K43" s="19"/>
      <c r="L43" s="9">
        <f>M43/O37</f>
        <v>0</v>
      </c>
      <c r="M43" s="19">
        <f>B41*K43</f>
        <v>0</v>
      </c>
      <c r="N43" s="19" t="str">
        <f t="shared" ref="N43:N44" si="7">IF(O38=490, "D25",IF(O38=314,"D20","D16"))</f>
        <v>D16</v>
      </c>
      <c r="O43" s="19"/>
    </row>
    <row r="44" spans="1:15" x14ac:dyDescent="0.3">
      <c r="A44" s="19"/>
      <c r="B44" s="19"/>
      <c r="C44" s="22">
        <v>84.908660176353607</v>
      </c>
      <c r="D44" s="22">
        <v>301.41204828964385</v>
      </c>
      <c r="E44" s="22">
        <v>-80.779683978529377</v>
      </c>
      <c r="F44" s="21">
        <v>43.125656296738057</v>
      </c>
      <c r="G44" s="19"/>
      <c r="H44" s="8">
        <f>($C44*1000/$B$3)/$B40/$B$1</f>
        <v>2.2054197448403538E-2</v>
      </c>
      <c r="I44" s="8">
        <f>(ABS(($F44+0.1)*1000)/$C44)*($H44/$B40)</f>
        <v>5.6137215969789695E-5</v>
      </c>
      <c r="J44" s="19"/>
      <c r="K44" s="19"/>
      <c r="L44" s="9">
        <f>M44/O37</f>
        <v>0</v>
      </c>
      <c r="M44" s="19">
        <f>B42*K44</f>
        <v>0</v>
      </c>
      <c r="N44" s="19" t="str">
        <f t="shared" si="7"/>
        <v>D16</v>
      </c>
      <c r="O44" s="19"/>
    </row>
    <row r="46" spans="1:15" x14ac:dyDescent="0.3">
      <c r="A46" s="19"/>
      <c r="B46" s="19" t="s">
        <v>20</v>
      </c>
      <c r="C46" s="19" t="s">
        <v>14</v>
      </c>
      <c r="D46" s="19" t="s">
        <v>16</v>
      </c>
      <c r="E46" s="19" t="s">
        <v>21</v>
      </c>
      <c r="F46" s="19" t="s">
        <v>17</v>
      </c>
      <c r="G46" s="19"/>
      <c r="H46" s="19" t="s">
        <v>1</v>
      </c>
      <c r="I46" s="19" t="s">
        <v>8</v>
      </c>
      <c r="J46" s="19"/>
      <c r="K46" s="19" t="s">
        <v>9</v>
      </c>
      <c r="L46" s="19"/>
      <c r="M46" s="19"/>
      <c r="N46" s="19"/>
      <c r="O46" s="19"/>
    </row>
    <row r="47" spans="1:15" x14ac:dyDescent="0.3">
      <c r="A47" s="20"/>
      <c r="B47" s="7" t="s">
        <v>28</v>
      </c>
      <c r="C47" s="21">
        <v>-11635.346189136899</v>
      </c>
      <c r="D47" s="22">
        <v>-4691.8460144753626</v>
      </c>
      <c r="E47" s="22">
        <v>3490.1408480260598</v>
      </c>
      <c r="F47" s="22">
        <v>-5.4677554599080898</v>
      </c>
      <c r="G47" s="19"/>
      <c r="H47" s="8">
        <f>($C47*1000/$B$3)/$B50/$B$1</f>
        <v>-3.0221678413342592</v>
      </c>
      <c r="I47" s="8">
        <f>(ABS(($F47+0.1)*1000)/$C47)*($H47/$B49)</f>
        <v>6.9711109868936232E-3</v>
      </c>
      <c r="J47" s="19"/>
      <c r="K47" s="19"/>
      <c r="L47" s="9">
        <f>M47/O47</f>
        <v>0</v>
      </c>
      <c r="M47" s="19">
        <f>B50*K47</f>
        <v>0</v>
      </c>
      <c r="N47" s="19" t="str">
        <f>IF(O47=490, "D25",IF(O47=314,"D20","D16"))</f>
        <v>D16</v>
      </c>
      <c r="O47" s="19">
        <v>201</v>
      </c>
    </row>
    <row r="48" spans="1:15" x14ac:dyDescent="0.3">
      <c r="A48" s="2" t="s">
        <v>10</v>
      </c>
      <c r="B48" s="4">
        <v>1000</v>
      </c>
      <c r="C48" s="21">
        <v>10866.001134418717</v>
      </c>
      <c r="D48" s="22">
        <v>4640.4648730681311</v>
      </c>
      <c r="E48" s="22">
        <v>-3414.253413825581</v>
      </c>
      <c r="F48" s="22">
        <v>4.8233761130855344</v>
      </c>
      <c r="G48" s="19"/>
      <c r="H48" s="8">
        <f>($C48*1000/$B$3)/$B50/$B$1</f>
        <v>2.8223379569918747</v>
      </c>
      <c r="I48" s="8">
        <f>(ABS(($F48+0.1)*1000)/$C48)*($H48/$B49)</f>
        <v>6.3939949520591347E-3</v>
      </c>
      <c r="J48" s="19"/>
      <c r="K48" s="19"/>
      <c r="L48" s="9">
        <f>M48/O47</f>
        <v>0</v>
      </c>
      <c r="M48" s="19">
        <f>B50*K48</f>
        <v>0</v>
      </c>
      <c r="N48" s="19" t="str">
        <f>IF(O47=490, "D25",IF(O47=314,"D20","D16"))</f>
        <v>D16</v>
      </c>
      <c r="O48" s="7"/>
    </row>
    <row r="49" spans="1:15" x14ac:dyDescent="0.3">
      <c r="A49" s="2" t="s">
        <v>11</v>
      </c>
      <c r="B49" s="4">
        <v>200</v>
      </c>
      <c r="C49" s="22">
        <v>-7489.1746880748278</v>
      </c>
      <c r="D49" s="21">
        <v>-5132.4877114859191</v>
      </c>
      <c r="E49" s="22">
        <v>-3431.8833761597857</v>
      </c>
      <c r="F49" s="22">
        <v>-7.1867063164429874</v>
      </c>
      <c r="G49" s="19"/>
      <c r="H49" s="8">
        <f>($C49*1000/$B$3)/$B50/$B$1</f>
        <v>-1.9452401787207347</v>
      </c>
      <c r="I49" s="8">
        <f>(ABS(($F49+0.1)*1000)/$C49)*($H49/$B49)</f>
        <v>9.2035146966792068E-3</v>
      </c>
      <c r="J49" s="19"/>
      <c r="K49" s="19"/>
      <c r="L49" s="9">
        <f>M49/O47</f>
        <v>0</v>
      </c>
      <c r="M49" s="19">
        <f>B50*K49</f>
        <v>0</v>
      </c>
      <c r="N49" s="19" t="str">
        <f>IF(O47=490, "D25",IF(O47=314,"D20","D16"))</f>
        <v>D16</v>
      </c>
      <c r="O49" s="19"/>
    </row>
    <row r="50" spans="1:15" x14ac:dyDescent="0.3">
      <c r="A50" s="2" t="s">
        <v>12</v>
      </c>
      <c r="B50" s="10">
        <f>IF(B48="",(0.25*PI()*B49^2),B48*B49)</f>
        <v>200000</v>
      </c>
      <c r="C50" s="22">
        <v>5943.0733844476281</v>
      </c>
      <c r="D50" s="21">
        <v>5044.623123022885</v>
      </c>
      <c r="E50" s="22">
        <v>3270.1328747995076</v>
      </c>
      <c r="F50" s="22">
        <v>9.283136875661258</v>
      </c>
      <c r="G50" s="19"/>
      <c r="H50" s="8">
        <f>($C50*1000/$B$3)/$B50/$B$1</f>
        <v>1.5436554245318512</v>
      </c>
      <c r="I50" s="8">
        <f>(ABS(($F50+0.1)*1000)/$C50)*($H50/$B49)</f>
        <v>1.218589204631332E-2</v>
      </c>
      <c r="J50" s="19"/>
      <c r="K50" s="19"/>
      <c r="L50" s="9">
        <f>M50/O47</f>
        <v>0</v>
      </c>
      <c r="M50" s="19">
        <f>B50*K50</f>
        <v>0</v>
      </c>
      <c r="N50" s="19" t="str">
        <f>IF(O47=490, "D25",IF(O47=314,"D20","D16"))</f>
        <v>D16</v>
      </c>
      <c r="O50" s="19"/>
    </row>
    <row r="51" spans="1:15" x14ac:dyDescent="0.3">
      <c r="A51" s="19"/>
      <c r="B51" s="19"/>
      <c r="C51" s="22">
        <v>9866.3721040522996</v>
      </c>
      <c r="D51" s="22">
        <v>4793.2720026079742</v>
      </c>
      <c r="E51" s="21">
        <v>-3619.6572310199717</v>
      </c>
      <c r="F51" s="22">
        <v>-0.19914308977910339</v>
      </c>
      <c r="G51" s="19"/>
      <c r="H51" s="8">
        <f>($C51*1000/$B$3)/$B50/$B$1</f>
        <v>2.5626940530005977</v>
      </c>
      <c r="I51" s="8">
        <f>(ABS(($F51+0.1)*1000)/$C51)*($H51/$B49)</f>
        <v>1.2875725945338102E-4</v>
      </c>
      <c r="J51" s="19"/>
      <c r="K51" s="19"/>
      <c r="L51" s="9">
        <f>M51/O47</f>
        <v>0</v>
      </c>
      <c r="M51" s="19">
        <f>B50*K51</f>
        <v>0</v>
      </c>
      <c r="N51" s="19" t="str">
        <f>IF(O47=490, "D25",IF(O47=314,"D20","D16"))</f>
        <v>D16</v>
      </c>
      <c r="O51" s="19"/>
    </row>
    <row r="52" spans="1:15" x14ac:dyDescent="0.3">
      <c r="A52" s="19"/>
      <c r="B52" s="19"/>
      <c r="C52" s="22">
        <v>-11284.6197411552</v>
      </c>
      <c r="D52" s="22">
        <v>-5017.5735679503514</v>
      </c>
      <c r="E52" s="21">
        <v>3798.1647047465804</v>
      </c>
      <c r="F52" s="22">
        <v>-0.92355216307226629</v>
      </c>
      <c r="G52" s="19"/>
      <c r="H52" s="8">
        <f>($C52*1000/$B$3)/$B50/$B$1</f>
        <v>-2.9310700626377146</v>
      </c>
      <c r="I52" s="8">
        <f>(ABS(($F52+0.1)*1000)/$C52)*($H52/$B49)</f>
        <v>1.0695482637302163E-3</v>
      </c>
      <c r="J52" s="19"/>
      <c r="K52" s="19"/>
      <c r="L52" s="9">
        <f>M52/O47</f>
        <v>0</v>
      </c>
      <c r="M52" s="19">
        <f>B50*K52</f>
        <v>0</v>
      </c>
      <c r="N52" s="19" t="str">
        <f>IF(O47=490, "D25",IF(O47=314,"D20","D16"))</f>
        <v>D16</v>
      </c>
      <c r="O52" s="19"/>
    </row>
    <row r="53" spans="1:15" x14ac:dyDescent="0.3">
      <c r="A53" s="19"/>
      <c r="B53" s="19"/>
      <c r="C53" s="22">
        <v>2563.051779147122</v>
      </c>
      <c r="D53" s="22">
        <v>107.5837324553536</v>
      </c>
      <c r="E53" s="22">
        <v>-812.55153875669475</v>
      </c>
      <c r="F53" s="21">
        <v>-33.699476755360429</v>
      </c>
      <c r="G53" s="19"/>
      <c r="H53" s="8">
        <f>($C53*1000/$B$3)/$B50/$B$1</f>
        <v>0.66572773484340841</v>
      </c>
      <c r="I53" s="8">
        <f t="shared" ref="I53" si="8">(ABS(($F53+0.1)*1000)/$C53)*($H53/$B50)</f>
        <v>4.3635684097870689E-5</v>
      </c>
      <c r="J53" s="19"/>
      <c r="K53" s="19"/>
      <c r="L53" s="9">
        <f>M53/O47</f>
        <v>0</v>
      </c>
      <c r="M53" s="19">
        <f>B51*K53</f>
        <v>0</v>
      </c>
      <c r="N53" s="19" t="str">
        <f t="shared" ref="N53:N54" si="9">IF(O48=490, "D25",IF(O48=314,"D20","D16"))</f>
        <v>D16</v>
      </c>
      <c r="O53" s="19"/>
    </row>
    <row r="54" spans="1:15" x14ac:dyDescent="0.3">
      <c r="A54" s="19"/>
      <c r="B54" s="19"/>
      <c r="C54" s="22">
        <v>5140.1130423963859</v>
      </c>
      <c r="D54" s="22">
        <v>780.2987441523569</v>
      </c>
      <c r="E54" s="22">
        <v>-217.05969214621186</v>
      </c>
      <c r="F54" s="21">
        <v>27.165018179576524</v>
      </c>
      <c r="G54" s="19"/>
      <c r="H54" s="8">
        <f>($C54*1000/$B$3)/$B50/$B$1</f>
        <v>1.3350942967263342</v>
      </c>
      <c r="I54" s="8">
        <f>(ABS(($F54+0.1)*1000)/$C54)*($H54/$B50)</f>
        <v>3.5409114518930552E-5</v>
      </c>
      <c r="J54" s="19"/>
      <c r="K54" s="19"/>
      <c r="L54" s="9">
        <f>M54/O47</f>
        <v>0</v>
      </c>
      <c r="M54" s="19">
        <f>B52*K54</f>
        <v>0</v>
      </c>
      <c r="N54" s="19" t="str">
        <f t="shared" si="9"/>
        <v>D16</v>
      </c>
      <c r="O54" s="19"/>
    </row>
    <row r="56" spans="1:15" x14ac:dyDescent="0.3">
      <c r="A56" s="19"/>
      <c r="B56" s="19" t="s">
        <v>20</v>
      </c>
      <c r="C56" s="19" t="s">
        <v>14</v>
      </c>
      <c r="D56" s="19" t="s">
        <v>16</v>
      </c>
      <c r="E56" s="19" t="s">
        <v>21</v>
      </c>
      <c r="F56" s="19" t="s">
        <v>17</v>
      </c>
      <c r="G56" s="19"/>
      <c r="H56" s="19" t="s">
        <v>1</v>
      </c>
      <c r="I56" s="19" t="s">
        <v>8</v>
      </c>
      <c r="J56" s="19"/>
      <c r="K56" s="19" t="s">
        <v>9</v>
      </c>
      <c r="L56" s="19"/>
      <c r="M56" s="19"/>
      <c r="N56" s="19"/>
      <c r="O56" s="19"/>
    </row>
    <row r="57" spans="1:15" x14ac:dyDescent="0.3">
      <c r="A57" s="20"/>
      <c r="B57" s="7" t="s">
        <v>25</v>
      </c>
      <c r="C57" s="21">
        <v>-5239.9937219279682</v>
      </c>
      <c r="D57" s="22">
        <v>-2408.5670473953774</v>
      </c>
      <c r="E57" s="22">
        <v>143.1706569059894</v>
      </c>
      <c r="F57" s="22">
        <v>-1.0932913243721962</v>
      </c>
      <c r="G57" s="19"/>
      <c r="H57" s="8">
        <f>($C57*1000/$B$3)/$B60/$B$1</f>
        <v>-1.3610373303709007</v>
      </c>
      <c r="I57" s="8">
        <f>(ABS(($F57+0.1)*1000)/$C57)*($H57/$B59)</f>
        <v>1.2899887329509039E-3</v>
      </c>
      <c r="J57" s="19"/>
      <c r="K57" s="19"/>
      <c r="L57" s="9">
        <f>M57/O57</f>
        <v>0</v>
      </c>
      <c r="M57" s="19">
        <f>B60*K57</f>
        <v>0</v>
      </c>
      <c r="N57" s="19" t="str">
        <f>IF(O57=490, "D25",IF(O57=314,"D20","D16"))</f>
        <v>D16</v>
      </c>
      <c r="O57" s="19">
        <v>201</v>
      </c>
    </row>
    <row r="58" spans="1:15" x14ac:dyDescent="0.3">
      <c r="A58" s="2" t="s">
        <v>10</v>
      </c>
      <c r="B58" s="4">
        <v>1000</v>
      </c>
      <c r="C58" s="21">
        <v>4245.7824671920953</v>
      </c>
      <c r="D58" s="22">
        <v>2028.7851380731081</v>
      </c>
      <c r="E58" s="22">
        <v>-300.6826467464486</v>
      </c>
      <c r="F58" s="22">
        <v>6.9751272852814248</v>
      </c>
      <c r="G58" s="19"/>
      <c r="H58" s="8">
        <f>($C58*1000/$B$3)/$B60/$B$1</f>
        <v>1.1028006408291158</v>
      </c>
      <c r="I58" s="8">
        <f>(ABS(($F58+0.1)*1000)/$C58)*($H58/$B59)</f>
        <v>9.1884769938719805E-3</v>
      </c>
      <c r="J58" s="19"/>
      <c r="K58" s="19"/>
      <c r="L58" s="9">
        <f>M58/O57</f>
        <v>0</v>
      </c>
      <c r="M58" s="19">
        <f>B60*K58</f>
        <v>0</v>
      </c>
      <c r="N58" s="19" t="str">
        <f>IF(O57=490, "D25",IF(O57=314,"D20","D16"))</f>
        <v>D16</v>
      </c>
      <c r="O58" s="7"/>
    </row>
    <row r="59" spans="1:15" x14ac:dyDescent="0.3">
      <c r="A59" s="2" t="s">
        <v>11</v>
      </c>
      <c r="B59" s="4">
        <v>200</v>
      </c>
      <c r="C59" s="22">
        <v>-719.08888709133771</v>
      </c>
      <c r="D59" s="21">
        <v>-4282.3247717671002</v>
      </c>
      <c r="E59" s="22">
        <v>1294.9957939982755</v>
      </c>
      <c r="F59" s="22">
        <v>2.9162004413633023</v>
      </c>
      <c r="G59" s="19"/>
      <c r="H59" s="8">
        <f>($C59*1000/$B$3)/$B60/$B$1</f>
        <v>-0.18677633430943838</v>
      </c>
      <c r="I59" s="8">
        <f>(ABS(($F59+0.1)*1000)/$C59)*($H59/$B59)</f>
        <v>3.917143430341951E-3</v>
      </c>
      <c r="J59" s="19"/>
      <c r="K59" s="19"/>
      <c r="L59" s="9">
        <f>M59/O57</f>
        <v>0</v>
      </c>
      <c r="M59" s="19">
        <f>B60*K59</f>
        <v>0</v>
      </c>
      <c r="N59" s="19" t="str">
        <f>IF(O57=490, "D25",IF(O57=314,"D20","D16"))</f>
        <v>D16</v>
      </c>
      <c r="O59" s="19"/>
    </row>
    <row r="60" spans="1:15" x14ac:dyDescent="0.3">
      <c r="A60" s="2" t="s">
        <v>12</v>
      </c>
      <c r="B60" s="10">
        <f>IF(B58="",(0.25*PI()*B59^2),B58*B59)</f>
        <v>200000</v>
      </c>
      <c r="C60" s="22">
        <v>90.116424976519681</v>
      </c>
      <c r="D60" s="21">
        <v>2386.6225142814078</v>
      </c>
      <c r="E60" s="22">
        <v>-1396.0072192261659</v>
      </c>
      <c r="F60" s="22">
        <v>-4.7799136672125258</v>
      </c>
      <c r="G60" s="19"/>
      <c r="H60" s="8">
        <f>($C60*1000/$B$3)/$B60/$B$1</f>
        <v>2.3406863630264854E-2</v>
      </c>
      <c r="I60" s="8">
        <f>(ABS(($F60+0.1)*1000)/$C60)*($H60/$B59)</f>
        <v>6.0778099574188655E-3</v>
      </c>
      <c r="J60" s="19"/>
      <c r="K60" s="19"/>
      <c r="L60" s="9">
        <f>M60/O57</f>
        <v>0</v>
      </c>
      <c r="M60" s="19">
        <f>B60*K60</f>
        <v>0</v>
      </c>
      <c r="N60" s="19" t="str">
        <f>IF(O57=490, "D25",IF(O57=314,"D20","D16"))</f>
        <v>D16</v>
      </c>
      <c r="O60" s="19"/>
    </row>
    <row r="61" spans="1:15" x14ac:dyDescent="0.3">
      <c r="A61" s="19"/>
      <c r="B61" s="19"/>
      <c r="C61" s="22">
        <v>927.34365839117061</v>
      </c>
      <c r="D61" s="22">
        <v>298.79096469757206</v>
      </c>
      <c r="E61" s="21">
        <v>-2394.9680082861732</v>
      </c>
      <c r="F61" s="22">
        <v>-0.37949294795793198</v>
      </c>
      <c r="G61" s="19"/>
      <c r="H61" s="8">
        <f>($C61*1000/$B$3)/$B60/$B$1</f>
        <v>0.24086848269900535</v>
      </c>
      <c r="I61" s="8">
        <f>(ABS(($F61+0.1)*1000)/$C61)*($H61/$B59)</f>
        <v>3.6297785449082077E-4</v>
      </c>
      <c r="J61" s="19"/>
      <c r="K61" s="19"/>
      <c r="L61" s="9">
        <f>M61/O57</f>
        <v>0</v>
      </c>
      <c r="M61" s="19">
        <f>B60*K61</f>
        <v>0</v>
      </c>
      <c r="N61" s="19" t="str">
        <f>IF(O57=490, "D25",IF(O57=314,"D20","D16"))</f>
        <v>D16</v>
      </c>
      <c r="O61" s="19"/>
    </row>
    <row r="62" spans="1:15" x14ac:dyDescent="0.3">
      <c r="A62" s="19"/>
      <c r="B62" s="19"/>
      <c r="C62" s="22">
        <v>-1261.3607471012017</v>
      </c>
      <c r="D62" s="22">
        <v>-269.61676508702953</v>
      </c>
      <c r="E62" s="21">
        <v>2562.6357050982251</v>
      </c>
      <c r="F62" s="22">
        <v>0.80068041467786888</v>
      </c>
      <c r="G62" s="19"/>
      <c r="H62" s="8">
        <f>($C62*1000/$B$3)/$B60/$B$1</f>
        <v>-0.32762616807823419</v>
      </c>
      <c r="I62" s="8">
        <f>(ABS(($F62+0.1)*1000)/$C62)*($H62/$B59)</f>
        <v>1.1697148242569724E-3</v>
      </c>
      <c r="J62" s="19"/>
      <c r="K62" s="19"/>
      <c r="L62" s="9">
        <f>M62/O57</f>
        <v>0</v>
      </c>
      <c r="M62" s="19">
        <f>B60*K62</f>
        <v>0</v>
      </c>
      <c r="N62" s="19" t="str">
        <f>IF(O57=490, "D25",IF(O57=314,"D20","D16"))</f>
        <v>D16</v>
      </c>
      <c r="O62" s="19"/>
    </row>
    <row r="63" spans="1:15" x14ac:dyDescent="0.3">
      <c r="A63" s="19"/>
      <c r="B63" s="19"/>
      <c r="C63" s="22">
        <v>-2181.4937726936341</v>
      </c>
      <c r="D63" s="22">
        <v>-870.93755870776022</v>
      </c>
      <c r="E63" s="22">
        <v>-451.3404667707365</v>
      </c>
      <c r="F63" s="21">
        <v>-56.394896765057929</v>
      </c>
      <c r="G63" s="19"/>
      <c r="H63" s="8">
        <f>($C63*1000/$B$3)/$B60/$B$1</f>
        <v>-0.56662175914120372</v>
      </c>
      <c r="I63" s="8">
        <f t="shared" ref="I63" si="10">(ABS(($F63+0.1)*1000)/$C63)*($H63/$B60)</f>
        <v>7.3110255539036284E-5</v>
      </c>
      <c r="J63" s="19"/>
      <c r="K63" s="19"/>
      <c r="L63" s="9">
        <f>M63/O57</f>
        <v>0</v>
      </c>
      <c r="M63" s="19">
        <f>B61*K63</f>
        <v>0</v>
      </c>
      <c r="N63" s="19" t="str">
        <f t="shared" ref="N63:N64" si="11">IF(O58=490, "D25",IF(O58=314,"D20","D16"))</f>
        <v>D16</v>
      </c>
      <c r="O63" s="19"/>
    </row>
    <row r="64" spans="1:15" x14ac:dyDescent="0.3">
      <c r="A64" s="19"/>
      <c r="B64" s="19"/>
      <c r="C64" s="22">
        <v>1906.5183425254429</v>
      </c>
      <c r="D64" s="22">
        <v>787.5470514707888</v>
      </c>
      <c r="E64" s="22">
        <v>420.83559827610918</v>
      </c>
      <c r="F64" s="21">
        <v>31.580685567621551</v>
      </c>
      <c r="G64" s="19"/>
      <c r="H64" s="8">
        <f>($C64*1000/$B$3)/$B60/$B$1</f>
        <v>0.49519956948712807</v>
      </c>
      <c r="I64" s="8">
        <f>(ABS(($F64+0.1)*1000)/$C64)*($H64/$B60)</f>
        <v>4.1143747490417608E-5</v>
      </c>
      <c r="J64" s="19"/>
      <c r="K64" s="19"/>
      <c r="L64" s="9">
        <f>M64/O57</f>
        <v>0</v>
      </c>
      <c r="M64" s="19">
        <f>B62*K64</f>
        <v>0</v>
      </c>
      <c r="N64" s="19" t="str">
        <f t="shared" si="11"/>
        <v>D16</v>
      </c>
      <c r="O64" s="19"/>
    </row>
    <row r="66" spans="1:15" x14ac:dyDescent="0.3">
      <c r="A66" s="19"/>
      <c r="B66" s="19" t="s">
        <v>20</v>
      </c>
      <c r="C66" s="19" t="s">
        <v>14</v>
      </c>
      <c r="D66" s="19" t="s">
        <v>16</v>
      </c>
      <c r="E66" s="19" t="s">
        <v>21</v>
      </c>
      <c r="F66" s="19" t="s">
        <v>17</v>
      </c>
      <c r="G66" s="19"/>
      <c r="H66" s="19" t="s">
        <v>1</v>
      </c>
      <c r="I66" s="19" t="s">
        <v>8</v>
      </c>
      <c r="J66" s="19"/>
      <c r="K66" s="19" t="s">
        <v>9</v>
      </c>
      <c r="L66" s="19"/>
      <c r="M66" s="19"/>
      <c r="N66" s="19"/>
      <c r="O66" s="19"/>
    </row>
    <row r="67" spans="1:15" x14ac:dyDescent="0.3">
      <c r="A67" s="20"/>
      <c r="B67" s="7" t="s">
        <v>26</v>
      </c>
      <c r="C67" s="21">
        <v>-2110.9661823760161</v>
      </c>
      <c r="D67" s="22">
        <v>-671.59764954960315</v>
      </c>
      <c r="E67" s="22">
        <v>-426.10182764894978</v>
      </c>
      <c r="F67" s="22">
        <v>-31.269055873953803</v>
      </c>
      <c r="G67" s="19"/>
      <c r="H67" s="8">
        <f>($C67*1000/$B$3)/$B70/$B$1</f>
        <v>-0.54830290451325092</v>
      </c>
      <c r="I67" s="8">
        <f>(ABS(($F67+0.1)*1000)/$C67)*($H67/$B69)</f>
        <v>4.0479293342797144E-2</v>
      </c>
      <c r="J67" s="19"/>
      <c r="K67" s="19"/>
      <c r="L67" s="9">
        <f>M67/O67</f>
        <v>0</v>
      </c>
      <c r="M67" s="19">
        <f>B70*K67</f>
        <v>0</v>
      </c>
      <c r="N67" s="19" t="str">
        <f>IF(O67=490, "D25",IF(O67=314,"D20","D16"))</f>
        <v>D16</v>
      </c>
      <c r="O67" s="19">
        <v>201</v>
      </c>
    </row>
    <row r="68" spans="1:15" x14ac:dyDescent="0.3">
      <c r="A68" s="2" t="s">
        <v>10</v>
      </c>
      <c r="B68" s="4">
        <v>1000</v>
      </c>
      <c r="C68" s="21">
        <v>2043.4313634333123</v>
      </c>
      <c r="D68" s="22">
        <v>626.3711627674835</v>
      </c>
      <c r="E68" s="22">
        <v>394.15142946655135</v>
      </c>
      <c r="F68" s="22">
        <v>-9.0466411762109313</v>
      </c>
      <c r="G68" s="19"/>
      <c r="H68" s="8">
        <f>($C68*1000/$B$3)/$B70/$B$1</f>
        <v>0.53076139309956172</v>
      </c>
      <c r="I68" s="8">
        <f>(ABS(($F68+0.1)*1000)/$C68)*($H68/$B69)</f>
        <v>1.1619014514559652E-2</v>
      </c>
      <c r="J68" s="19"/>
      <c r="K68" s="19"/>
      <c r="L68" s="9">
        <f>M68/O67</f>
        <v>0</v>
      </c>
      <c r="M68" s="19">
        <f>B70*K68</f>
        <v>0</v>
      </c>
      <c r="N68" s="19" t="str">
        <f>IF(O67=490, "D25",IF(O67=314,"D20","D16"))</f>
        <v>D16</v>
      </c>
      <c r="O68" s="7"/>
    </row>
    <row r="69" spans="1:15" x14ac:dyDescent="0.3">
      <c r="A69" s="2" t="s">
        <v>11</v>
      </c>
      <c r="B69" s="4">
        <v>200</v>
      </c>
      <c r="C69" s="22">
        <v>-540.81163428812897</v>
      </c>
      <c r="D69" s="21">
        <v>-2994.0760618955223</v>
      </c>
      <c r="E69" s="22">
        <v>-70.104100087429103</v>
      </c>
      <c r="F69" s="22">
        <v>-0.52035982705054717</v>
      </c>
      <c r="G69" s="19"/>
      <c r="H69" s="8">
        <f>($C69*1000/$B$3)/$B70/$B$1</f>
        <v>-0.140470554360553</v>
      </c>
      <c r="I69" s="8">
        <f>(ABS(($F69+0.1)*1000)/$C69)*($H69/$B69)</f>
        <v>5.4592185331239903E-4</v>
      </c>
      <c r="J69" s="19"/>
      <c r="K69" s="19"/>
      <c r="L69" s="9">
        <f>M69/O67</f>
        <v>0</v>
      </c>
      <c r="M69" s="19">
        <f>B70*K69</f>
        <v>0</v>
      </c>
      <c r="N69" s="19" t="str">
        <f>IF(O67=490, "D25",IF(O67=314,"D20","D16"))</f>
        <v>D16</v>
      </c>
      <c r="O69" s="19"/>
    </row>
    <row r="70" spans="1:15" x14ac:dyDescent="0.3">
      <c r="A70" s="2" t="s">
        <v>12</v>
      </c>
      <c r="B70" s="10">
        <f>IF(B68="",(0.25*PI()*B69^2),B68*B69)</f>
        <v>200000</v>
      </c>
      <c r="C70" s="22">
        <v>406.9521768002312</v>
      </c>
      <c r="D70" s="21">
        <v>2360.8047372354313</v>
      </c>
      <c r="E70" s="22">
        <v>-573.79894116035132</v>
      </c>
      <c r="F70" s="22">
        <v>-0.36456792882565309</v>
      </c>
      <c r="G70" s="19"/>
      <c r="H70" s="8">
        <f>($C70*1000/$B$3)/$B70/$B$1</f>
        <v>0.10570186410395617</v>
      </c>
      <c r="I70" s="8">
        <f>(ABS(($F70+0.1)*1000)/$C70)*($H70/$B69)</f>
        <v>3.4359471276058847E-4</v>
      </c>
      <c r="J70" s="19"/>
      <c r="K70" s="19"/>
      <c r="L70" s="9">
        <f>M70/O67</f>
        <v>0</v>
      </c>
      <c r="M70" s="19">
        <f>B70*K70</f>
        <v>0</v>
      </c>
      <c r="N70" s="19" t="str">
        <f>IF(O67=490, "D25",IF(O67=314,"D20","D16"))</f>
        <v>D16</v>
      </c>
      <c r="O70" s="19"/>
    </row>
    <row r="71" spans="1:15" x14ac:dyDescent="0.3">
      <c r="A71" s="19"/>
      <c r="B71" s="19"/>
      <c r="C71" s="22">
        <v>240.85218776143751</v>
      </c>
      <c r="D71" s="22">
        <v>1143.6821887451831</v>
      </c>
      <c r="E71" s="21">
        <v>-1397.3366731377598</v>
      </c>
      <c r="F71" s="22">
        <v>-0.79963030608183117</v>
      </c>
      <c r="G71" s="19"/>
      <c r="H71" s="8">
        <f>($C71*1000/$B$3)/$B70/$B$1</f>
        <v>6.2559009808165603E-2</v>
      </c>
      <c r="I71" s="8">
        <f>(ABS(($F71+0.1)*1000)/$C71)*($H71/$B69)</f>
        <v>9.086107871192616E-4</v>
      </c>
      <c r="J71" s="19"/>
      <c r="K71" s="19"/>
      <c r="L71" s="9">
        <f>M71/O67</f>
        <v>0</v>
      </c>
      <c r="M71" s="19">
        <f>B70*K71</f>
        <v>0</v>
      </c>
      <c r="N71" s="19" t="str">
        <f>IF(O67=490, "D25",IF(O67=314,"D20","D16"))</f>
        <v>D16</v>
      </c>
      <c r="O71" s="19"/>
    </row>
    <row r="72" spans="1:15" x14ac:dyDescent="0.3">
      <c r="A72" s="19"/>
      <c r="B72" s="19"/>
      <c r="C72" s="22">
        <v>-571.10473125399596</v>
      </c>
      <c r="D72" s="22">
        <v>-2145.583909578856</v>
      </c>
      <c r="E72" s="21">
        <v>1819.0440284332128</v>
      </c>
      <c r="F72" s="22">
        <v>0.65102130118402113</v>
      </c>
      <c r="G72" s="19"/>
      <c r="H72" s="8">
        <f>($C72*1000/$B$3)/$B70/$B$1</f>
        <v>-0.14833889123480412</v>
      </c>
      <c r="I72" s="8">
        <f>(ABS(($F72+0.1)*1000)/$C72)*($H72/$B69)</f>
        <v>9.7535233920002741E-4</v>
      </c>
      <c r="J72" s="19"/>
      <c r="K72" s="19"/>
      <c r="L72" s="9">
        <f>M72/O67</f>
        <v>0</v>
      </c>
      <c r="M72" s="19">
        <f>B70*K72</f>
        <v>0</v>
      </c>
      <c r="N72" s="19" t="str">
        <f>IF(O67=490, "D25",IF(O67=314,"D20","D16"))</f>
        <v>D16</v>
      </c>
      <c r="O72" s="19"/>
    </row>
    <row r="73" spans="1:15" x14ac:dyDescent="0.3">
      <c r="A73" s="19"/>
      <c r="B73" s="19"/>
      <c r="C73" s="22">
        <v>-1857.4164487903531</v>
      </c>
      <c r="D73" s="22">
        <v>-690.03417288343303</v>
      </c>
      <c r="E73" s="22">
        <v>-542.7258412480935</v>
      </c>
      <c r="F73" s="21">
        <v>-47.25605496624955</v>
      </c>
      <c r="G73" s="19"/>
      <c r="H73" s="8">
        <f>($C73*1000/$B$3)/$B70/$B$1</f>
        <v>-0.48244583085463721</v>
      </c>
      <c r="I73" s="8">
        <f t="shared" ref="I73" si="12">(ABS(($F73+0.1)*1000)/$C73)*($H73/$B70)</f>
        <v>6.1241629826298109E-5</v>
      </c>
      <c r="J73" s="19"/>
      <c r="K73" s="19"/>
      <c r="L73" s="9">
        <f>M73/O67</f>
        <v>0</v>
      </c>
      <c r="M73" s="19">
        <f>B71*K73</f>
        <v>0</v>
      </c>
      <c r="N73" s="19" t="str">
        <f t="shared" ref="N73:N74" si="13">IF(O68=490, "D25",IF(O68=314,"D20","D16"))</f>
        <v>D16</v>
      </c>
      <c r="O73" s="19"/>
    </row>
    <row r="74" spans="1:15" x14ac:dyDescent="0.3">
      <c r="A74" s="19"/>
      <c r="B74" s="19"/>
      <c r="C74" s="22">
        <v>365.67295708237998</v>
      </c>
      <c r="D74" s="22">
        <v>270.15247298293099</v>
      </c>
      <c r="E74" s="22">
        <v>-413.44379252517933</v>
      </c>
      <c r="F74" s="21">
        <v>48.369999971188683</v>
      </c>
      <c r="G74" s="19"/>
      <c r="H74" s="8">
        <f>($C74*1000/$B$3)/$B70/$B$1</f>
        <v>9.4979988852566227E-2</v>
      </c>
      <c r="I74" s="8">
        <f>(ABS(($F74+0.1)*1000)/$C74)*($H74/$B70)</f>
        <v>6.2948051910634653E-5</v>
      </c>
      <c r="J74" s="19"/>
      <c r="K74" s="19"/>
      <c r="L74" s="9">
        <f>M74/O67</f>
        <v>0</v>
      </c>
      <c r="M74" s="19">
        <f>B72*K74</f>
        <v>0</v>
      </c>
      <c r="N74" s="19" t="str">
        <f t="shared" si="13"/>
        <v>D16</v>
      </c>
      <c r="O74" s="19"/>
    </row>
    <row r="76" spans="1:15" x14ac:dyDescent="0.3">
      <c r="A76" s="26"/>
      <c r="B76" s="19" t="s">
        <v>20</v>
      </c>
      <c r="C76" s="19" t="s">
        <v>14</v>
      </c>
      <c r="D76" s="19" t="s">
        <v>16</v>
      </c>
      <c r="E76" s="19" t="s">
        <v>21</v>
      </c>
      <c r="F76" s="19" t="s">
        <v>17</v>
      </c>
      <c r="G76" s="19"/>
      <c r="H76" s="19" t="s">
        <v>1</v>
      </c>
      <c r="I76" s="19" t="s">
        <v>8</v>
      </c>
      <c r="J76" s="19"/>
      <c r="K76" s="19" t="s">
        <v>9</v>
      </c>
      <c r="L76" s="19"/>
      <c r="M76" s="19"/>
      <c r="N76" s="19"/>
      <c r="O76" s="19"/>
    </row>
    <row r="77" spans="1:15" x14ac:dyDescent="0.3">
      <c r="A77" s="20"/>
      <c r="B77" s="7" t="s">
        <v>27</v>
      </c>
      <c r="C77" s="21">
        <v>-1830.1739967079236</v>
      </c>
      <c r="D77" s="22">
        <v>-405.43832589733654</v>
      </c>
      <c r="E77" s="22">
        <v>175.83905708984889</v>
      </c>
      <c r="F77" s="22">
        <v>34.811318190642723</v>
      </c>
      <c r="G77" s="19"/>
      <c r="H77" s="8">
        <f>($C77*1000/$B$3)/$B80/$B$1</f>
        <v>-0.47536986927478536</v>
      </c>
      <c r="I77" s="8">
        <f>(ABS(($F77+0.1)*1000)/$C77)*($H77/$B79)</f>
        <v>4.533937427356198E-2</v>
      </c>
      <c r="J77" s="19"/>
      <c r="K77" s="19"/>
      <c r="L77" s="9">
        <f>M77/O77</f>
        <v>0</v>
      </c>
      <c r="M77" s="19">
        <f>B80*K77</f>
        <v>0</v>
      </c>
      <c r="N77" s="19" t="str">
        <f>IF(O77=490, "D25",IF(O77=314,"D20","D16"))</f>
        <v>D16</v>
      </c>
      <c r="O77" s="19">
        <v>201</v>
      </c>
    </row>
    <row r="78" spans="1:15" x14ac:dyDescent="0.3">
      <c r="A78" s="2" t="s">
        <v>10</v>
      </c>
      <c r="B78" s="4">
        <v>1000</v>
      </c>
      <c r="C78" s="21">
        <v>1560.9672871526768</v>
      </c>
      <c r="D78" s="22">
        <v>354.74435009826823</v>
      </c>
      <c r="E78" s="22">
        <v>-145.449269935156</v>
      </c>
      <c r="F78" s="22">
        <v>2.6354212761963356</v>
      </c>
      <c r="G78" s="19"/>
      <c r="H78" s="8">
        <f>($C78*1000/$B$3)/$B80/$B$1</f>
        <v>0.40544604861108496</v>
      </c>
      <c r="I78" s="8">
        <f>(ABS(($F78+0.1)*1000)/$C78)*($H78/$B79)</f>
        <v>3.5524951638913459E-3</v>
      </c>
      <c r="J78" s="19"/>
      <c r="K78" s="19"/>
      <c r="L78" s="9">
        <f>M78/O77</f>
        <v>0</v>
      </c>
      <c r="M78" s="19">
        <f>B80*K78</f>
        <v>0</v>
      </c>
      <c r="N78" s="19" t="str">
        <f>IF(O77=490, "D25",IF(O77=314,"D20","D16"))</f>
        <v>D16</v>
      </c>
      <c r="O78" s="7"/>
    </row>
    <row r="79" spans="1:15" x14ac:dyDescent="0.3">
      <c r="A79" s="2" t="s">
        <v>11</v>
      </c>
      <c r="B79" s="4">
        <v>200</v>
      </c>
      <c r="C79" s="22">
        <v>665.97673554592279</v>
      </c>
      <c r="D79" s="21">
        <v>-2327.1503126955477</v>
      </c>
      <c r="E79" s="22">
        <v>-453.06928156845305</v>
      </c>
      <c r="F79" s="22">
        <v>-3.5388957578497395</v>
      </c>
      <c r="G79" s="19"/>
      <c r="H79" s="8">
        <f>($C79*1000/$B$3)/$B80/$B$1</f>
        <v>0.17298097027166826</v>
      </c>
      <c r="I79" s="8">
        <f>(ABS(($F79+0.1)*1000)/$C79)*($H79/$B79)</f>
        <v>4.4660983868178433E-3</v>
      </c>
      <c r="J79" s="19"/>
      <c r="K79" s="19"/>
      <c r="L79" s="9">
        <f>M79/O77</f>
        <v>0</v>
      </c>
      <c r="M79" s="19">
        <f>B80*K79</f>
        <v>0</v>
      </c>
      <c r="N79" s="19" t="str">
        <f>IF(O77=490, "D25",IF(O77=314,"D20","D16"))</f>
        <v>D16</v>
      </c>
      <c r="O79" s="19"/>
    </row>
    <row r="80" spans="1:15" x14ac:dyDescent="0.3">
      <c r="A80" s="2" t="s">
        <v>12</v>
      </c>
      <c r="B80" s="10">
        <f>IF(B78="",(0.25*PI()*B79^2),B78*B79)</f>
        <v>200000</v>
      </c>
      <c r="C80" s="22">
        <v>-936.68492330870174</v>
      </c>
      <c r="D80" s="21">
        <v>2718.9045719668161</v>
      </c>
      <c r="E80" s="22">
        <v>480.68056414109486</v>
      </c>
      <c r="F80" s="22">
        <v>3.2965818125886912</v>
      </c>
      <c r="G80" s="19"/>
      <c r="H80" s="8">
        <f>($C80*1000/$B$3)/$B80/$B$1</f>
        <v>-0.24329478527498749</v>
      </c>
      <c r="I80" s="8">
        <f>(ABS(($F80+0.1)*1000)/$C80)*($H80/$B79)</f>
        <v>4.4111452111541454E-3</v>
      </c>
      <c r="J80" s="19"/>
      <c r="K80" s="19"/>
      <c r="L80" s="9">
        <f>M80/O77</f>
        <v>0</v>
      </c>
      <c r="M80" s="19">
        <f>B80*K80</f>
        <v>0</v>
      </c>
      <c r="N80" s="19" t="str">
        <f>IF(O77=490, "D25",IF(O77=314,"D20","D16"))</f>
        <v>D16</v>
      </c>
      <c r="O80" s="19"/>
    </row>
    <row r="81" spans="1:15" x14ac:dyDescent="0.3">
      <c r="A81" s="19"/>
      <c r="B81" s="19"/>
      <c r="C81" s="22">
        <v>-608.37176392250058</v>
      </c>
      <c r="D81" s="22">
        <v>-1099.3277144162184</v>
      </c>
      <c r="E81" s="21">
        <v>-1128.3906554362741</v>
      </c>
      <c r="F81" s="22">
        <v>-1.605037990592235</v>
      </c>
      <c r="G81" s="19"/>
      <c r="H81" s="8">
        <f>($C81*1000/$B$3)/$B80/$B$1</f>
        <v>-0.15801863997987026</v>
      </c>
      <c r="I81" s="8">
        <f>(ABS(($F81+0.1)*1000)/$C81)*($H81/$B79)</f>
        <v>1.9545947929769276E-3</v>
      </c>
      <c r="J81" s="19"/>
      <c r="K81" s="19"/>
      <c r="L81" s="9">
        <f>M81/O77</f>
        <v>0</v>
      </c>
      <c r="M81" s="19">
        <f>B80*K81</f>
        <v>0</v>
      </c>
      <c r="N81" s="19" t="str">
        <f>IF(O77=490, "D25",IF(O77=314,"D20","D16"))</f>
        <v>D16</v>
      </c>
      <c r="O81" s="19"/>
    </row>
    <row r="82" spans="1:15" x14ac:dyDescent="0.3">
      <c r="A82" s="19"/>
      <c r="B82" s="19"/>
      <c r="C82" s="22">
        <v>786.68824611163689</v>
      </c>
      <c r="D82" s="22">
        <v>2160.5084374724238</v>
      </c>
      <c r="E82" s="21">
        <v>614.46193996508737</v>
      </c>
      <c r="F82" s="22">
        <v>-1.2513154444049983</v>
      </c>
      <c r="G82" s="19"/>
      <c r="H82" s="8">
        <f>($C82*1000/$B$3)/$B80/$B$1</f>
        <v>0.20433460937964595</v>
      </c>
      <c r="I82" s="8">
        <f>(ABS(($F82+0.1)*1000)/$C82)*($H82/$B79)</f>
        <v>1.4952148628636342E-3</v>
      </c>
      <c r="J82" s="19"/>
      <c r="K82" s="19"/>
      <c r="L82" s="9">
        <f>M82/O77</f>
        <v>0</v>
      </c>
      <c r="M82" s="19">
        <f>B80*K82</f>
        <v>0</v>
      </c>
      <c r="N82" s="19" t="str">
        <f>IF(O77=490, "D25",IF(O77=314,"D20","D16"))</f>
        <v>D16</v>
      </c>
      <c r="O82" s="19"/>
    </row>
    <row r="83" spans="1:15" x14ac:dyDescent="0.3">
      <c r="A83" s="19"/>
      <c r="B83" s="19"/>
      <c r="C83" s="22">
        <v>-142.77299935519338</v>
      </c>
      <c r="D83" s="22">
        <v>367.81370821957069</v>
      </c>
      <c r="E83" s="22">
        <v>-34.812694083932442</v>
      </c>
      <c r="F83" s="21">
        <v>-25.228289651177239</v>
      </c>
      <c r="G83" s="19"/>
      <c r="H83" s="8">
        <f>($C83*1000/$B$3)/$B80/$B$1</f>
        <v>-3.7083895936413869E-2</v>
      </c>
      <c r="I83" s="8">
        <f t="shared" ref="I83" si="14">(ABS(($F83+0.1)*1000)/$C83)*($H83/$B80)</f>
        <v>3.2634142404126292E-5</v>
      </c>
      <c r="J83" s="19"/>
      <c r="K83" s="19"/>
      <c r="L83" s="9">
        <f>M83/O77</f>
        <v>0</v>
      </c>
      <c r="M83" s="19">
        <f>B81*K83</f>
        <v>0</v>
      </c>
      <c r="N83" s="19" t="str">
        <f t="shared" ref="N83:N84" si="15">IF(O78=490, "D25",IF(O78=314,"D20","D16"))</f>
        <v>D16</v>
      </c>
      <c r="O83" s="19"/>
    </row>
    <row r="84" spans="1:15" x14ac:dyDescent="0.3">
      <c r="A84" s="19"/>
      <c r="B84" s="19"/>
      <c r="C84" s="22">
        <v>413.13607886933431</v>
      </c>
      <c r="D84" s="22">
        <v>206.75536882252732</v>
      </c>
      <c r="E84" s="22">
        <v>255.7758706962822</v>
      </c>
      <c r="F84" s="21">
        <v>42.272267608097877</v>
      </c>
      <c r="G84" s="19"/>
      <c r="H84" s="8">
        <f>($C84*1000/$B$3)/$B80/$B$1</f>
        <v>0.10730807243359332</v>
      </c>
      <c r="I84" s="8">
        <f>(ABS(($F84+0.1)*1000)/$C84)*($H84/$B80)</f>
        <v>5.5028918971555674E-5</v>
      </c>
      <c r="J84" s="19"/>
      <c r="K84" s="19"/>
      <c r="L84" s="9">
        <f>M84/O77</f>
        <v>0</v>
      </c>
      <c r="M84" s="19">
        <f>B82*K84</f>
        <v>0</v>
      </c>
      <c r="N84" s="19" t="str">
        <f t="shared" si="15"/>
        <v>D16</v>
      </c>
      <c r="O84" s="19"/>
    </row>
    <row r="86" spans="1:15" x14ac:dyDescent="0.3">
      <c r="A86" s="19"/>
      <c r="B86" s="19" t="s">
        <v>20</v>
      </c>
      <c r="C86" s="19" t="s">
        <v>14</v>
      </c>
      <c r="D86" s="19" t="s">
        <v>16</v>
      </c>
      <c r="E86" s="19" t="s">
        <v>21</v>
      </c>
      <c r="F86" s="19" t="s">
        <v>17</v>
      </c>
      <c r="G86" s="19"/>
      <c r="H86" s="19" t="s">
        <v>1</v>
      </c>
      <c r="I86" s="19" t="s">
        <v>8</v>
      </c>
      <c r="J86" s="19"/>
      <c r="K86" s="19" t="s">
        <v>9</v>
      </c>
      <c r="L86" s="19"/>
      <c r="M86" s="19"/>
      <c r="N86" s="19"/>
      <c r="O86" s="19"/>
    </row>
    <row r="87" spans="1:15" x14ac:dyDescent="0.3">
      <c r="A87" s="20"/>
      <c r="B87" s="7" t="s">
        <v>30</v>
      </c>
      <c r="C87" s="21">
        <v>-9750.8543720422931</v>
      </c>
      <c r="D87" s="22">
        <v>-2877.6759430461057</v>
      </c>
      <c r="E87" s="22">
        <v>-371.09518544332161</v>
      </c>
      <c r="F87" s="22">
        <v>-275.22932261911797</v>
      </c>
      <c r="G87" s="19"/>
      <c r="H87" s="8">
        <f>($C87*1000/$B$3)/$B90/$B$1</f>
        <v>-2.5326894472837127</v>
      </c>
      <c r="I87" s="8">
        <f>(ABS(($F87+0.1)*1000)/$C87)*($H87/$B89)</f>
        <v>0.35731080859625713</v>
      </c>
      <c r="J87" s="19"/>
      <c r="K87" s="19"/>
      <c r="L87" s="9">
        <f>M87/O87</f>
        <v>0</v>
      </c>
      <c r="M87" s="19">
        <f>B90*K87</f>
        <v>0</v>
      </c>
      <c r="N87" s="19" t="str">
        <f>IF(O87=490, "D25",IF(O87=314,"D20","D16"))</f>
        <v>D16</v>
      </c>
      <c r="O87" s="19">
        <v>201</v>
      </c>
    </row>
    <row r="88" spans="1:15" x14ac:dyDescent="0.3">
      <c r="A88" s="2" t="s">
        <v>10</v>
      </c>
      <c r="B88" s="4">
        <v>1000</v>
      </c>
      <c r="C88" s="21">
        <v>8983.8891543803966</v>
      </c>
      <c r="D88" s="22">
        <v>2662.5937992475669</v>
      </c>
      <c r="E88" s="22">
        <v>365.65044538013825</v>
      </c>
      <c r="F88" s="22">
        <v>254.7920134473392</v>
      </c>
      <c r="G88" s="19"/>
      <c r="H88" s="8">
        <f>($C88*1000/$B$3)/$B90/$B$1</f>
        <v>2.3334777024364666</v>
      </c>
      <c r="I88" s="8">
        <f>(ABS(($F88+0.1)*1000)/$C88)*($H88/$B89)</f>
        <v>0.33102858889264825</v>
      </c>
      <c r="J88" s="19"/>
      <c r="K88" s="19"/>
      <c r="L88" s="9">
        <f>M88/O87</f>
        <v>0</v>
      </c>
      <c r="M88" s="19">
        <f>B90*K88</f>
        <v>0</v>
      </c>
      <c r="N88" s="19" t="str">
        <f>IF(O87=490, "D25",IF(O87=314,"D20","D16"))</f>
        <v>D16</v>
      </c>
      <c r="O88" s="7"/>
    </row>
    <row r="89" spans="1:15" x14ac:dyDescent="0.3">
      <c r="A89" s="2" t="s">
        <v>11</v>
      </c>
      <c r="B89" s="4">
        <v>200</v>
      </c>
      <c r="C89" s="22">
        <v>-9104.1443142826538</v>
      </c>
      <c r="D89" s="21">
        <v>-3026.3097172555949</v>
      </c>
      <c r="E89" s="22">
        <v>-3113.8666045807254</v>
      </c>
      <c r="F89" s="22">
        <v>-227.96932109218594</v>
      </c>
      <c r="G89" s="19"/>
      <c r="H89" s="8">
        <f>($C89*1000/$B$3)/$B90/$B$1</f>
        <v>-2.3647128089045855</v>
      </c>
      <c r="I89" s="8">
        <f>(ABS(($F89+0.1)*1000)/$C89)*($H89/$B89)</f>
        <v>0.29593418323660509</v>
      </c>
      <c r="J89" s="19"/>
      <c r="K89" s="19"/>
      <c r="L89" s="9">
        <f>M89/O87</f>
        <v>0</v>
      </c>
      <c r="M89" s="19">
        <f>B90*K89</f>
        <v>0</v>
      </c>
      <c r="N89" s="19" t="str">
        <f>IF(O87=490, "D25",IF(O87=314,"D20","D16"))</f>
        <v>D16</v>
      </c>
      <c r="O89" s="19"/>
    </row>
    <row r="90" spans="1:15" x14ac:dyDescent="0.3">
      <c r="A90" s="2" t="s">
        <v>12</v>
      </c>
      <c r="B90" s="10">
        <f>IF(B88="",(0.25*PI()*B89^2),B88*B89)</f>
        <v>200000</v>
      </c>
      <c r="C90" s="22">
        <v>8386.8657300210198</v>
      </c>
      <c r="D90" s="21">
        <v>2795.9473627813941</v>
      </c>
      <c r="E90" s="22">
        <v>3004.6656458986026</v>
      </c>
      <c r="F90" s="22">
        <v>209.17066216274526</v>
      </c>
      <c r="G90" s="19"/>
      <c r="H90" s="8">
        <f>($C90*1000/$B$3)/$B90/$B$1</f>
        <v>2.178406683122343</v>
      </c>
      <c r="I90" s="8">
        <f>(ABS(($F90+0.1)*1000)/$C90)*($H90/$B89)</f>
        <v>0.27178008073083798</v>
      </c>
      <c r="J90" s="19"/>
      <c r="K90" s="19"/>
      <c r="L90" s="9">
        <f>M90/O87</f>
        <v>0</v>
      </c>
      <c r="M90" s="19">
        <f>B90*K90</f>
        <v>0</v>
      </c>
      <c r="N90" s="19" t="str">
        <f>IF(O87=490, "D25",IF(O87=314,"D20","D16"))</f>
        <v>D16</v>
      </c>
      <c r="O90" s="19"/>
    </row>
    <row r="91" spans="1:15" x14ac:dyDescent="0.3">
      <c r="A91" s="19"/>
      <c r="B91" s="19"/>
      <c r="C91" s="22">
        <v>-7893.8787438982017</v>
      </c>
      <c r="D91" s="22">
        <v>-655.46946453714736</v>
      </c>
      <c r="E91" s="21">
        <v>-3415.113045284058</v>
      </c>
      <c r="F91" s="22">
        <v>47.435886267980386</v>
      </c>
      <c r="G91" s="19"/>
      <c r="H91" s="8">
        <f>($C91*1000/$B$3)/$B90/$B$1</f>
        <v>-2.0503581152982342</v>
      </c>
      <c r="I91" s="8">
        <f>(ABS(($F91+0.1)*1000)/$C91)*($H91/$B89)</f>
        <v>6.1734917231143362E-2</v>
      </c>
      <c r="J91" s="19"/>
      <c r="K91" s="19"/>
      <c r="L91" s="9">
        <f>M91/O87</f>
        <v>0</v>
      </c>
      <c r="M91" s="19">
        <f>B90*K91</f>
        <v>0</v>
      </c>
      <c r="N91" s="19" t="str">
        <f>IF(O87=490, "D25",IF(O87=314,"D20","D16"))</f>
        <v>D16</v>
      </c>
      <c r="O91" s="19"/>
    </row>
    <row r="92" spans="1:15" x14ac:dyDescent="0.3">
      <c r="A92" s="19"/>
      <c r="B92" s="19"/>
      <c r="C92" s="22">
        <v>7255.8803706986664</v>
      </c>
      <c r="D92" s="22">
        <v>601.94012992789123</v>
      </c>
      <c r="E92" s="21">
        <v>3218.2067221515726</v>
      </c>
      <c r="F92" s="22">
        <v>-42.292561246295406</v>
      </c>
      <c r="G92" s="19"/>
      <c r="H92" s="8">
        <f>($C92*1000/$B$3)/$B90/$B$1</f>
        <v>1.8846442521295239</v>
      </c>
      <c r="I92" s="8">
        <f>(ABS(($F92+0.1)*1000)/$C92)*($H92/$B89)</f>
        <v>5.4795534086097927E-2</v>
      </c>
      <c r="J92" s="19"/>
      <c r="K92" s="19"/>
      <c r="L92" s="9">
        <f>M92/O87</f>
        <v>0</v>
      </c>
      <c r="M92" s="19">
        <f>B90*K92</f>
        <v>0</v>
      </c>
      <c r="N92" s="19" t="str">
        <f>IF(O87=490, "D25",IF(O87=314,"D20","D16"))</f>
        <v>D16</v>
      </c>
      <c r="O92" s="19"/>
    </row>
    <row r="93" spans="1:15" x14ac:dyDescent="0.3">
      <c r="A93" s="19"/>
      <c r="B93" s="19"/>
      <c r="C93" s="22">
        <v>-9750.8543720422931</v>
      </c>
      <c r="D93" s="22">
        <v>-2877.6759430461057</v>
      </c>
      <c r="E93" s="22">
        <v>-371.09518544332161</v>
      </c>
      <c r="F93" s="21">
        <v>-275.22932261911797</v>
      </c>
      <c r="G93" s="19"/>
      <c r="H93" s="8">
        <f>($C93*1000/$B$3)/$B90/$B$1</f>
        <v>-2.5326894472837127</v>
      </c>
      <c r="I93" s="8">
        <f t="shared" ref="I93" si="16">(ABS(($F93+0.1)*1000)/$C93)*($H93/$B90)</f>
        <v>3.5731080859625718E-4</v>
      </c>
      <c r="J93" s="19"/>
      <c r="K93" s="19"/>
      <c r="L93" s="9">
        <f>M93/O87</f>
        <v>0</v>
      </c>
      <c r="M93" s="19">
        <f>B91*K93</f>
        <v>0</v>
      </c>
      <c r="N93" s="19" t="str">
        <f t="shared" ref="N93:N94" si="17">IF(O88=490, "D25",IF(O88=314,"D20","D16"))</f>
        <v>D16</v>
      </c>
      <c r="O93" s="19"/>
    </row>
    <row r="94" spans="1:15" x14ac:dyDescent="0.3">
      <c r="A94" s="19"/>
      <c r="B94" s="19"/>
      <c r="C94" s="22">
        <v>8983.8891543803966</v>
      </c>
      <c r="D94" s="22">
        <v>2662.5937992475669</v>
      </c>
      <c r="E94" s="22">
        <v>365.65044538013825</v>
      </c>
      <c r="F94" s="21">
        <v>254.7920134473392</v>
      </c>
      <c r="G94" s="19"/>
      <c r="H94" s="8">
        <f>($C94*1000/$B$3)/$B90/$B$1</f>
        <v>2.3334777024364666</v>
      </c>
      <c r="I94" s="8">
        <f>(ABS(($F94+0.1)*1000)/$C94)*($H94/$B90)</f>
        <v>3.3102858889264827E-4</v>
      </c>
      <c r="J94" s="19"/>
      <c r="K94" s="19"/>
      <c r="L94" s="9">
        <f>M94/O87</f>
        <v>0</v>
      </c>
      <c r="M94" s="19">
        <f>B92*K94</f>
        <v>0</v>
      </c>
      <c r="N94" s="19" t="str">
        <f t="shared" si="17"/>
        <v>D16</v>
      </c>
      <c r="O94" s="19"/>
    </row>
    <row r="95" spans="1:15" x14ac:dyDescent="0.3">
      <c r="A95" s="26"/>
    </row>
    <row r="96" spans="1:15" x14ac:dyDescent="0.3">
      <c r="A96" s="26"/>
      <c r="B96" s="19" t="s">
        <v>20</v>
      </c>
      <c r="C96" s="19" t="s">
        <v>14</v>
      </c>
      <c r="D96" s="19" t="s">
        <v>16</v>
      </c>
      <c r="E96" s="19" t="s">
        <v>21</v>
      </c>
      <c r="F96" s="19" t="s">
        <v>17</v>
      </c>
      <c r="G96" s="19"/>
      <c r="H96" s="19" t="s">
        <v>1</v>
      </c>
      <c r="I96" s="19" t="s">
        <v>8</v>
      </c>
      <c r="J96" s="19"/>
      <c r="K96" s="19" t="s">
        <v>9</v>
      </c>
      <c r="L96" s="19"/>
      <c r="M96" s="19"/>
      <c r="N96" s="19"/>
      <c r="O96" s="19"/>
    </row>
    <row r="97" spans="1:15" x14ac:dyDescent="0.3">
      <c r="A97" s="20"/>
      <c r="B97" s="7" t="s">
        <v>31</v>
      </c>
      <c r="C97" s="21">
        <v>-3382.606238609776</v>
      </c>
      <c r="D97" s="22">
        <v>-741.4069377055896</v>
      </c>
      <c r="E97" s="22">
        <v>142.65368675553086</v>
      </c>
      <c r="F97" s="22">
        <v>-8.9782136323576562</v>
      </c>
      <c r="G97" s="19"/>
      <c r="H97" s="8">
        <f>($C97*1000/$B$3)/$B100/$B$1</f>
        <v>-0.87859902301552628</v>
      </c>
      <c r="I97" s="8">
        <f>(ABS(($F97+0.1)*1000)/$C97)*($H97/$B99)</f>
        <v>1.1530147574490465E-2</v>
      </c>
      <c r="J97" s="19"/>
      <c r="K97" s="19"/>
      <c r="L97" s="9">
        <f>M97/O97</f>
        <v>0</v>
      </c>
      <c r="M97" s="19">
        <f>B100*K97</f>
        <v>0</v>
      </c>
      <c r="N97" s="19" t="str">
        <f>IF(O97=490, "D25",IF(O97=314,"D20","D16"))</f>
        <v>D16</v>
      </c>
      <c r="O97" s="19">
        <v>201</v>
      </c>
    </row>
    <row r="98" spans="1:15" x14ac:dyDescent="0.3">
      <c r="A98" s="27" t="s">
        <v>10</v>
      </c>
      <c r="B98" s="4">
        <v>1000</v>
      </c>
      <c r="C98" s="21">
        <v>3067.083823381302</v>
      </c>
      <c r="D98" s="22">
        <v>1031.1063677482423</v>
      </c>
      <c r="E98" s="22">
        <v>-271.61465146491133</v>
      </c>
      <c r="F98" s="22">
        <v>36.981220185601181</v>
      </c>
      <c r="G98" s="19"/>
      <c r="H98" s="8">
        <f>($C98*1000/$B$3)/$B100/$B$1</f>
        <v>0.79664514893020844</v>
      </c>
      <c r="I98" s="8">
        <f>(ABS(($F98+0.1)*1000)/$C98)*($H98/$B99)</f>
        <v>4.8157428812469073E-2</v>
      </c>
      <c r="J98" s="19"/>
      <c r="K98" s="19"/>
      <c r="L98" s="9">
        <f>M98/O97</f>
        <v>0</v>
      </c>
      <c r="M98" s="19">
        <f>B100*K98</f>
        <v>0</v>
      </c>
      <c r="N98" s="19" t="str">
        <f>IF(O97=490, "D25",IF(O97=314,"D20","D16"))</f>
        <v>D16</v>
      </c>
      <c r="O98" s="7"/>
    </row>
    <row r="99" spans="1:15" x14ac:dyDescent="0.3">
      <c r="A99" s="2" t="s">
        <v>11</v>
      </c>
      <c r="B99" s="4">
        <v>200</v>
      </c>
      <c r="C99" s="22">
        <v>-428.44117927298709</v>
      </c>
      <c r="D99" s="21">
        <v>-2594.7842767872708</v>
      </c>
      <c r="E99" s="22">
        <v>-2132.4530284106677</v>
      </c>
      <c r="F99" s="22">
        <v>2.6764007198889814</v>
      </c>
      <c r="G99" s="19"/>
      <c r="H99" s="8">
        <f>($C99*1000/$B$3)/$B100/$B$1</f>
        <v>-0.11128342318778885</v>
      </c>
      <c r="I99" s="8">
        <f>(ABS(($F99+0.1)*1000)/$C99)*($H99/$B99)</f>
        <v>3.6057152206350413E-3</v>
      </c>
      <c r="J99" s="19"/>
      <c r="K99" s="19"/>
      <c r="L99" s="9">
        <f>M99/O97</f>
        <v>0</v>
      </c>
      <c r="M99" s="19">
        <f>B100*K99</f>
        <v>0</v>
      </c>
      <c r="N99" s="19" t="str">
        <f>IF(O97=490, "D25",IF(O97=314,"D20","D16"))</f>
        <v>D16</v>
      </c>
      <c r="O99" s="19"/>
    </row>
    <row r="100" spans="1:15" x14ac:dyDescent="0.3">
      <c r="A100" s="2" t="s">
        <v>12</v>
      </c>
      <c r="B100" s="10">
        <f>IF(B98="",(0.25*PI()*B99^2),B98*B99)</f>
        <v>200000</v>
      </c>
      <c r="C100" s="22">
        <v>107.18785085194347</v>
      </c>
      <c r="D100" s="21">
        <v>2532.9938669224712</v>
      </c>
      <c r="E100" s="22">
        <v>2241.8007444293758</v>
      </c>
      <c r="F100" s="22">
        <v>-4.3553212398790579</v>
      </c>
      <c r="G100" s="19"/>
      <c r="H100" s="8">
        <f>($C100*1000/$B$3)/$B100/$B$1</f>
        <v>2.7841000221284024E-2</v>
      </c>
      <c r="I100" s="8">
        <f>(ABS(($F100+0.1)*1000)/$C100)*($H100/$B99)</f>
        <v>5.5263912206221554E-3</v>
      </c>
      <c r="J100" s="19"/>
      <c r="K100" s="19"/>
      <c r="L100" s="9">
        <f>M100/O97</f>
        <v>0</v>
      </c>
      <c r="M100" s="19">
        <f>B100*K100</f>
        <v>0</v>
      </c>
      <c r="N100" s="19" t="str">
        <f>IF(O97=490, "D25",IF(O97=314,"D20","D16"))</f>
        <v>D16</v>
      </c>
      <c r="O100" s="19"/>
    </row>
    <row r="101" spans="1:15" x14ac:dyDescent="0.3">
      <c r="A101" s="19"/>
      <c r="B101" s="19"/>
      <c r="C101" s="22">
        <v>-390.46152231903869</v>
      </c>
      <c r="D101" s="22">
        <v>-1871.5785801466395</v>
      </c>
      <c r="E101" s="21">
        <v>-2691.6047157927992</v>
      </c>
      <c r="F101" s="22">
        <v>-1.2426464190043791</v>
      </c>
      <c r="G101" s="19"/>
      <c r="H101" s="8">
        <f>($C101*1000/$B$3)/$B100/$B$1</f>
        <v>-0.10141857722572435</v>
      </c>
      <c r="I101" s="8">
        <f>(ABS(($F101+0.1)*1000)/$C101)*($H101/$B99)</f>
        <v>1.4839563883173755E-3</v>
      </c>
      <c r="J101" s="19"/>
      <c r="K101" s="19"/>
      <c r="L101" s="9">
        <f>M101/O97</f>
        <v>0</v>
      </c>
      <c r="M101" s="19">
        <f>B100*K101</f>
        <v>0</v>
      </c>
      <c r="N101" s="19" t="str">
        <f>IF(O97=490, "D25",IF(O97=314,"D20","D16"))</f>
        <v>D16</v>
      </c>
      <c r="O101" s="19"/>
    </row>
    <row r="102" spans="1:15" x14ac:dyDescent="0.3">
      <c r="A102" s="19"/>
      <c r="B102" s="19"/>
      <c r="C102" s="22">
        <v>5.8315555966006212</v>
      </c>
      <c r="D102" s="22">
        <v>1699.4812257056376</v>
      </c>
      <c r="E102" s="21">
        <v>2587.2632798351633</v>
      </c>
      <c r="F102" s="22">
        <v>0.89027834748167944</v>
      </c>
      <c r="G102" s="19"/>
      <c r="H102" s="8">
        <f>($C102*1000/$B$3)/$B100/$B$1</f>
        <v>1.5146897653508108E-3</v>
      </c>
      <c r="I102" s="8">
        <f>(ABS(($F102+0.1)*1000)/$C102)*($H102/$B99)</f>
        <v>1.2860757759502331E-3</v>
      </c>
      <c r="J102" s="19"/>
      <c r="K102" s="19"/>
      <c r="L102" s="9">
        <f>M102/O97</f>
        <v>0</v>
      </c>
      <c r="M102" s="19">
        <f>B100*K102</f>
        <v>0</v>
      </c>
      <c r="N102" s="19" t="str">
        <f>IF(O97=490, "D25",IF(O97=314,"D20","D16"))</f>
        <v>D16</v>
      </c>
      <c r="O102" s="19"/>
    </row>
    <row r="103" spans="1:15" x14ac:dyDescent="0.3">
      <c r="A103" s="19"/>
      <c r="B103" s="19"/>
      <c r="C103" s="22">
        <v>-658.98190242430121</v>
      </c>
      <c r="D103" s="22">
        <v>-535.14679180155633</v>
      </c>
      <c r="E103" s="22">
        <v>837.64080945344722</v>
      </c>
      <c r="F103" s="21">
        <v>-156.03329542998452</v>
      </c>
      <c r="G103" s="19"/>
      <c r="H103" s="8">
        <f>($C103*1000/$B$3)/$B100/$B$1</f>
        <v>-0.17116413049981852</v>
      </c>
      <c r="I103" s="8">
        <f t="shared" ref="I103" si="18">(ABS(($F103+0.1)*1000)/$C103)*($H103/$B100)</f>
        <v>2.0251077328569417E-4</v>
      </c>
      <c r="J103" s="19"/>
      <c r="K103" s="19"/>
      <c r="L103" s="9">
        <f>M103/O97</f>
        <v>0</v>
      </c>
      <c r="M103" s="19">
        <f>B101*K103</f>
        <v>0</v>
      </c>
      <c r="N103" s="19" t="str">
        <f t="shared" ref="N103:N104" si="19">IF(O98=490, "D25",IF(O98=314,"D20","D16"))</f>
        <v>D16</v>
      </c>
      <c r="O103" s="19"/>
    </row>
    <row r="104" spans="1:15" x14ac:dyDescent="0.3">
      <c r="A104" s="19"/>
      <c r="B104" s="19"/>
      <c r="C104" s="22">
        <v>-229.92976217684836</v>
      </c>
      <c r="D104" s="22">
        <v>298.77679497024184</v>
      </c>
      <c r="E104" s="22">
        <v>-904.95324108180046</v>
      </c>
      <c r="F104" s="21">
        <v>102.40871873916809</v>
      </c>
      <c r="G104" s="19"/>
      <c r="H104" s="8">
        <f>($C104*1000/$B$3)/$B100/$B$1</f>
        <v>-5.9722016149830748E-2</v>
      </c>
      <c r="I104" s="8">
        <f>(ABS(($F104+0.1)*1000)/$C104)*($H104/$B100)</f>
        <v>1.3312820615476377E-4</v>
      </c>
      <c r="J104" s="19"/>
      <c r="K104" s="19"/>
      <c r="L104" s="9">
        <f>M104/O97</f>
        <v>0</v>
      </c>
      <c r="M104" s="19">
        <f>B102*K104</f>
        <v>0</v>
      </c>
      <c r="N104" s="19" t="str">
        <f t="shared" si="19"/>
        <v>D16</v>
      </c>
      <c r="O104" s="19"/>
    </row>
    <row r="106" spans="1:15" x14ac:dyDescent="0.3">
      <c r="A106" s="19"/>
      <c r="B106" s="19" t="s">
        <v>20</v>
      </c>
      <c r="C106" s="19" t="s">
        <v>14</v>
      </c>
      <c r="D106" s="19" t="s">
        <v>16</v>
      </c>
      <c r="E106" s="19" t="s">
        <v>21</v>
      </c>
      <c r="F106" s="19" t="s">
        <v>17</v>
      </c>
      <c r="G106" s="19"/>
      <c r="H106" s="19" t="s">
        <v>1</v>
      </c>
      <c r="I106" s="19" t="s">
        <v>8</v>
      </c>
      <c r="J106" s="19"/>
      <c r="K106" s="19" t="s">
        <v>9</v>
      </c>
      <c r="L106" s="19"/>
      <c r="M106" s="19"/>
      <c r="N106" s="19"/>
      <c r="O106" s="19"/>
    </row>
    <row r="107" spans="1:15" x14ac:dyDescent="0.3">
      <c r="A107" s="20"/>
      <c r="B107" s="7" t="s">
        <v>32</v>
      </c>
      <c r="C107" s="21">
        <v>-1688.9438965944457</v>
      </c>
      <c r="D107" s="22">
        <v>-639.89615973095363</v>
      </c>
      <c r="E107" s="22">
        <v>422.0098139186328</v>
      </c>
      <c r="F107" s="22">
        <v>-29.852483648811194</v>
      </c>
      <c r="G107" s="19"/>
      <c r="H107" s="8">
        <f>($C107*1000/$B$3)/$B110/$B$1</f>
        <v>-0.43868672638816775</v>
      </c>
      <c r="I107" s="8">
        <f>(ABS(($F107+0.1)*1000)/$C107)*($H107/$B109)</f>
        <v>3.8639589154300255E-2</v>
      </c>
      <c r="J107" s="19"/>
      <c r="K107" s="19"/>
      <c r="L107" s="9">
        <f>M107/O107</f>
        <v>0</v>
      </c>
      <c r="M107" s="19">
        <f>B110*K107</f>
        <v>0</v>
      </c>
      <c r="N107" s="19" t="str">
        <f>IF(O107=490, "D25",IF(O107=314,"D20","D16"))</f>
        <v>D16</v>
      </c>
      <c r="O107" s="19">
        <v>201</v>
      </c>
    </row>
    <row r="108" spans="1:15" x14ac:dyDescent="0.3">
      <c r="A108" s="2" t="s">
        <v>10</v>
      </c>
      <c r="B108" s="4">
        <v>1000</v>
      </c>
      <c r="C108" s="21">
        <v>1826.9022780065168</v>
      </c>
      <c r="D108" s="22">
        <v>-6.5980757683876288</v>
      </c>
      <c r="E108" s="22">
        <v>-131.44230838701247</v>
      </c>
      <c r="F108" s="22">
        <v>-3.5388587867793757</v>
      </c>
      <c r="G108" s="19"/>
      <c r="H108" s="8">
        <f>($C108*1000/$B$3)/$B110/$B$1</f>
        <v>0.47452007220948494</v>
      </c>
      <c r="I108" s="8">
        <f>(ABS(($F108+0.1)*1000)/$C108)*($H108/$B109)</f>
        <v>4.4660503724407484E-3</v>
      </c>
      <c r="J108" s="19"/>
      <c r="K108" s="19"/>
      <c r="L108" s="9">
        <f>M108/O107</f>
        <v>0</v>
      </c>
      <c r="M108" s="19">
        <f>B110*K108</f>
        <v>0</v>
      </c>
      <c r="N108" s="19" t="str">
        <f>IF(O107=490, "D25",IF(O107=314,"D20","D16"))</f>
        <v>D16</v>
      </c>
      <c r="O108" s="7"/>
    </row>
    <row r="109" spans="1:15" x14ac:dyDescent="0.3">
      <c r="A109" s="2" t="s">
        <v>11</v>
      </c>
      <c r="B109" s="4">
        <v>200</v>
      </c>
      <c r="C109" s="22">
        <v>-1115.0721155249287</v>
      </c>
      <c r="D109" s="21">
        <v>-2893.3362984407122</v>
      </c>
      <c r="E109" s="22">
        <v>-1812.7928597870712</v>
      </c>
      <c r="F109" s="22">
        <v>2.5761321374991875</v>
      </c>
      <c r="G109" s="19"/>
      <c r="H109" s="8">
        <f>($C109*1000/$B$3)/$B110/$B$1</f>
        <v>-0.28962912091556592</v>
      </c>
      <c r="I109" s="8">
        <f>(ABS(($F109+0.1)*1000)/$C109)*($H109/$B109)</f>
        <v>3.4754962824664775E-3</v>
      </c>
      <c r="J109" s="19"/>
      <c r="K109" s="19"/>
      <c r="L109" s="9">
        <f>M109/O107</f>
        <v>0</v>
      </c>
      <c r="M109" s="19">
        <f>B110*K109</f>
        <v>0</v>
      </c>
      <c r="N109" s="19" t="str">
        <f>IF(O107=490, "D25",IF(O107=314,"D20","D16"))</f>
        <v>D16</v>
      </c>
      <c r="O109" s="19"/>
    </row>
    <row r="110" spans="1:15" x14ac:dyDescent="0.3">
      <c r="A110" s="2" t="s">
        <v>12</v>
      </c>
      <c r="B110" s="10">
        <f>IF(B108="",(0.25*PI()*B109^2),B108*B109)</f>
        <v>200000</v>
      </c>
      <c r="C110" s="22">
        <v>778.0212445973774</v>
      </c>
      <c r="D110" s="21">
        <v>2622.7445829218773</v>
      </c>
      <c r="E110" s="22">
        <v>1791.67037656445</v>
      </c>
      <c r="F110" s="22">
        <v>-3.4368117058533687</v>
      </c>
      <c r="G110" s="19"/>
      <c r="H110" s="8">
        <f>($C110*1000/$B$3)/$B110/$B$1</f>
        <v>0.20208344015516297</v>
      </c>
      <c r="I110" s="8">
        <f>(ABS(($F110+0.1)*1000)/$C110)*($H110/$B109)</f>
        <v>4.3335216959134656E-3</v>
      </c>
      <c r="J110" s="19"/>
      <c r="K110" s="19"/>
      <c r="L110" s="9">
        <f>M110/O107</f>
        <v>0</v>
      </c>
      <c r="M110" s="19">
        <f>B110*K110</f>
        <v>0</v>
      </c>
      <c r="N110" s="19" t="str">
        <f>IF(O107=490, "D25",IF(O107=314,"D20","D16"))</f>
        <v>D16</v>
      </c>
      <c r="O110" s="19"/>
    </row>
    <row r="111" spans="1:15" x14ac:dyDescent="0.3">
      <c r="A111" s="19"/>
      <c r="B111" s="19"/>
      <c r="C111" s="22">
        <v>-1115.0721155249287</v>
      </c>
      <c r="D111" s="22">
        <v>-2893.3362984407122</v>
      </c>
      <c r="E111" s="21">
        <v>-1812.7928597870712</v>
      </c>
      <c r="F111" s="22">
        <v>2.5761321374991875</v>
      </c>
      <c r="G111" s="19"/>
      <c r="H111" s="8">
        <f>($C111*1000/$B$3)/$B110/$B$1</f>
        <v>-0.28962912091556592</v>
      </c>
      <c r="I111" s="8">
        <f>(ABS(($F111+0.1)*1000)/$C111)*($H111/$B109)</f>
        <v>3.4754962824664775E-3</v>
      </c>
      <c r="J111" s="19"/>
      <c r="K111" s="19"/>
      <c r="L111" s="9">
        <f>M111/O107</f>
        <v>0</v>
      </c>
      <c r="M111" s="19">
        <f>B110*K111</f>
        <v>0</v>
      </c>
      <c r="N111" s="19" t="str">
        <f>IF(O107=490, "D25",IF(O107=314,"D20","D16"))</f>
        <v>D16</v>
      </c>
      <c r="O111" s="19"/>
    </row>
    <row r="112" spans="1:15" x14ac:dyDescent="0.3">
      <c r="A112" s="19"/>
      <c r="B112" s="19"/>
      <c r="C112" s="22">
        <v>778.0212445973774</v>
      </c>
      <c r="D112" s="22">
        <v>2622.7445829218773</v>
      </c>
      <c r="E112" s="21">
        <v>1791.67037656445</v>
      </c>
      <c r="F112" s="22">
        <v>-3.4368117058533687</v>
      </c>
      <c r="G112" s="19"/>
      <c r="H112" s="8">
        <f>($C112*1000/$B$3)/$B110/$B$1</f>
        <v>0.20208344015516297</v>
      </c>
      <c r="I112" s="8">
        <f>(ABS(($F112+0.1)*1000)/$C112)*($H112/$B109)</f>
        <v>4.3335216959134656E-3</v>
      </c>
      <c r="J112" s="19"/>
      <c r="K112" s="19"/>
      <c r="L112" s="9">
        <f>M112/O107</f>
        <v>0</v>
      </c>
      <c r="M112" s="19">
        <f>B110*K112</f>
        <v>0</v>
      </c>
      <c r="N112" s="19" t="str">
        <f>IF(O107=490, "D25",IF(O107=314,"D20","D16"))</f>
        <v>D16</v>
      </c>
      <c r="O112" s="19"/>
    </row>
    <row r="113" spans="1:15" x14ac:dyDescent="0.3">
      <c r="A113" s="19"/>
      <c r="B113" s="19"/>
      <c r="C113" s="22">
        <v>-901.07016293485117</v>
      </c>
      <c r="D113" s="22">
        <v>-640.20054922297436</v>
      </c>
      <c r="E113" s="22">
        <v>470.82325855871125</v>
      </c>
      <c r="F113" s="21">
        <v>-90.555215998094553</v>
      </c>
      <c r="G113" s="19"/>
      <c r="H113" s="8">
        <f>($C113*1000/$B$3)/$B110/$B$1</f>
        <v>-0.23404419816489641</v>
      </c>
      <c r="I113" s="8">
        <f t="shared" ref="I113" si="20">(ABS(($F113+0.1)*1000)/$C113)*($H113/$B110)</f>
        <v>1.174743064910319E-4</v>
      </c>
      <c r="J113" s="19"/>
      <c r="K113" s="19"/>
      <c r="L113" s="9">
        <f>M113/O107</f>
        <v>0</v>
      </c>
      <c r="M113" s="19">
        <f>B111*K113</f>
        <v>0</v>
      </c>
      <c r="N113" s="19" t="str">
        <f t="shared" ref="N113:N114" si="21">IF(O108=490, "D25",IF(O108=314,"D20","D16"))</f>
        <v>D16</v>
      </c>
      <c r="O113" s="19"/>
    </row>
    <row r="114" spans="1:15" x14ac:dyDescent="0.3">
      <c r="A114" s="19"/>
      <c r="B114" s="19"/>
      <c r="C114" s="22">
        <v>1314.3256452666551</v>
      </c>
      <c r="D114" s="22">
        <v>-9.8532948133703897</v>
      </c>
      <c r="E114" s="22">
        <v>181.28215302379428</v>
      </c>
      <c r="F114" s="21">
        <v>81.209151074230064</v>
      </c>
      <c r="G114" s="19"/>
      <c r="H114" s="8">
        <f>($C114*1000/$B$3)/$B110/$B$1</f>
        <v>0.34138328448484551</v>
      </c>
      <c r="I114" s="8">
        <f>(ABS(($F114+0.1)*1000)/$C114)*($H114/$B110)</f>
        <v>1.0559630009640268E-4</v>
      </c>
      <c r="J114" s="19"/>
      <c r="K114" s="19"/>
      <c r="L114" s="9">
        <f>M114/O107</f>
        <v>0</v>
      </c>
      <c r="M114" s="19">
        <f>B112*K114</f>
        <v>0</v>
      </c>
      <c r="N114" s="19" t="str">
        <f t="shared" si="21"/>
        <v>D16</v>
      </c>
      <c r="O114" s="19"/>
    </row>
    <row r="116" spans="1:15" x14ac:dyDescent="0.3">
      <c r="A116" s="19"/>
      <c r="B116" s="19" t="s">
        <v>20</v>
      </c>
      <c r="C116" s="19" t="s">
        <v>14</v>
      </c>
      <c r="D116" s="19" t="s">
        <v>16</v>
      </c>
      <c r="E116" s="19" t="s">
        <v>21</v>
      </c>
      <c r="F116" s="19" t="s">
        <v>17</v>
      </c>
      <c r="G116" s="19"/>
      <c r="H116" s="19" t="s">
        <v>1</v>
      </c>
      <c r="I116" s="19" t="s">
        <v>8</v>
      </c>
      <c r="J116" s="19"/>
      <c r="K116" s="19" t="s">
        <v>9</v>
      </c>
      <c r="L116" s="19"/>
      <c r="M116" s="19"/>
      <c r="N116" s="19"/>
      <c r="O116" s="19"/>
    </row>
    <row r="117" spans="1:15" x14ac:dyDescent="0.3">
      <c r="A117" s="20"/>
      <c r="B117" s="7" t="s">
        <v>33</v>
      </c>
      <c r="C117" s="21">
        <v>-1428.8909133974817</v>
      </c>
      <c r="D117" s="22">
        <v>98.484191540338728</v>
      </c>
      <c r="E117" s="22">
        <v>-88.487776838599913</v>
      </c>
      <c r="F117" s="22">
        <v>29.095934649677787</v>
      </c>
      <c r="G117" s="19"/>
      <c r="H117" s="8">
        <f>($C117*1000/$B$3)/$B120/$B$1</f>
        <v>-0.37114049698635887</v>
      </c>
      <c r="I117" s="8">
        <f>(ABS(($F117+0.1)*1000)/$C117)*($H117/$B119)</f>
        <v>3.7916798246334787E-2</v>
      </c>
      <c r="J117" s="19"/>
      <c r="K117" s="19"/>
      <c r="L117" s="9">
        <f>M117/O117</f>
        <v>0</v>
      </c>
      <c r="M117" s="19">
        <f>B120*K117</f>
        <v>0</v>
      </c>
      <c r="N117" s="19" t="str">
        <f>IF(O117=490, "D25",IF(O117=314,"D20","D16"))</f>
        <v>D16</v>
      </c>
      <c r="O117" s="19">
        <v>201</v>
      </c>
    </row>
    <row r="118" spans="1:15" x14ac:dyDescent="0.3">
      <c r="A118" s="2" t="s">
        <v>10</v>
      </c>
      <c r="B118" s="4">
        <v>1000</v>
      </c>
      <c r="C118" s="21">
        <v>1470.2041105150404</v>
      </c>
      <c r="D118" s="22">
        <v>-2.0657818893960065</v>
      </c>
      <c r="E118" s="22">
        <v>-36.096832610849248</v>
      </c>
      <c r="F118" s="22">
        <v>-1.3093776400608912</v>
      </c>
      <c r="G118" s="19"/>
      <c r="H118" s="8">
        <f>($C118*1000/$B$3)/$B120/$B$1</f>
        <v>0.38187119753637411</v>
      </c>
      <c r="I118" s="8">
        <f>(ABS(($F118+0.1)*1000)/$C118)*($H118/$B119)</f>
        <v>1.5706203117673908E-3</v>
      </c>
      <c r="J118" s="19"/>
      <c r="K118" s="19"/>
      <c r="L118" s="9">
        <f>M118/O117</f>
        <v>0</v>
      </c>
      <c r="M118" s="19">
        <f>B120*K118</f>
        <v>0</v>
      </c>
      <c r="N118" s="19" t="str">
        <f>IF(O117=490, "D25",IF(O117=314,"D20","D16"))</f>
        <v>D16</v>
      </c>
      <c r="O118" s="7"/>
    </row>
    <row r="119" spans="1:15" x14ac:dyDescent="0.3">
      <c r="A119" s="2" t="s">
        <v>11</v>
      </c>
      <c r="B119" s="4">
        <v>200</v>
      </c>
      <c r="C119" s="22">
        <v>-740.65626380140247</v>
      </c>
      <c r="D119" s="21">
        <v>-1779.1572013591897</v>
      </c>
      <c r="E119" s="22">
        <v>592.3756555801466</v>
      </c>
      <c r="F119" s="22">
        <v>-2.0832768842904064</v>
      </c>
      <c r="G119" s="19"/>
      <c r="H119" s="8">
        <f>($C119*1000/$B$3)/$B120/$B$1</f>
        <v>-0.19237825033802664</v>
      </c>
      <c r="I119" s="8">
        <f>(ABS(($F119+0.1)*1000)/$C119)*($H119/$B119)</f>
        <v>2.5756842653122162E-3</v>
      </c>
      <c r="J119" s="19"/>
      <c r="K119" s="19"/>
      <c r="L119" s="9">
        <f>M119/O117</f>
        <v>0</v>
      </c>
      <c r="M119" s="19">
        <f>B120*K119</f>
        <v>0</v>
      </c>
      <c r="N119" s="19" t="str">
        <f>IF(O117=490, "D25",IF(O117=314,"D20","D16"))</f>
        <v>D16</v>
      </c>
      <c r="O119" s="19"/>
    </row>
    <row r="120" spans="1:15" x14ac:dyDescent="0.3">
      <c r="A120" s="2" t="s">
        <v>12</v>
      </c>
      <c r="B120" s="10">
        <f>IF(B118="",(0.25*PI()*B119^2),B118*B119)</f>
        <v>200000</v>
      </c>
      <c r="C120" s="22">
        <v>600.32529567542872</v>
      </c>
      <c r="D120" s="21">
        <v>1849.3835246821266</v>
      </c>
      <c r="E120" s="22">
        <v>-519.25654159255919</v>
      </c>
      <c r="F120" s="22">
        <v>3.0702982087217632</v>
      </c>
      <c r="G120" s="19"/>
      <c r="H120" s="8">
        <f>($C120*1000/$B$3)/$B120/$B$1</f>
        <v>0.15592864822738409</v>
      </c>
      <c r="I120" s="8">
        <f>(ABS(($F120+0.1)*1000)/$C120)*($H120/$B119)</f>
        <v>4.1172704009373555E-3</v>
      </c>
      <c r="J120" s="19"/>
      <c r="K120" s="19"/>
      <c r="L120" s="9">
        <f>M120/O117</f>
        <v>0</v>
      </c>
      <c r="M120" s="19">
        <f>B120*K120</f>
        <v>0</v>
      </c>
      <c r="N120" s="19" t="str">
        <f>IF(O117=490, "D25",IF(O117=314,"D20","D16"))</f>
        <v>D16</v>
      </c>
      <c r="O120" s="19"/>
    </row>
    <row r="121" spans="1:15" x14ac:dyDescent="0.3">
      <c r="A121" s="19"/>
      <c r="B121" s="19"/>
      <c r="C121" s="22">
        <v>641.48788186514366</v>
      </c>
      <c r="D121" s="22">
        <v>1807.060438380958</v>
      </c>
      <c r="E121" s="21">
        <v>-520.40384872118341</v>
      </c>
      <c r="F121" s="22">
        <v>2.9881053333276308</v>
      </c>
      <c r="G121" s="19"/>
      <c r="H121" s="8">
        <f>($C121*1000/$B$3)/$B120/$B$1</f>
        <v>0.16662022905588147</v>
      </c>
      <c r="I121" s="8">
        <f>(ABS(($F121+0.1)*1000)/$C121)*($H121/$B119)</f>
        <v>4.0105264069190006E-3</v>
      </c>
      <c r="J121" s="19"/>
      <c r="K121" s="19"/>
      <c r="L121" s="9">
        <f>M121/O117</f>
        <v>0</v>
      </c>
      <c r="M121" s="19">
        <f>B120*K121</f>
        <v>0</v>
      </c>
      <c r="N121" s="19" t="str">
        <f>IF(O117=490, "D25",IF(O117=314,"D20","D16"))</f>
        <v>D16</v>
      </c>
      <c r="O121" s="19"/>
    </row>
    <row r="122" spans="1:15" x14ac:dyDescent="0.3">
      <c r="A122" s="19"/>
      <c r="B122" s="19"/>
      <c r="C122" s="22">
        <v>-179.67402536410623</v>
      </c>
      <c r="D122" s="22">
        <v>489.5647557247018</v>
      </c>
      <c r="E122" s="21">
        <v>647.78646364838278</v>
      </c>
      <c r="F122" s="22">
        <v>7.0541400745475</v>
      </c>
      <c r="G122" s="19"/>
      <c r="H122" s="8">
        <f>($C122*1000/$B$3)/$B120/$B$1</f>
        <v>-4.6668578016650974E-2</v>
      </c>
      <c r="I122" s="8">
        <f>(ABS(($F122+0.1)*1000)/$C122)*($H122/$B119)</f>
        <v>9.2910910059058431E-3</v>
      </c>
      <c r="J122" s="19"/>
      <c r="K122" s="19"/>
      <c r="L122" s="9">
        <f>M122/O117</f>
        <v>0</v>
      </c>
      <c r="M122" s="19">
        <f>B120*K122</f>
        <v>0</v>
      </c>
      <c r="N122" s="19" t="str">
        <f>IF(O117=490, "D25",IF(O117=314,"D20","D16"))</f>
        <v>D16</v>
      </c>
      <c r="O122" s="19"/>
    </row>
    <row r="123" spans="1:15" x14ac:dyDescent="0.3">
      <c r="A123" s="19"/>
      <c r="B123" s="19"/>
      <c r="C123" s="22">
        <v>-326.52364612144913</v>
      </c>
      <c r="D123" s="22">
        <v>299.90683460347861</v>
      </c>
      <c r="E123" s="22">
        <v>2.1164693992468675</v>
      </c>
      <c r="F123" s="21">
        <v>-36.79596130043398</v>
      </c>
      <c r="G123" s="19"/>
      <c r="H123" s="8">
        <f>($C123*1000/$B$3)/$B120/$B$1</f>
        <v>-8.4811336654921868E-2</v>
      </c>
      <c r="I123" s="8">
        <f t="shared" ref="I123" si="22">(ABS(($F123+0.1)*1000)/$C123)*($H123/$B120)</f>
        <v>4.7657092597966216E-5</v>
      </c>
      <c r="J123" s="19"/>
      <c r="K123" s="19"/>
      <c r="L123" s="9">
        <f>M123/O117</f>
        <v>0</v>
      </c>
      <c r="M123" s="19">
        <f>B121*K123</f>
        <v>0</v>
      </c>
      <c r="N123" s="19" t="str">
        <f t="shared" ref="N123:N124" si="23">IF(O118=490, "D25",IF(O118=314,"D20","D16"))</f>
        <v>D16</v>
      </c>
      <c r="O123" s="19"/>
    </row>
    <row r="124" spans="1:15" x14ac:dyDescent="0.3">
      <c r="A124" s="19"/>
      <c r="B124" s="19"/>
      <c r="C124" s="22">
        <v>-320.91900263694856</v>
      </c>
      <c r="D124" s="22">
        <v>209.403028140418</v>
      </c>
      <c r="E124" s="22">
        <v>222.32078740558816</v>
      </c>
      <c r="F124" s="21">
        <v>58.299572556357539</v>
      </c>
      <c r="G124" s="19"/>
      <c r="H124" s="8">
        <f>($C124*1000/$B$3)/$B120/$B$1</f>
        <v>-8.3355585100506113E-2</v>
      </c>
      <c r="I124" s="8">
        <f>(ABS(($F124+0.1)*1000)/$C124)*($H124/$B120)</f>
        <v>7.5843600722542252E-5</v>
      </c>
      <c r="J124" s="19"/>
      <c r="K124" s="19"/>
      <c r="L124" s="9">
        <f>M124/O117</f>
        <v>0</v>
      </c>
      <c r="M124" s="19">
        <f>B122*K124</f>
        <v>0</v>
      </c>
      <c r="N124" s="19" t="str">
        <f t="shared" si="23"/>
        <v>D16</v>
      </c>
      <c r="O124" s="19"/>
    </row>
    <row r="126" spans="1:15" x14ac:dyDescent="0.3">
      <c r="A126" s="23"/>
      <c r="B126" s="23" t="s">
        <v>20</v>
      </c>
      <c r="C126" s="23" t="s">
        <v>14</v>
      </c>
      <c r="D126" s="23" t="s">
        <v>16</v>
      </c>
      <c r="E126" s="23" t="s">
        <v>21</v>
      </c>
      <c r="F126" s="23" t="s">
        <v>17</v>
      </c>
      <c r="G126" s="23"/>
      <c r="H126" s="23" t="s">
        <v>1</v>
      </c>
      <c r="I126" s="23" t="s">
        <v>8</v>
      </c>
      <c r="J126" s="23"/>
      <c r="K126" s="23" t="s">
        <v>9</v>
      </c>
      <c r="L126" s="23"/>
      <c r="M126" s="23"/>
      <c r="N126" s="23"/>
      <c r="O126" s="23"/>
    </row>
    <row r="127" spans="1:15" x14ac:dyDescent="0.3">
      <c r="A127" s="20"/>
      <c r="B127" s="7" t="s">
        <v>34</v>
      </c>
      <c r="C127" s="21">
        <v>-6422.9108192314252</v>
      </c>
      <c r="D127" s="22">
        <v>-1183.8951351418909</v>
      </c>
      <c r="E127" s="22">
        <v>-2514.8850806059536</v>
      </c>
      <c r="F127" s="22">
        <v>-15.247654255469534</v>
      </c>
      <c r="G127" s="23"/>
      <c r="H127" s="8">
        <f>($C127*1000/$B$3)/$B130/$B$1</f>
        <v>-1.6682885244756951</v>
      </c>
      <c r="I127" s="8">
        <f>(ABS(($F127+0.1)*1000)/$C127)*($H127/$B129)</f>
        <v>1.9672278253856541E-2</v>
      </c>
      <c r="J127" s="23"/>
      <c r="K127" s="23"/>
      <c r="L127" s="9">
        <f>M127/O127</f>
        <v>0</v>
      </c>
      <c r="M127" s="23">
        <f>B130*K127</f>
        <v>0</v>
      </c>
      <c r="N127" s="23" t="str">
        <f>IF(O127=490, "D25",IF(O127=314,"D20","D16"))</f>
        <v>D16</v>
      </c>
      <c r="O127" s="23">
        <v>201</v>
      </c>
    </row>
    <row r="128" spans="1:15" x14ac:dyDescent="0.3">
      <c r="A128" s="2" t="s">
        <v>10</v>
      </c>
      <c r="B128" s="4">
        <v>1000</v>
      </c>
      <c r="C128" s="21">
        <v>6012.762879621765</v>
      </c>
      <c r="D128" s="22">
        <v>1115.7955493007009</v>
      </c>
      <c r="E128" s="22">
        <v>2537.8128650653734</v>
      </c>
      <c r="F128" s="22">
        <v>13.908423600851686</v>
      </c>
      <c r="G128" s="23"/>
      <c r="H128" s="8">
        <f>($C128*1000/$B$3)/$B130/$B$1</f>
        <v>1.5617565921095495</v>
      </c>
      <c r="I128" s="8">
        <f>(ABS(($F128+0.1)*1000)/$C128)*($H128/$B129)</f>
        <v>1.8192757923184009E-2</v>
      </c>
      <c r="J128" s="23"/>
      <c r="K128" s="23"/>
      <c r="L128" s="9">
        <f>M128/O127</f>
        <v>0</v>
      </c>
      <c r="M128" s="23">
        <f>B130*K128</f>
        <v>0</v>
      </c>
      <c r="N128" s="23" t="str">
        <f>IF(O127=490, "D25",IF(O127=314,"D20","D16"))</f>
        <v>D16</v>
      </c>
      <c r="O128" s="7"/>
    </row>
    <row r="129" spans="1:15" x14ac:dyDescent="0.3">
      <c r="A129" s="2" t="s">
        <v>11</v>
      </c>
      <c r="B129" s="4">
        <v>200</v>
      </c>
      <c r="C129" s="22">
        <v>-5065.3819115723763</v>
      </c>
      <c r="D129" s="21">
        <v>-2101.2086236179575</v>
      </c>
      <c r="E129" s="22">
        <v>1801.6387906584143</v>
      </c>
      <c r="F129" s="22">
        <v>-5.7347090211779239</v>
      </c>
      <c r="G129" s="23"/>
      <c r="H129" s="8">
        <f>($C129*1000/$B$3)/$B130/$B$1</f>
        <v>-1.3156836133954226</v>
      </c>
      <c r="I129" s="8">
        <f>(ABS(($F129+0.1)*1000)/$C129)*($H129/$B129)</f>
        <v>7.317803923607695E-3</v>
      </c>
      <c r="J129" s="23"/>
      <c r="K129" s="23"/>
      <c r="L129" s="9">
        <f>M129/O127</f>
        <v>0</v>
      </c>
      <c r="M129" s="23">
        <f>B130*K129</f>
        <v>0</v>
      </c>
      <c r="N129" s="23" t="str">
        <f>IF(O127=490, "D25",IF(O127=314,"D20","D16"))</f>
        <v>D16</v>
      </c>
      <c r="O129" s="23"/>
    </row>
    <row r="130" spans="1:15" x14ac:dyDescent="0.3">
      <c r="A130" s="2" t="s">
        <v>12</v>
      </c>
      <c r="B130" s="10">
        <f>IF(B128="",(0.25*PI()*B129^2),B128*B129)</f>
        <v>200000</v>
      </c>
      <c r="C130" s="22">
        <v>4556.2244643908698</v>
      </c>
      <c r="D130" s="21">
        <v>1810.8648017122528</v>
      </c>
      <c r="E130" s="22">
        <v>-1532.2284272641309</v>
      </c>
      <c r="F130" s="22">
        <v>2.7324124157444838</v>
      </c>
      <c r="G130" s="23"/>
      <c r="H130" s="8">
        <f>($C130*1000/$B$3)/$B130/$B$1</f>
        <v>1.1834349258158106</v>
      </c>
      <c r="I130" s="8">
        <f>(ABS(($F130+0.1)*1000)/$C130)*($H130/$B129)</f>
        <v>3.6784576827850446E-3</v>
      </c>
      <c r="J130" s="23"/>
      <c r="K130" s="23"/>
      <c r="L130" s="9">
        <f>M130/O127</f>
        <v>0</v>
      </c>
      <c r="M130" s="23">
        <f>B130*K130</f>
        <v>0</v>
      </c>
      <c r="N130" s="23" t="str">
        <f>IF(O127=490, "D25",IF(O127=314,"D20","D16"))</f>
        <v>D16</v>
      </c>
      <c r="O130" s="23"/>
    </row>
    <row r="131" spans="1:15" x14ac:dyDescent="0.3">
      <c r="A131" s="23"/>
      <c r="B131" s="23"/>
      <c r="C131" s="22">
        <v>4527.2175924621351</v>
      </c>
      <c r="D131" s="22">
        <v>1022.5917554334004</v>
      </c>
      <c r="E131" s="21">
        <v>-2536.0807215831123</v>
      </c>
      <c r="F131" s="22">
        <v>4.9386607943135878</v>
      </c>
      <c r="G131" s="23"/>
      <c r="H131" s="8">
        <f>($C131*1000/$B$3)/$B130/$B$1</f>
        <v>1.1759006733667883</v>
      </c>
      <c r="I131" s="8">
        <f>(ABS(($F131+0.1)*1000)/$C131)*($H131/$B129)</f>
        <v>6.5437153172903722E-3</v>
      </c>
      <c r="J131" s="23"/>
      <c r="K131" s="23"/>
      <c r="L131" s="9">
        <f>M131/O127</f>
        <v>0</v>
      </c>
      <c r="M131" s="23">
        <f>B130*K131</f>
        <v>0</v>
      </c>
      <c r="N131" s="23" t="str">
        <f>IF(O127=490, "D25",IF(O127=314,"D20","D16"))</f>
        <v>D16</v>
      </c>
      <c r="O131" s="23"/>
    </row>
    <row r="132" spans="1:15" x14ac:dyDescent="0.3">
      <c r="A132" s="23"/>
      <c r="B132" s="23"/>
      <c r="C132" s="22">
        <v>5932.8030909799909</v>
      </c>
      <c r="D132" s="22">
        <v>1102.7415706449756</v>
      </c>
      <c r="E132" s="21">
        <v>2541.200148128984</v>
      </c>
      <c r="F132" s="22">
        <v>13.661872992590634</v>
      </c>
      <c r="G132" s="23"/>
      <c r="H132" s="8">
        <f>($C132*1000/$B$3)/$B130/$B$1</f>
        <v>1.5409878158389587</v>
      </c>
      <c r="I132" s="8">
        <f>(ABS(($F132+0.1)*1000)/$C132)*($H132/$B129)</f>
        <v>1.7872562328039784E-2</v>
      </c>
      <c r="J132" s="23"/>
      <c r="K132" s="23"/>
      <c r="L132" s="9">
        <f>M132/O127</f>
        <v>0</v>
      </c>
      <c r="M132" s="23">
        <f>B130*K132</f>
        <v>0</v>
      </c>
      <c r="N132" s="23" t="str">
        <f>IF(O127=490, "D25",IF(O127=314,"D20","D16"))</f>
        <v>D16</v>
      </c>
      <c r="O132" s="23"/>
    </row>
    <row r="133" spans="1:15" x14ac:dyDescent="0.3">
      <c r="A133" s="23"/>
      <c r="B133" s="23"/>
      <c r="C133" s="22">
        <v>-5760.0586761375416</v>
      </c>
      <c r="D133" s="22">
        <v>-1578.7888125393406</v>
      </c>
      <c r="E133" s="22">
        <v>996.55960134989812</v>
      </c>
      <c r="F133" s="21">
        <v>-204.02137591728621</v>
      </c>
      <c r="G133" s="23"/>
      <c r="H133" s="8">
        <f>($C133*1000/$B$3)/$B130/$B$1</f>
        <v>-1.4961191366591018</v>
      </c>
      <c r="I133" s="8">
        <f t="shared" ref="I133" si="24">(ABS(($F133+0.1)*1000)/$C133)*($H133/$B130)</f>
        <v>2.6483295573673536E-4</v>
      </c>
      <c r="J133" s="23"/>
      <c r="K133" s="23"/>
      <c r="L133" s="9">
        <f>M133/O127</f>
        <v>0</v>
      </c>
      <c r="M133" s="23">
        <f>B131*K133</f>
        <v>0</v>
      </c>
      <c r="N133" s="23" t="str">
        <f t="shared" ref="N133:N134" si="25">IF(O128=490, "D25",IF(O128=314,"D20","D16"))</f>
        <v>D16</v>
      </c>
      <c r="O133" s="23"/>
    </row>
    <row r="134" spans="1:15" x14ac:dyDescent="0.3">
      <c r="A134" s="23"/>
      <c r="B134" s="23"/>
      <c r="C134" s="22">
        <v>5104.1027332417907</v>
      </c>
      <c r="D134" s="22">
        <v>1395.2361727462123</v>
      </c>
      <c r="E134" s="22">
        <v>-919.69282178050389</v>
      </c>
      <c r="F134" s="21">
        <v>197.13881196886254</v>
      </c>
      <c r="G134" s="23"/>
      <c r="H134" s="8">
        <f>($C134*1000/$B$3)/$B130/$B$1</f>
        <v>1.3257409696731925</v>
      </c>
      <c r="I134" s="8">
        <f>(ABS(($F134+0.1)*1000)/$C134)*($H134/$B130)</f>
        <v>2.5615430125826305E-4</v>
      </c>
      <c r="J134" s="23"/>
      <c r="K134" s="23"/>
      <c r="L134" s="9">
        <f>M134/O127</f>
        <v>0</v>
      </c>
      <c r="M134" s="23">
        <f>B132*K134</f>
        <v>0</v>
      </c>
      <c r="N134" s="23" t="str">
        <f t="shared" si="25"/>
        <v>D16</v>
      </c>
      <c r="O134" s="23"/>
    </row>
    <row r="136" spans="1:15" x14ac:dyDescent="0.3">
      <c r="A136" s="23"/>
      <c r="B136" s="23" t="s">
        <v>20</v>
      </c>
      <c r="C136" s="23" t="s">
        <v>14</v>
      </c>
      <c r="D136" s="23" t="s">
        <v>16</v>
      </c>
      <c r="E136" s="23" t="s">
        <v>21</v>
      </c>
      <c r="F136" s="23" t="s">
        <v>17</v>
      </c>
      <c r="G136" s="23"/>
      <c r="H136" s="23" t="s">
        <v>1</v>
      </c>
      <c r="I136" s="23" t="s">
        <v>8</v>
      </c>
      <c r="J136" s="23"/>
      <c r="K136" s="23" t="s">
        <v>9</v>
      </c>
      <c r="L136" s="23"/>
      <c r="M136" s="23"/>
      <c r="N136" s="23"/>
      <c r="O136" s="23"/>
    </row>
    <row r="137" spans="1:15" x14ac:dyDescent="0.3">
      <c r="A137" s="20"/>
      <c r="B137" s="7" t="s">
        <v>35</v>
      </c>
      <c r="C137" s="21">
        <v>-3087.4055726769197</v>
      </c>
      <c r="D137" s="22">
        <v>-163.74393031341106</v>
      </c>
      <c r="E137" s="22">
        <v>-344.35808596572895</v>
      </c>
      <c r="F137" s="22">
        <v>5.7104662168752824</v>
      </c>
      <c r="G137" s="23"/>
      <c r="H137" s="8">
        <f>($C137*1000/$B$3)/$B140/$B$1</f>
        <v>-0.80192352537062872</v>
      </c>
      <c r="I137" s="8">
        <f>(ABS(($F137+0.1)*1000)/$C137)*($H137/$B139)</f>
        <v>7.546060021915952E-3</v>
      </c>
      <c r="J137" s="23"/>
      <c r="K137" s="23"/>
      <c r="L137" s="9">
        <f>M137/O137</f>
        <v>0</v>
      </c>
      <c r="M137" s="23">
        <f>B140*K137</f>
        <v>0</v>
      </c>
      <c r="N137" s="23" t="str">
        <f>IF(O137=490, "D25",IF(O137=314,"D20","D16"))</f>
        <v>D16</v>
      </c>
      <c r="O137" s="23">
        <v>201</v>
      </c>
    </row>
    <row r="138" spans="1:15" x14ac:dyDescent="0.3">
      <c r="A138" s="2" t="s">
        <v>10</v>
      </c>
      <c r="B138" s="4">
        <v>1000</v>
      </c>
      <c r="C138" s="21">
        <v>2876.1200392335336</v>
      </c>
      <c r="D138" s="22">
        <v>181.01067638832978</v>
      </c>
      <c r="E138" s="22">
        <v>339.48138595530719</v>
      </c>
      <c r="F138" s="22">
        <v>3.0867056161367881</v>
      </c>
      <c r="G138" s="23"/>
      <c r="H138" s="8">
        <f>($C138*1000/$B$3)/$B140/$B$1</f>
        <v>0.74704416603468415</v>
      </c>
      <c r="I138" s="8">
        <f>(ABS(($F138+0.1)*1000)/$C138)*($H138/$B139)</f>
        <v>4.13857872225557E-3</v>
      </c>
      <c r="J138" s="23"/>
      <c r="K138" s="23"/>
      <c r="L138" s="9">
        <f>M138/O137</f>
        <v>0</v>
      </c>
      <c r="M138" s="23">
        <f>B140*K138</f>
        <v>0</v>
      </c>
      <c r="N138" s="23" t="str">
        <f>IF(O137=490, "D25",IF(O137=314,"D20","D16"))</f>
        <v>D16</v>
      </c>
      <c r="O138" s="7"/>
    </row>
    <row r="139" spans="1:15" x14ac:dyDescent="0.3">
      <c r="A139" s="2" t="s">
        <v>11</v>
      </c>
      <c r="B139" s="4">
        <v>200</v>
      </c>
      <c r="C139" s="22">
        <v>175.87538173089786</v>
      </c>
      <c r="D139" s="21">
        <v>-1543.3673562924862</v>
      </c>
      <c r="E139" s="22">
        <v>286.10608981569277</v>
      </c>
      <c r="F139" s="22">
        <v>-2.5814078519107317</v>
      </c>
      <c r="G139" s="23"/>
      <c r="H139" s="8">
        <f>($C139*1000/$B$3)/$B140/$B$1</f>
        <v>4.5681917332700744E-2</v>
      </c>
      <c r="I139" s="8">
        <f>(ABS(($F139+0.1)*1000)/$C139)*($H139/$B139)</f>
        <v>3.2226075998840671E-3</v>
      </c>
      <c r="J139" s="23"/>
      <c r="K139" s="23"/>
      <c r="L139" s="9">
        <f>M139/O137</f>
        <v>0</v>
      </c>
      <c r="M139" s="23">
        <f>B140*K139</f>
        <v>0</v>
      </c>
      <c r="N139" s="23" t="str">
        <f>IF(O137=490, "D25",IF(O137=314,"D20","D16"))</f>
        <v>D16</v>
      </c>
      <c r="O139" s="23"/>
    </row>
    <row r="140" spans="1:15" x14ac:dyDescent="0.3">
      <c r="A140" s="2" t="s">
        <v>12</v>
      </c>
      <c r="B140" s="10">
        <f>IF(B138="",(0.25*PI()*B139^2),B138*B139)</f>
        <v>200000</v>
      </c>
      <c r="C140" s="22">
        <v>-432.22358712849615</v>
      </c>
      <c r="D140" s="21">
        <v>980.90534467178145</v>
      </c>
      <c r="E140" s="22">
        <v>18.813079777302097</v>
      </c>
      <c r="F140" s="22">
        <v>2.2733018901667821</v>
      </c>
      <c r="G140" s="23"/>
      <c r="H140" s="8">
        <f>($C140*1000/$B$3)/$B140/$B$1</f>
        <v>-0.11226586678662237</v>
      </c>
      <c r="I140" s="8">
        <f>(ABS(($F140+0.1)*1000)/$C140)*($H140/$B139)</f>
        <v>3.0822102469698466E-3</v>
      </c>
      <c r="J140" s="23"/>
      <c r="K140" s="23"/>
      <c r="L140" s="9">
        <f>M140/O137</f>
        <v>0</v>
      </c>
      <c r="M140" s="23">
        <f>B140*K140</f>
        <v>0</v>
      </c>
      <c r="N140" s="23" t="str">
        <f>IF(O137=490, "D25",IF(O137=314,"D20","D16"))</f>
        <v>D16</v>
      </c>
      <c r="O140" s="23"/>
    </row>
    <row r="141" spans="1:15" x14ac:dyDescent="0.3">
      <c r="A141" s="23"/>
      <c r="B141" s="23"/>
      <c r="C141" s="22">
        <v>-1083.6631140642637</v>
      </c>
      <c r="D141" s="22">
        <v>-38.898819590356048</v>
      </c>
      <c r="E141" s="21">
        <v>-1606.2915717438702</v>
      </c>
      <c r="F141" s="22">
        <v>-0.44222673328012352</v>
      </c>
      <c r="G141" s="23"/>
      <c r="H141" s="8">
        <f>($C141*1000/$B$3)/$B140/$B$1</f>
        <v>-0.28147093871799056</v>
      </c>
      <c r="I141" s="8">
        <f>(ABS(($F141+0.1)*1000)/$C141)*($H141/$B139)</f>
        <v>4.4445030296119936E-4</v>
      </c>
      <c r="J141" s="23"/>
      <c r="K141" s="23"/>
      <c r="L141" s="9">
        <f>M141/O137</f>
        <v>0</v>
      </c>
      <c r="M141" s="23">
        <f>B140*K141</f>
        <v>0</v>
      </c>
      <c r="N141" s="23" t="str">
        <f>IF(O137=490, "D25",IF(O137=314,"D20","D16"))</f>
        <v>D16</v>
      </c>
      <c r="O141" s="23"/>
    </row>
    <row r="142" spans="1:15" x14ac:dyDescent="0.3">
      <c r="A142" s="23"/>
      <c r="B142" s="23"/>
      <c r="C142" s="22">
        <v>645.04146823565475</v>
      </c>
      <c r="D142" s="22">
        <v>42.479555529583855</v>
      </c>
      <c r="E142" s="21">
        <v>1671.4433168799592</v>
      </c>
      <c r="F142" s="22">
        <v>-0.38082025401758901</v>
      </c>
      <c r="G142" s="23"/>
      <c r="H142" s="8">
        <f>($C142*1000/$B$3)/$B140/$B$1</f>
        <v>0.16754323850276751</v>
      </c>
      <c r="I142" s="8">
        <f>(ABS(($F142+0.1)*1000)/$C142)*($H142/$B139)</f>
        <v>3.6470162859427151E-4</v>
      </c>
      <c r="J142" s="23"/>
      <c r="K142" s="23"/>
      <c r="L142" s="9">
        <f>M142/O137</f>
        <v>0</v>
      </c>
      <c r="M142" s="23">
        <f>B140*K142</f>
        <v>0</v>
      </c>
      <c r="N142" s="23" t="str">
        <f>IF(O137=490, "D25",IF(O137=314,"D20","D16"))</f>
        <v>D16</v>
      </c>
      <c r="O142" s="23"/>
    </row>
    <row r="143" spans="1:15" x14ac:dyDescent="0.3">
      <c r="A143" s="23"/>
      <c r="B143" s="23"/>
      <c r="C143" s="22">
        <v>-979.4788022473906</v>
      </c>
      <c r="D143" s="22">
        <v>-421.81217429789791</v>
      </c>
      <c r="E143" s="22">
        <v>196.12496498684422</v>
      </c>
      <c r="F143" s="21">
        <v>-126.58559571145396</v>
      </c>
      <c r="G143" s="23"/>
      <c r="H143" s="8">
        <f>($C143*1000/$B$3)/$B140/$B$1</f>
        <v>-0.25441007850581576</v>
      </c>
      <c r="I143" s="8">
        <f t="shared" ref="I143" si="26">(ABS(($F143+0.1)*1000)/$C143)*($H143/$B140)</f>
        <v>1.642670074174727E-4</v>
      </c>
      <c r="J143" s="23"/>
      <c r="K143" s="23"/>
      <c r="L143" s="9">
        <f>M143/O137</f>
        <v>0</v>
      </c>
      <c r="M143" s="23">
        <f>B141*K143</f>
        <v>0</v>
      </c>
      <c r="N143" s="23" t="str">
        <f t="shared" ref="N143:N144" si="27">IF(O138=490, "D25",IF(O138=314,"D20","D16"))</f>
        <v>D16</v>
      </c>
      <c r="O143" s="23"/>
    </row>
    <row r="144" spans="1:15" x14ac:dyDescent="0.3">
      <c r="A144" s="23"/>
      <c r="B144" s="23"/>
      <c r="C144" s="22">
        <v>464.16171639859897</v>
      </c>
      <c r="D144" s="22">
        <v>367.99767513952423</v>
      </c>
      <c r="E144" s="22">
        <v>-182.49798126479186</v>
      </c>
      <c r="F144" s="21">
        <v>101.42931010834658</v>
      </c>
      <c r="G144" s="23"/>
      <c r="H144" s="8">
        <f>($C144*1000/$B$3)/$B140/$B$1</f>
        <v>0.12056148477885689</v>
      </c>
      <c r="I144" s="8">
        <f>(ABS(($F144+0.1)*1000)/$C144)*($H144/$B140)</f>
        <v>1.3185624689395661E-4</v>
      </c>
      <c r="J144" s="23"/>
      <c r="K144" s="23"/>
      <c r="L144" s="9">
        <f>M144/O137</f>
        <v>0</v>
      </c>
      <c r="M144" s="23">
        <f>B142*K144</f>
        <v>0</v>
      </c>
      <c r="N144" s="23" t="str">
        <f t="shared" si="27"/>
        <v>D16</v>
      </c>
      <c r="O144" s="23"/>
    </row>
    <row r="146" spans="1:15" x14ac:dyDescent="0.3">
      <c r="A146" s="23"/>
      <c r="B146" s="23" t="s">
        <v>20</v>
      </c>
      <c r="C146" s="23" t="s">
        <v>14</v>
      </c>
      <c r="D146" s="23" t="s">
        <v>16</v>
      </c>
      <c r="E146" s="23" t="s">
        <v>21</v>
      </c>
      <c r="F146" s="23" t="s">
        <v>17</v>
      </c>
      <c r="G146" s="23"/>
      <c r="H146" s="23" t="s">
        <v>1</v>
      </c>
      <c r="I146" s="23" t="s">
        <v>8</v>
      </c>
      <c r="J146" s="23"/>
      <c r="K146" s="23" t="s">
        <v>9</v>
      </c>
      <c r="L146" s="23"/>
      <c r="M146" s="23"/>
      <c r="N146" s="23"/>
      <c r="O146" s="23"/>
    </row>
    <row r="147" spans="1:15" x14ac:dyDescent="0.3">
      <c r="A147" s="20"/>
      <c r="B147" s="7" t="s">
        <v>36</v>
      </c>
      <c r="C147" s="21">
        <v>-1526.8670081256037</v>
      </c>
      <c r="D147" s="22">
        <v>111.29697244191875</v>
      </c>
      <c r="E147" s="22">
        <v>-485.62270923738686</v>
      </c>
      <c r="F147" s="22">
        <v>7.0923611290454538</v>
      </c>
      <c r="G147" s="23"/>
      <c r="H147" s="8">
        <f>($C147*1000/$B$3)/$B150/$B$1</f>
        <v>-0.39658883327937761</v>
      </c>
      <c r="I147" s="8">
        <f>(ABS(($F147+0.1)*1000)/$C147)*($H147/$B149)</f>
        <v>9.3407287390200704E-3</v>
      </c>
      <c r="J147" s="23"/>
      <c r="K147" s="23"/>
      <c r="L147" s="9">
        <f>M147/O147</f>
        <v>0</v>
      </c>
      <c r="M147" s="23">
        <f>B150*K147</f>
        <v>0</v>
      </c>
      <c r="N147" s="23" t="str">
        <f>IF(O147=490, "D25",IF(O147=314,"D20","D16"))</f>
        <v>D16</v>
      </c>
      <c r="O147" s="23">
        <v>201</v>
      </c>
    </row>
    <row r="148" spans="1:15" x14ac:dyDescent="0.3">
      <c r="A148" s="2" t="s">
        <v>10</v>
      </c>
      <c r="B148" s="4">
        <v>1000</v>
      </c>
      <c r="C148" s="21">
        <v>1314.725988141636</v>
      </c>
      <c r="D148" s="22">
        <v>77.543940344583092</v>
      </c>
      <c r="E148" s="22">
        <v>187.11112772100543</v>
      </c>
      <c r="F148" s="22">
        <v>5.6034652731419641</v>
      </c>
      <c r="G148" s="23"/>
      <c r="H148" s="8">
        <f>($C148*1000/$B$3)/$B150/$B$1</f>
        <v>0.34148726964717818</v>
      </c>
      <c r="I148" s="8">
        <f>(ABS(($F148+0.1)*1000)/$C148)*($H148/$B149)</f>
        <v>7.4070977573272266E-3</v>
      </c>
      <c r="J148" s="23"/>
      <c r="K148" s="23"/>
      <c r="L148" s="9">
        <f>M148/O147</f>
        <v>0</v>
      </c>
      <c r="M148" s="23">
        <f>B150*K148</f>
        <v>0</v>
      </c>
      <c r="N148" s="23" t="str">
        <f>IF(O147=490, "D25",IF(O147=314,"D20","D16"))</f>
        <v>D16</v>
      </c>
      <c r="O148" s="7"/>
    </row>
    <row r="149" spans="1:15" x14ac:dyDescent="0.3">
      <c r="A149" s="2" t="s">
        <v>11</v>
      </c>
      <c r="B149" s="4">
        <v>200</v>
      </c>
      <c r="C149" s="22">
        <v>-458.9631066189188</v>
      </c>
      <c r="D149" s="21">
        <v>-1444.6018077513988</v>
      </c>
      <c r="E149" s="22">
        <v>-566.73630862829145</v>
      </c>
      <c r="F149" s="22">
        <v>-2.0824539044757922</v>
      </c>
      <c r="G149" s="23"/>
      <c r="H149" s="8">
        <f>($C149*1000/$B$3)/$B150/$B$1</f>
        <v>-0.11921119652439451</v>
      </c>
      <c r="I149" s="8">
        <f>(ABS(($F149+0.1)*1000)/$C149)*($H149/$B149)</f>
        <v>2.5746154603581723E-3</v>
      </c>
      <c r="J149" s="23"/>
      <c r="K149" s="23"/>
      <c r="L149" s="9">
        <f>M149/O147</f>
        <v>0</v>
      </c>
      <c r="M149" s="23">
        <f>B150*K149</f>
        <v>0</v>
      </c>
      <c r="N149" s="23" t="str">
        <f>IF(O147=490, "D25",IF(O147=314,"D20","D16"))</f>
        <v>D16</v>
      </c>
      <c r="O149" s="23"/>
    </row>
    <row r="150" spans="1:15" x14ac:dyDescent="0.3">
      <c r="A150" s="2" t="s">
        <v>12</v>
      </c>
      <c r="B150" s="10">
        <f>IF(B148="",(0.25*PI()*B149^2),B148*B149)</f>
        <v>200000</v>
      </c>
      <c r="C150" s="22">
        <v>71.96469115839534</v>
      </c>
      <c r="D150" s="21">
        <v>1019.2107341132887</v>
      </c>
      <c r="E150" s="22">
        <v>-253.0852939862535</v>
      </c>
      <c r="F150" s="22">
        <v>2.4140735795118249</v>
      </c>
      <c r="G150" s="23"/>
      <c r="H150" s="8">
        <f>($C150*1000/$B$3)/$B150/$B$1</f>
        <v>1.869212757360918E-2</v>
      </c>
      <c r="I150" s="8">
        <f>(ABS(($F150+0.1)*1000)/$C150)*($H150/$B149)</f>
        <v>3.26503062274263E-3</v>
      </c>
      <c r="J150" s="23"/>
      <c r="K150" s="23"/>
      <c r="L150" s="9">
        <f>M150/O147</f>
        <v>0</v>
      </c>
      <c r="M150" s="23">
        <f>B150*K150</f>
        <v>0</v>
      </c>
      <c r="N150" s="23" t="str">
        <f>IF(O147=490, "D25",IF(O147=314,"D20","D16"))</f>
        <v>D16</v>
      </c>
      <c r="O150" s="23"/>
    </row>
    <row r="151" spans="1:15" x14ac:dyDescent="0.3">
      <c r="A151" s="23"/>
      <c r="B151" s="23"/>
      <c r="C151" s="22">
        <v>-533.93691472277521</v>
      </c>
      <c r="D151" s="22">
        <v>-90.279109082214205</v>
      </c>
      <c r="E151" s="21">
        <v>-1157.8796361703223</v>
      </c>
      <c r="F151" s="22">
        <v>-0.46765927671738622</v>
      </c>
      <c r="G151" s="23"/>
      <c r="H151" s="8">
        <f>($C151*1000/$B$3)/$B150/$B$1</f>
        <v>-0.13868491291500656</v>
      </c>
      <c r="I151" s="8">
        <f>(ABS(($F151+0.1)*1000)/$C151)*($H151/$B149)</f>
        <v>4.7747958015244963E-4</v>
      </c>
      <c r="J151" s="23"/>
      <c r="K151" s="23"/>
      <c r="L151" s="9">
        <f>M151/O147</f>
        <v>0</v>
      </c>
      <c r="M151" s="23">
        <f>B150*K151</f>
        <v>0</v>
      </c>
      <c r="N151" s="23" t="str">
        <f>IF(O147=490, "D25",IF(O147=314,"D20","D16"))</f>
        <v>D16</v>
      </c>
      <c r="O151" s="23"/>
    </row>
    <row r="152" spans="1:15" x14ac:dyDescent="0.3">
      <c r="A152" s="23"/>
      <c r="B152" s="23"/>
      <c r="C152" s="22">
        <v>187.65883081087631</v>
      </c>
      <c r="D152" s="22">
        <v>79.224696442440489</v>
      </c>
      <c r="E152" s="21">
        <v>1205.3285529985119</v>
      </c>
      <c r="F152" s="22">
        <v>5.4508072622884995</v>
      </c>
      <c r="G152" s="23"/>
      <c r="H152" s="8">
        <f>($C152*1000/$B$3)/$B150/$B$1</f>
        <v>4.8742553457370476E-2</v>
      </c>
      <c r="I152" s="8">
        <f>(ABS(($F152+0.1)*1000)/$C152)*($H152/$B149)</f>
        <v>7.2088406003746747E-3</v>
      </c>
      <c r="J152" s="23"/>
      <c r="K152" s="23"/>
      <c r="L152" s="9">
        <f>M152/O147</f>
        <v>0</v>
      </c>
      <c r="M152" s="23">
        <f>B150*K152</f>
        <v>0</v>
      </c>
      <c r="N152" s="23" t="str">
        <f>IF(O147=490, "D25",IF(O147=314,"D20","D16"))</f>
        <v>D16</v>
      </c>
      <c r="O152" s="23"/>
    </row>
    <row r="153" spans="1:15" x14ac:dyDescent="0.3">
      <c r="A153" s="23"/>
      <c r="B153" s="23"/>
      <c r="C153" s="22">
        <v>-377.09270153173094</v>
      </c>
      <c r="D153" s="22">
        <v>-121.37081401197167</v>
      </c>
      <c r="E153" s="22">
        <v>296.65372866038302</v>
      </c>
      <c r="F153" s="21">
        <v>-84.898938699532948</v>
      </c>
      <c r="G153" s="23"/>
      <c r="H153" s="8">
        <f>($C153*1000/$B$3)/$B150/$B$1</f>
        <v>-9.7946156242008045E-2</v>
      </c>
      <c r="I153" s="8">
        <f t="shared" ref="I153" si="28">(ABS(($F153+0.1)*1000)/$C153)*($H153/$B150)</f>
        <v>1.1012849181757527E-4</v>
      </c>
      <c r="J153" s="23"/>
      <c r="K153" s="23"/>
      <c r="L153" s="9">
        <f>M153/O147</f>
        <v>0</v>
      </c>
      <c r="M153" s="23">
        <f>B151*K153</f>
        <v>0</v>
      </c>
      <c r="N153" s="23" t="str">
        <f t="shared" ref="N153:N154" si="29">IF(O148=490, "D25",IF(O148=314,"D20","D16"))</f>
        <v>D16</v>
      </c>
      <c r="O153" s="23"/>
    </row>
    <row r="154" spans="1:15" x14ac:dyDescent="0.3">
      <c r="A154" s="23"/>
      <c r="B154" s="23"/>
      <c r="C154" s="22">
        <v>-78.197484131330938</v>
      </c>
      <c r="D154" s="22">
        <v>345.79245302702179</v>
      </c>
      <c r="E154" s="22">
        <v>346.38748205231394</v>
      </c>
      <c r="F154" s="21">
        <v>85.21414699116886</v>
      </c>
      <c r="G154" s="23"/>
      <c r="H154" s="8">
        <f>($C154*1000/$B$3)/$B150/$B$1</f>
        <v>-2.0311034839306741E-2</v>
      </c>
      <c r="I154" s="8">
        <f>(ABS(($F154+0.1)*1000)/$C154)*($H154/$B150)</f>
        <v>1.107975934950245E-4</v>
      </c>
      <c r="J154" s="23"/>
      <c r="K154" s="23"/>
      <c r="L154" s="9">
        <f>M154/O147</f>
        <v>0</v>
      </c>
      <c r="M154" s="23">
        <f>B152*K154</f>
        <v>0</v>
      </c>
      <c r="N154" s="23" t="str">
        <f t="shared" si="29"/>
        <v>D16</v>
      </c>
      <c r="O154" s="23"/>
    </row>
    <row r="156" spans="1:15" x14ac:dyDescent="0.3">
      <c r="A156" s="23"/>
      <c r="B156" s="23" t="s">
        <v>20</v>
      </c>
      <c r="C156" s="23" t="s">
        <v>14</v>
      </c>
      <c r="D156" s="23" t="s">
        <v>16</v>
      </c>
      <c r="E156" s="23" t="s">
        <v>21</v>
      </c>
      <c r="F156" s="23" t="s">
        <v>17</v>
      </c>
      <c r="G156" s="23"/>
      <c r="H156" s="23" t="s">
        <v>1</v>
      </c>
      <c r="I156" s="23" t="s">
        <v>8</v>
      </c>
      <c r="J156" s="23"/>
      <c r="K156" s="23" t="s">
        <v>9</v>
      </c>
      <c r="L156" s="23"/>
      <c r="M156" s="23"/>
      <c r="N156" s="23"/>
      <c r="O156" s="23"/>
    </row>
    <row r="157" spans="1:15" x14ac:dyDescent="0.3">
      <c r="A157" s="20"/>
      <c r="B157" s="7" t="s">
        <v>37</v>
      </c>
      <c r="C157" s="21">
        <v>-596.93434290781943</v>
      </c>
      <c r="D157" s="22">
        <v>-20.545265069873434</v>
      </c>
      <c r="E157" s="22">
        <v>-95.281899865284217</v>
      </c>
      <c r="F157" s="22">
        <v>-4.2910874841124675</v>
      </c>
      <c r="G157" s="23"/>
      <c r="H157" s="8">
        <f>($C157*1000/$B$3)/$B160/$B$1</f>
        <v>-0.15504788127475833</v>
      </c>
      <c r="I157" s="8">
        <f>(ABS(($F157+0.1)*1000)/$C157)*($H157/$B159)</f>
        <v>5.4429707585876216E-3</v>
      </c>
      <c r="J157" s="23"/>
      <c r="K157" s="23"/>
      <c r="L157" s="9">
        <f>M157/O157</f>
        <v>0</v>
      </c>
      <c r="M157" s="23">
        <f>B160*K157</f>
        <v>0</v>
      </c>
      <c r="N157" s="23" t="str">
        <f>IF(O157=490, "D25",IF(O157=314,"D20","D16"))</f>
        <v>D16</v>
      </c>
      <c r="O157" s="23">
        <v>201</v>
      </c>
    </row>
    <row r="158" spans="1:15" x14ac:dyDescent="0.3">
      <c r="A158" s="2" t="s">
        <v>10</v>
      </c>
      <c r="B158" s="4">
        <v>1000</v>
      </c>
      <c r="C158" s="21">
        <v>646.95244187938044</v>
      </c>
      <c r="D158" s="22">
        <v>2243.5836863233867</v>
      </c>
      <c r="E158" s="22">
        <v>901.83131601144396</v>
      </c>
      <c r="F158" s="22">
        <v>2.0232384964888017</v>
      </c>
      <c r="G158" s="23"/>
      <c r="H158" s="8">
        <f>($C158*1000/$B$3)/$B160/$B$1</f>
        <v>0.16803959529334558</v>
      </c>
      <c r="I158" s="8">
        <f>(ABS(($F158+0.1)*1000)/$C158)*($H158/$B159)</f>
        <v>2.7574525928426002E-3</v>
      </c>
      <c r="J158" s="23"/>
      <c r="K158" s="23"/>
      <c r="L158" s="9">
        <f>M158/O157</f>
        <v>0</v>
      </c>
      <c r="M158" s="23">
        <f>B160*K158</f>
        <v>0</v>
      </c>
      <c r="N158" s="23" t="str">
        <f>IF(O157=490, "D25",IF(O157=314,"D20","D16"))</f>
        <v>D16</v>
      </c>
      <c r="O158" s="7"/>
    </row>
    <row r="159" spans="1:15" x14ac:dyDescent="0.3">
      <c r="A159" s="2" t="s">
        <v>11</v>
      </c>
      <c r="B159" s="4">
        <v>200</v>
      </c>
      <c r="C159" s="22">
        <v>-415.27645398541603</v>
      </c>
      <c r="D159" s="21">
        <v>-1592.5978507116213</v>
      </c>
      <c r="E159" s="22">
        <v>-500.94916626873299</v>
      </c>
      <c r="F159" s="22">
        <v>-1.5817829198878071</v>
      </c>
      <c r="G159" s="23"/>
      <c r="H159" s="8">
        <f>($C159*1000/$B$3)/$B160/$B$1</f>
        <v>-0.107864014022186</v>
      </c>
      <c r="I159" s="8">
        <f>(ABS(($F159+0.1)*1000)/$C159)*($H159/$B159)</f>
        <v>1.9243934024516978E-3</v>
      </c>
      <c r="J159" s="23"/>
      <c r="K159" s="23"/>
      <c r="L159" s="9">
        <f>M159/O157</f>
        <v>0</v>
      </c>
      <c r="M159" s="23">
        <f>B160*K159</f>
        <v>0</v>
      </c>
      <c r="N159" s="23" t="str">
        <f>IF(O157=490, "D25",IF(O157=314,"D20","D16"))</f>
        <v>D16</v>
      </c>
      <c r="O159" s="23"/>
    </row>
    <row r="160" spans="1:15" x14ac:dyDescent="0.3">
      <c r="A160" s="2" t="s">
        <v>12</v>
      </c>
      <c r="B160" s="10">
        <f>IF(B158="",(0.25*PI()*B159^2),B158*B159)</f>
        <v>200000</v>
      </c>
      <c r="C160" s="22">
        <v>646.95244187938044</v>
      </c>
      <c r="D160" s="21">
        <v>2243.5836863233867</v>
      </c>
      <c r="E160" s="22">
        <v>901.83131601144396</v>
      </c>
      <c r="F160" s="22">
        <v>2.0232384964888017</v>
      </c>
      <c r="G160" s="23"/>
      <c r="H160" s="8">
        <f>($C160*1000/$B$3)/$B160/$B$1</f>
        <v>0.16803959529334558</v>
      </c>
      <c r="I160" s="8">
        <f>(ABS(($F160+0.1)*1000)/$C160)*($H160/$B159)</f>
        <v>2.7574525928426002E-3</v>
      </c>
      <c r="J160" s="23"/>
      <c r="K160" s="23"/>
      <c r="L160" s="9">
        <f>M160/O157</f>
        <v>0</v>
      </c>
      <c r="M160" s="23">
        <f>B160*K160</f>
        <v>0</v>
      </c>
      <c r="N160" s="23" t="str">
        <f>IF(O157=490, "D25",IF(O157=314,"D20","D16"))</f>
        <v>D16</v>
      </c>
      <c r="O160" s="23"/>
    </row>
    <row r="161" spans="1:15" x14ac:dyDescent="0.3">
      <c r="A161" s="23"/>
      <c r="B161" s="23"/>
      <c r="C161" s="22">
        <v>326.96717311523435</v>
      </c>
      <c r="D161" s="22">
        <v>661.21731471018018</v>
      </c>
      <c r="E161" s="21">
        <v>-550.25440833268112</v>
      </c>
      <c r="F161" s="22">
        <v>2.0676178653705946</v>
      </c>
      <c r="G161" s="23"/>
      <c r="H161" s="8">
        <f>($C161*1000/$B$3)/$B160/$B$1</f>
        <v>8.4926538471489441E-2</v>
      </c>
      <c r="I161" s="8">
        <f>(ABS(($F161+0.1)*1000)/$C161)*($H161/$B159)</f>
        <v>2.8150881368449281E-3</v>
      </c>
      <c r="J161" s="23"/>
      <c r="K161" s="23"/>
      <c r="L161" s="9">
        <f>M161/O157</f>
        <v>0</v>
      </c>
      <c r="M161" s="23">
        <f>B160*K161</f>
        <v>0</v>
      </c>
      <c r="N161" s="23" t="str">
        <f>IF(O157=490, "D25",IF(O157=314,"D20","D16"))</f>
        <v>D16</v>
      </c>
      <c r="O161" s="23"/>
    </row>
    <row r="162" spans="1:15" x14ac:dyDescent="0.3">
      <c r="A162" s="23"/>
      <c r="B162" s="26"/>
      <c r="C162" s="22">
        <v>-503.81442892785481</v>
      </c>
      <c r="D162" s="22">
        <v>-390.90234017568025</v>
      </c>
      <c r="E162" s="21">
        <v>1173.4695002894211</v>
      </c>
      <c r="F162" s="22">
        <v>-1.6572556331048902</v>
      </c>
      <c r="G162" s="23"/>
      <c r="H162" s="8">
        <f>($C162*1000/$B$3)/$B160/$B$1</f>
        <v>-0.13086089063061165</v>
      </c>
      <c r="I162" s="8">
        <f>(ABS(($F162+0.1)*1000)/$C162)*($H162/$B159)</f>
        <v>2.0224099131232339E-3</v>
      </c>
      <c r="J162" s="23"/>
      <c r="K162" s="23"/>
      <c r="L162" s="9">
        <f>M162/O157</f>
        <v>0</v>
      </c>
      <c r="M162" s="23">
        <f>B160*K162</f>
        <v>0</v>
      </c>
      <c r="N162" s="23" t="str">
        <f>IF(O157=490, "D25",IF(O157=314,"D20","D16"))</f>
        <v>D16</v>
      </c>
      <c r="O162" s="23"/>
    </row>
    <row r="163" spans="1:15" x14ac:dyDescent="0.3">
      <c r="A163" s="23"/>
      <c r="B163" s="23"/>
      <c r="C163" s="22">
        <v>64.340788330366365</v>
      </c>
      <c r="D163" s="22">
        <v>-217.36296394116445</v>
      </c>
      <c r="E163" s="22">
        <v>-149.61673049665018</v>
      </c>
      <c r="F163" s="21">
        <v>-33.05593983669884</v>
      </c>
      <c r="G163" s="23"/>
      <c r="H163" s="8">
        <f>($C163*1000/$B$3)/$B160/$B$1</f>
        <v>1.6711893072822434E-2</v>
      </c>
      <c r="I163" s="8">
        <f t="shared" ref="I163" si="30">(ABS(($F163+0.1)*1000)/$C163)*($H163/$B160)</f>
        <v>4.279992186584265E-5</v>
      </c>
      <c r="J163" s="23"/>
      <c r="K163" s="23"/>
      <c r="L163" s="9">
        <f>M163/O157</f>
        <v>0</v>
      </c>
      <c r="M163" s="23">
        <f>B161*K163</f>
        <v>0</v>
      </c>
      <c r="N163" s="23" t="str">
        <f t="shared" ref="N163:N164" si="31">IF(O158=490, "D25",IF(O158=314,"D20","D16"))</f>
        <v>D16</v>
      </c>
      <c r="O163" s="23"/>
    </row>
    <row r="164" spans="1:15" x14ac:dyDescent="0.3">
      <c r="A164" s="23"/>
      <c r="B164" s="23"/>
      <c r="C164" s="22">
        <v>-117.16126238972485</v>
      </c>
      <c r="D164" s="22">
        <v>173.14637144774537</v>
      </c>
      <c r="E164" s="22">
        <v>120.65647769280707</v>
      </c>
      <c r="F164" s="21">
        <v>65.218523716241066</v>
      </c>
      <c r="G164" s="23"/>
      <c r="H164" s="8">
        <f>($C164*1000/$B$3)/$B160/$B$1</f>
        <v>-3.0431496724603862E-2</v>
      </c>
      <c r="I164" s="8">
        <f>(ABS(($F164+0.1)*1000)/$C164)*($H164/$B160)</f>
        <v>8.4829251579533854E-5</v>
      </c>
      <c r="J164" s="23"/>
      <c r="K164" s="23"/>
      <c r="L164" s="9">
        <f>M164/O157</f>
        <v>0</v>
      </c>
      <c r="M164" s="23">
        <f>B162*K164</f>
        <v>0</v>
      </c>
      <c r="N164" s="23" t="str">
        <f t="shared" si="31"/>
        <v>D16</v>
      </c>
      <c r="O164" s="23"/>
    </row>
    <row r="166" spans="1:15" x14ac:dyDescent="0.3">
      <c r="A166" s="23"/>
      <c r="B166" s="23" t="s">
        <v>20</v>
      </c>
      <c r="C166" s="23" t="s">
        <v>14</v>
      </c>
      <c r="D166" s="23" t="s">
        <v>16</v>
      </c>
      <c r="E166" s="23" t="s">
        <v>21</v>
      </c>
      <c r="F166" s="23" t="s">
        <v>17</v>
      </c>
      <c r="G166" s="23"/>
      <c r="H166" s="23" t="s">
        <v>1</v>
      </c>
      <c r="I166" s="23" t="s">
        <v>8</v>
      </c>
      <c r="J166" s="23"/>
      <c r="K166" s="23" t="s">
        <v>9</v>
      </c>
      <c r="L166" s="23"/>
      <c r="M166" s="23"/>
      <c r="N166" s="23"/>
      <c r="O166" s="23"/>
    </row>
    <row r="167" spans="1:15" x14ac:dyDescent="0.3">
      <c r="A167" s="20"/>
      <c r="B167" s="7" t="s">
        <v>47</v>
      </c>
      <c r="C167" s="21">
        <v>-6637.4610651763996</v>
      </c>
      <c r="D167" s="22">
        <v>-2602.864470201921</v>
      </c>
      <c r="E167" s="22">
        <v>-1832.6481372119244</v>
      </c>
      <c r="F167" s="22">
        <v>-1.4951289621310111E-2</v>
      </c>
      <c r="G167" s="23"/>
      <c r="H167" s="8">
        <f>($C167*1000/$B$3)/$B170/$B$1</f>
        <v>-1.7240158610847793</v>
      </c>
      <c r="I167" s="8">
        <f>(ABS(($F167+0.1)*1000)/$C167)*($H167/$B169)</f>
        <v>1.1045287062167522E-4</v>
      </c>
      <c r="J167" s="23"/>
      <c r="K167" s="23"/>
      <c r="L167" s="9">
        <f>M167/O167</f>
        <v>0</v>
      </c>
      <c r="M167" s="23">
        <f>B170*K167</f>
        <v>0</v>
      </c>
      <c r="N167" s="23" t="str">
        <f>IF(O167=490, "D25",IF(O167=314,"D20","D16"))</f>
        <v>D16</v>
      </c>
      <c r="O167" s="23">
        <v>201</v>
      </c>
    </row>
    <row r="168" spans="1:15" x14ac:dyDescent="0.3">
      <c r="A168" s="2" t="s">
        <v>10</v>
      </c>
      <c r="B168" s="4">
        <v>1000</v>
      </c>
      <c r="C168" s="21">
        <v>6131.2149801038222</v>
      </c>
      <c r="D168" s="22">
        <v>2406.6303436632038</v>
      </c>
      <c r="E168" s="22">
        <v>-1771.694304449346</v>
      </c>
      <c r="F168" s="22">
        <v>-2.2228842580510246E-3</v>
      </c>
      <c r="G168" s="23"/>
      <c r="H168" s="8">
        <f>($C168*1000/$B$3)/$B170/$B$1</f>
        <v>1.5925233714555385</v>
      </c>
      <c r="I168" s="8">
        <f>(ABS(($F168+0.1)*1000)/$C168)*($H168/$B169)</f>
        <v>1.2698326719733636E-4</v>
      </c>
      <c r="J168" s="23"/>
      <c r="K168" s="23"/>
      <c r="L168" s="9">
        <f>M168/O167</f>
        <v>0</v>
      </c>
      <c r="M168" s="23">
        <f>B170*K168</f>
        <v>0</v>
      </c>
      <c r="N168" s="23" t="str">
        <f>IF(O167=490, "D25",IF(O167=314,"D20","D16"))</f>
        <v>D16</v>
      </c>
      <c r="O168" s="7"/>
    </row>
    <row r="169" spans="1:15" x14ac:dyDescent="0.3">
      <c r="A169" s="2" t="s">
        <v>11</v>
      </c>
      <c r="B169" s="4">
        <v>200</v>
      </c>
      <c r="C169" s="22">
        <v>-6637.4610651763996</v>
      </c>
      <c r="D169" s="21">
        <v>-2602.864470201921</v>
      </c>
      <c r="E169" s="22">
        <v>-1832.6481372119244</v>
      </c>
      <c r="F169" s="22">
        <v>-1.4951289621310111E-2</v>
      </c>
      <c r="G169" s="23"/>
      <c r="H169" s="8">
        <f>($C169*1000/$B$3)/$B170/$B$1</f>
        <v>-1.7240158610847793</v>
      </c>
      <c r="I169" s="8">
        <f>(ABS(($F169+0.1)*1000)/$C169)*($H169/$B169)</f>
        <v>1.1045287062167522E-4</v>
      </c>
      <c r="J169" s="23"/>
      <c r="K169" s="23"/>
      <c r="L169" s="9">
        <f>M169/O167</f>
        <v>0</v>
      </c>
      <c r="M169" s="23">
        <f>B170*K169</f>
        <v>0</v>
      </c>
      <c r="N169" s="23" t="str">
        <f>IF(O167=490, "D25",IF(O167=314,"D20","D16"))</f>
        <v>D16</v>
      </c>
      <c r="O169" s="23"/>
    </row>
    <row r="170" spans="1:15" x14ac:dyDescent="0.3">
      <c r="A170" s="2" t="s">
        <v>12</v>
      </c>
      <c r="B170" s="10">
        <f>IF(B168="",(0.25*PI()*B169^2),B168*B169)</f>
        <v>200000</v>
      </c>
      <c r="C170" s="22">
        <v>6131.2149801038222</v>
      </c>
      <c r="D170" s="21">
        <v>2406.6303436632038</v>
      </c>
      <c r="E170" s="22">
        <v>-1771.694304449346</v>
      </c>
      <c r="F170" s="22">
        <v>-2.2228842580510246E-3</v>
      </c>
      <c r="G170" s="23"/>
      <c r="H170" s="8">
        <f>($C170*1000/$B$3)/$B170/$B$1</f>
        <v>1.5925233714555385</v>
      </c>
      <c r="I170" s="8">
        <f>(ABS(($F170+0.1)*1000)/$C170)*($H170/$B169)</f>
        <v>1.2698326719733636E-4</v>
      </c>
      <c r="J170" s="23"/>
      <c r="K170" s="23"/>
      <c r="L170" s="9">
        <f>M170/O167</f>
        <v>0</v>
      </c>
      <c r="M170" s="23">
        <f>B170*K170</f>
        <v>0</v>
      </c>
      <c r="N170" s="23" t="str">
        <f>IF(O167=490, "D25",IF(O167=314,"D20","D16"))</f>
        <v>D16</v>
      </c>
      <c r="O170" s="23"/>
    </row>
    <row r="171" spans="1:15" x14ac:dyDescent="0.3">
      <c r="A171" s="23"/>
      <c r="B171" s="23"/>
      <c r="C171" s="22">
        <v>-5210.2381375065534</v>
      </c>
      <c r="D171" s="22">
        <v>-839.79085877790578</v>
      </c>
      <c r="E171" s="21">
        <v>-2046.5270288179354</v>
      </c>
      <c r="F171" s="22">
        <v>1.1596191308333024</v>
      </c>
      <c r="G171" s="23"/>
      <c r="H171" s="8">
        <f>($C171*1000/$B$3)/$B170/$B$1</f>
        <v>-1.3533086071445595</v>
      </c>
      <c r="I171" s="8">
        <f>(ABS(($F171+0.1)*1000)/$C171)*($H171/$B169)</f>
        <v>1.6358690010822112E-3</v>
      </c>
      <c r="J171" s="23"/>
      <c r="K171" s="23"/>
      <c r="L171" s="9">
        <f>M171/O167</f>
        <v>0</v>
      </c>
      <c r="M171" s="23">
        <f>B170*K171</f>
        <v>0</v>
      </c>
      <c r="N171" s="23" t="str">
        <f>IF(O167=490, "D25",IF(O167=314,"D20","D16"))</f>
        <v>D16</v>
      </c>
      <c r="O171" s="23"/>
    </row>
    <row r="172" spans="1:15" x14ac:dyDescent="0.3">
      <c r="A172" s="23"/>
      <c r="B172" s="23"/>
      <c r="C172" s="22">
        <v>-3712.3344204808855</v>
      </c>
      <c r="D172" s="22">
        <v>-593.42601730003889</v>
      </c>
      <c r="E172" s="21">
        <v>1426.5867155869018</v>
      </c>
      <c r="F172" s="22">
        <v>0.3894783589415024</v>
      </c>
      <c r="G172" s="23"/>
      <c r="H172" s="8">
        <f>($C172*1000/$B$3)/$B170/$B$1</f>
        <v>-0.96424270661841194</v>
      </c>
      <c r="I172" s="8">
        <f>(ABS(($F172+0.1)*1000)/$C172)*($H172/$B169)</f>
        <v>6.3568618044350974E-4</v>
      </c>
      <c r="J172" s="23"/>
      <c r="K172" s="23"/>
      <c r="L172" s="9">
        <f>M172/O167</f>
        <v>0</v>
      </c>
      <c r="M172" s="23">
        <f>B170*K172</f>
        <v>0</v>
      </c>
      <c r="N172" s="23" t="str">
        <f>IF(O167=490, "D25",IF(O167=314,"D20","D16"))</f>
        <v>D16</v>
      </c>
      <c r="O172" s="23"/>
    </row>
    <row r="173" spans="1:15" x14ac:dyDescent="0.3">
      <c r="A173" s="23"/>
      <c r="B173" s="23"/>
      <c r="C173" s="22">
        <v>-371.14405144801719</v>
      </c>
      <c r="D173" s="22">
        <v>278.76500060313452</v>
      </c>
      <c r="E173" s="22">
        <v>289.0807827149352</v>
      </c>
      <c r="F173" s="21">
        <v>-98.349299904319722</v>
      </c>
      <c r="G173" s="23"/>
      <c r="H173" s="8">
        <f>($C173*1000/$B$3)/$B170/$B$1</f>
        <v>-9.6401052324160311E-2</v>
      </c>
      <c r="I173" s="8">
        <f t="shared" ref="I173" si="32">(ABS(($F173+0.1)*1000)/$C173)*($H173/$B170)</f>
        <v>1.2759649338223343E-4</v>
      </c>
      <c r="J173" s="23"/>
      <c r="K173" s="23"/>
      <c r="L173" s="9">
        <f>M173/O167</f>
        <v>0</v>
      </c>
      <c r="M173" s="23">
        <f>B171*K173</f>
        <v>0</v>
      </c>
      <c r="N173" s="23" t="str">
        <f t="shared" ref="N173:N174" si="33">IF(O168=490, "D25",IF(O168=314,"D20","D16"))</f>
        <v>D16</v>
      </c>
      <c r="O173" s="23"/>
    </row>
    <row r="174" spans="1:15" x14ac:dyDescent="0.3">
      <c r="A174" s="23"/>
      <c r="B174" s="23"/>
      <c r="C174" s="22">
        <v>-907.34742236992349</v>
      </c>
      <c r="D174" s="22">
        <v>201.14681828336697</v>
      </c>
      <c r="E174" s="22">
        <v>-152.23026775995152</v>
      </c>
      <c r="F174" s="21">
        <v>115.32408159977886</v>
      </c>
      <c r="G174" s="23"/>
      <c r="H174" s="8">
        <f>($C174*1000/$B$3)/$B170/$B$1</f>
        <v>-0.23567465516101907</v>
      </c>
      <c r="I174" s="8">
        <f>(ABS(($F174+0.1)*1000)/$C174)*($H174/$B170)</f>
        <v>1.4990140467503748E-4</v>
      </c>
      <c r="J174" s="23"/>
      <c r="K174" s="23"/>
      <c r="L174" s="9">
        <f>M174/O167</f>
        <v>0</v>
      </c>
      <c r="M174" s="23">
        <f>B172*K174</f>
        <v>0</v>
      </c>
      <c r="N174" s="23" t="str">
        <f t="shared" si="33"/>
        <v>D16</v>
      </c>
      <c r="O174" s="23"/>
    </row>
    <row r="176" spans="1:15" x14ac:dyDescent="0.3">
      <c r="A176" s="23"/>
      <c r="B176" s="23" t="s">
        <v>20</v>
      </c>
      <c r="C176" s="23" t="s">
        <v>14</v>
      </c>
      <c r="D176" s="23" t="s">
        <v>16</v>
      </c>
      <c r="E176" s="23" t="s">
        <v>21</v>
      </c>
      <c r="F176" s="23" t="s">
        <v>17</v>
      </c>
      <c r="G176" s="23"/>
      <c r="H176" s="23" t="s">
        <v>1</v>
      </c>
      <c r="I176" s="23" t="s">
        <v>8</v>
      </c>
      <c r="J176" s="23"/>
      <c r="K176" s="23" t="s">
        <v>9</v>
      </c>
      <c r="L176" s="23"/>
      <c r="M176" s="23"/>
      <c r="N176" s="23"/>
      <c r="O176" s="23"/>
    </row>
    <row r="177" spans="1:15" x14ac:dyDescent="0.3">
      <c r="A177" s="20"/>
      <c r="B177" s="7" t="s">
        <v>38</v>
      </c>
      <c r="C177" s="21">
        <v>-1168.9359031985518</v>
      </c>
      <c r="D177" s="22">
        <v>-20.816398927770521</v>
      </c>
      <c r="E177" s="22">
        <v>91.775886437192653</v>
      </c>
      <c r="F177" s="22">
        <v>25.717395278033607</v>
      </c>
      <c r="G177" s="23"/>
      <c r="H177" s="8">
        <f>($C177*1000/$B$3)/$B180/$B$1</f>
        <v>-0.30361971511650698</v>
      </c>
      <c r="I177" s="8">
        <f>(ABS(($F177+0.1)*1000)/$C177)*($H177/$B179)</f>
        <v>3.3529084776667023E-2</v>
      </c>
      <c r="J177" s="23"/>
      <c r="K177" s="23"/>
      <c r="L177" s="9">
        <f>M177/O177</f>
        <v>0</v>
      </c>
      <c r="M177" s="23">
        <f>B180*K177</f>
        <v>0</v>
      </c>
      <c r="N177" s="23" t="str">
        <f>IF(O177=490, "D25",IF(O177=314,"D20","D16"))</f>
        <v>D16</v>
      </c>
      <c r="O177" s="23">
        <v>201</v>
      </c>
    </row>
    <row r="178" spans="1:15" x14ac:dyDescent="0.3">
      <c r="A178" s="2" t="s">
        <v>10</v>
      </c>
      <c r="B178" s="4">
        <v>1000</v>
      </c>
      <c r="C178" s="21">
        <v>952.89753598835705</v>
      </c>
      <c r="D178" s="22">
        <v>-164.98401528746203</v>
      </c>
      <c r="E178" s="22">
        <v>129.87067333274697</v>
      </c>
      <c r="F178" s="22">
        <v>-10.327669155447831</v>
      </c>
      <c r="G178" s="23"/>
      <c r="H178" s="8">
        <f>($C178*1000/$B$3)/$B180/$B$1</f>
        <v>0.24750585350346938</v>
      </c>
      <c r="I178" s="8">
        <f>(ABS(($F178+0.1)*1000)/$C178)*($H178/$B179)</f>
        <v>1.3282687214867313E-2</v>
      </c>
      <c r="J178" s="23"/>
      <c r="K178" s="23"/>
      <c r="L178" s="9">
        <f>M178/O177</f>
        <v>0</v>
      </c>
      <c r="M178" s="23">
        <f>B180*K178</f>
        <v>0</v>
      </c>
      <c r="N178" s="23" t="str">
        <f>IF(O177=490, "D25",IF(O177=314,"D20","D16"))</f>
        <v>D16</v>
      </c>
      <c r="O178" s="7"/>
    </row>
    <row r="179" spans="1:15" x14ac:dyDescent="0.3">
      <c r="A179" s="2" t="s">
        <v>11</v>
      </c>
      <c r="B179" s="4">
        <v>200</v>
      </c>
      <c r="C179" s="22">
        <v>-997.33770437640908</v>
      </c>
      <c r="D179" s="21">
        <v>-731.20478112521323</v>
      </c>
      <c r="E179" s="22">
        <v>-603.1736993117305</v>
      </c>
      <c r="F179" s="22">
        <v>132.26177842203387</v>
      </c>
      <c r="G179" s="23"/>
      <c r="H179" s="8">
        <f>($C179*1000/$B$3)/$B180/$B$1</f>
        <v>-0.2590487543834829</v>
      </c>
      <c r="I179" s="8">
        <f>(ABS(($F179+0.1)*1000)/$C179)*($H179/$B179)</f>
        <v>0.17189841353510893</v>
      </c>
      <c r="J179" s="23"/>
      <c r="K179" s="23"/>
      <c r="L179" s="9">
        <f>M179/O177</f>
        <v>0</v>
      </c>
      <c r="M179" s="23">
        <f>B180*K179</f>
        <v>0</v>
      </c>
      <c r="N179" s="23" t="str">
        <f>IF(O177=490, "D25",IF(O177=314,"D20","D16"))</f>
        <v>D16</v>
      </c>
      <c r="O179" s="23"/>
    </row>
    <row r="180" spans="1:15" x14ac:dyDescent="0.3">
      <c r="A180" s="2" t="s">
        <v>12</v>
      </c>
      <c r="B180" s="10">
        <f>IF(B178="",(0.25*PI()*B179^2),B178*B179)</f>
        <v>200000</v>
      </c>
      <c r="C180" s="22">
        <v>422.21950236733721</v>
      </c>
      <c r="D180" s="21">
        <v>476.39660751391216</v>
      </c>
      <c r="E180" s="22">
        <v>339.85436721767923</v>
      </c>
      <c r="F180" s="22">
        <v>-39.679820031154613</v>
      </c>
      <c r="G180" s="23"/>
      <c r="H180" s="8">
        <f>($C180*1000/$B$3)/$B180/$B$1</f>
        <v>0.1096674032122954</v>
      </c>
      <c r="I180" s="8">
        <f>(ABS(($F180+0.1)*1000)/$C180)*($H180/$B179)</f>
        <v>5.140236367682418E-2</v>
      </c>
      <c r="J180" s="23"/>
      <c r="K180" s="23"/>
      <c r="L180" s="9">
        <f>M180/O177</f>
        <v>0</v>
      </c>
      <c r="M180" s="23">
        <f>B180*K180</f>
        <v>0</v>
      </c>
      <c r="N180" s="23" t="str">
        <f>IF(O177=490, "D25",IF(O177=314,"D20","D16"))</f>
        <v>D16</v>
      </c>
      <c r="O180" s="23"/>
    </row>
    <row r="181" spans="1:15" x14ac:dyDescent="0.3">
      <c r="A181" s="23"/>
      <c r="B181" s="23"/>
      <c r="C181" s="22">
        <v>-126.83116076351662</v>
      </c>
      <c r="D181" s="22">
        <v>25.400635189415681</v>
      </c>
      <c r="E181" s="21">
        <v>-799.79984969021302</v>
      </c>
      <c r="F181" s="22">
        <v>0.10320368868957132</v>
      </c>
      <c r="G181" s="23"/>
      <c r="H181" s="8">
        <f>($C181*1000/$B$3)/$B180/$B$1</f>
        <v>-3.2943158639874445E-2</v>
      </c>
      <c r="I181" s="8">
        <f>(ABS(($F181+0.1)*1000)/$C181)*($H181/$B179)</f>
        <v>2.6390089440204067E-4</v>
      </c>
      <c r="J181" s="23"/>
      <c r="K181" s="23"/>
      <c r="L181" s="9">
        <f>M181/O177</f>
        <v>0</v>
      </c>
      <c r="M181" s="23">
        <f>B180*K181</f>
        <v>0</v>
      </c>
      <c r="N181" s="23" t="str">
        <f>IF(O177=490, "D25",IF(O177=314,"D20","D16"))</f>
        <v>D16</v>
      </c>
      <c r="O181" s="23"/>
    </row>
    <row r="182" spans="1:15" x14ac:dyDescent="0.3">
      <c r="A182" s="23"/>
      <c r="B182" s="23"/>
      <c r="C182" s="22">
        <v>-72.441328621472394</v>
      </c>
      <c r="D182" s="22">
        <v>-14.103571402610919</v>
      </c>
      <c r="E182" s="21">
        <v>550.84625596380204</v>
      </c>
      <c r="F182" s="22">
        <v>1.9383481757236891</v>
      </c>
      <c r="G182" s="23"/>
      <c r="H182" s="8">
        <f>($C182*1000/$B$3)/$B180/$B$1</f>
        <v>-1.8815929512070749E-2</v>
      </c>
      <c r="I182" s="8">
        <f>(ABS(($F182+0.1)*1000)/$C182)*($H182/$B179)</f>
        <v>2.6472054230177776E-3</v>
      </c>
      <c r="J182" s="23"/>
      <c r="K182" s="23"/>
      <c r="L182" s="9">
        <f>M182/O177</f>
        <v>0</v>
      </c>
      <c r="M182" s="23">
        <f>B180*K182</f>
        <v>0</v>
      </c>
      <c r="N182" s="23" t="str">
        <f>IF(O177=490, "D25",IF(O177=314,"D20","D16"))</f>
        <v>D16</v>
      </c>
      <c r="O182" s="23"/>
    </row>
    <row r="183" spans="1:15" x14ac:dyDescent="0.3">
      <c r="A183" s="23"/>
      <c r="B183" s="23"/>
      <c r="C183" s="22">
        <v>475.05302768058897</v>
      </c>
      <c r="D183" s="22">
        <v>269.89935033964389</v>
      </c>
      <c r="E183" s="22">
        <v>-247.53741282001545</v>
      </c>
      <c r="F183" s="21">
        <v>-120.07058905415687</v>
      </c>
      <c r="G183" s="23"/>
      <c r="H183" s="8">
        <f>($C183*1000/$B$3)/$B180/$B$1</f>
        <v>0.12339039680015298</v>
      </c>
      <c r="I183" s="8">
        <f t="shared" ref="I183" si="34">(ABS(($F183+0.1)*1000)/$C183)*($H183/$B180)</f>
        <v>1.5580595981059335E-4</v>
      </c>
      <c r="J183" s="23"/>
      <c r="K183" s="23"/>
      <c r="L183" s="9">
        <f>M183/O177</f>
        <v>0</v>
      </c>
      <c r="M183" s="23">
        <f>B181*K183</f>
        <v>0</v>
      </c>
      <c r="N183" s="23" t="str">
        <f t="shared" ref="N183:N184" si="35">IF(O178=490, "D25",IF(O178=314,"D20","D16"))</f>
        <v>D16</v>
      </c>
      <c r="O183" s="23"/>
    </row>
    <row r="184" spans="1:15" x14ac:dyDescent="0.3">
      <c r="A184" s="23"/>
      <c r="B184" s="23"/>
      <c r="C184" s="22">
        <v>-550.23588967292494</v>
      </c>
      <c r="D184" s="22">
        <v>-215.92618982975051</v>
      </c>
      <c r="E184" s="22">
        <v>286.9349825836311</v>
      </c>
      <c r="F184" s="21">
        <v>148.79202718440479</v>
      </c>
      <c r="G184" s="23"/>
      <c r="H184" s="8">
        <f>($C184*1000/$B$3)/$B180/$B$1</f>
        <v>-0.14291841290205845</v>
      </c>
      <c r="I184" s="8">
        <f>(ABS(($F184+0.1)*1000)/$C184)*($H184/$B180)</f>
        <v>1.9336626907065561E-4</v>
      </c>
      <c r="J184" s="23"/>
      <c r="K184" s="23"/>
      <c r="L184" s="9">
        <f>M184/O177</f>
        <v>0</v>
      </c>
      <c r="M184" s="23">
        <f>B182*K184</f>
        <v>0</v>
      </c>
      <c r="N184" s="23" t="str">
        <f t="shared" si="35"/>
        <v>D16</v>
      </c>
      <c r="O184" s="23"/>
    </row>
    <row r="186" spans="1:15" x14ac:dyDescent="0.3">
      <c r="A186" s="23"/>
      <c r="B186" s="23" t="s">
        <v>20</v>
      </c>
      <c r="C186" s="23" t="s">
        <v>14</v>
      </c>
      <c r="D186" s="23" t="s">
        <v>16</v>
      </c>
      <c r="E186" s="23" t="s">
        <v>21</v>
      </c>
      <c r="F186" s="23" t="s">
        <v>17</v>
      </c>
      <c r="G186" s="23"/>
      <c r="H186" s="23" t="s">
        <v>1</v>
      </c>
      <c r="I186" s="23" t="s">
        <v>8</v>
      </c>
      <c r="J186" s="23"/>
      <c r="K186" s="23" t="s">
        <v>9</v>
      </c>
      <c r="L186" s="23"/>
      <c r="M186" s="23"/>
      <c r="N186" s="23"/>
      <c r="O186" s="23"/>
    </row>
    <row r="187" spans="1:15" x14ac:dyDescent="0.3">
      <c r="A187" s="20"/>
      <c r="B187" s="7" t="s">
        <v>39</v>
      </c>
      <c r="C187" s="21">
        <v>-7032.8695274905349</v>
      </c>
      <c r="D187" s="22">
        <v>-2167.6351977371623</v>
      </c>
      <c r="E187" s="22">
        <v>-1261.9997503826121</v>
      </c>
      <c r="F187" s="22">
        <v>-199.24942495922139</v>
      </c>
      <c r="G187" s="23"/>
      <c r="H187" s="8">
        <f>($C187*1000/$B$3)/$B190/$B$1</f>
        <v>-1.8267193577897494</v>
      </c>
      <c r="I187" s="8">
        <f>(ABS(($F187+0.1)*1000)/$C187)*($H187/$B189)</f>
        <v>0.25863561683015768</v>
      </c>
      <c r="J187" s="23"/>
      <c r="K187" s="23"/>
      <c r="L187" s="9">
        <f>M187/O187</f>
        <v>0</v>
      </c>
      <c r="M187" s="23">
        <f>B190*K187</f>
        <v>0</v>
      </c>
      <c r="N187" s="23" t="str">
        <f>IF(O187=490, "D25",IF(O187=314,"D20","D16"))</f>
        <v>D16</v>
      </c>
      <c r="O187" s="23">
        <v>201</v>
      </c>
    </row>
    <row r="188" spans="1:15" x14ac:dyDescent="0.3">
      <c r="A188" s="2" t="s">
        <v>10</v>
      </c>
      <c r="B188" s="4">
        <v>1000</v>
      </c>
      <c r="C188" s="21">
        <v>6373.8406146211519</v>
      </c>
      <c r="D188" s="22">
        <v>1986.7876675561201</v>
      </c>
      <c r="E188" s="22">
        <v>-1336.7294176867658</v>
      </c>
      <c r="F188" s="22">
        <v>140.89151806505316</v>
      </c>
      <c r="G188" s="23"/>
      <c r="H188" s="8">
        <f>($C188*1000/$B$3)/$B190/$B$1</f>
        <v>1.6555430167847149</v>
      </c>
      <c r="I188" s="8">
        <f>(ABS(($F188+0.1)*1000)/$C188)*($H188/$B189)</f>
        <v>0.18310586761695216</v>
      </c>
      <c r="J188" s="23"/>
      <c r="K188" s="23"/>
      <c r="L188" s="9">
        <f>M188/O187</f>
        <v>0</v>
      </c>
      <c r="M188" s="23">
        <f>B190*K188</f>
        <v>0</v>
      </c>
      <c r="N188" s="23" t="str">
        <f>IF(O187=490, "D25",IF(O187=314,"D20","D16"))</f>
        <v>D16</v>
      </c>
      <c r="O188" s="7"/>
    </row>
    <row r="189" spans="1:15" x14ac:dyDescent="0.3">
      <c r="A189" s="2" t="s">
        <v>11</v>
      </c>
      <c r="B189" s="4">
        <v>200</v>
      </c>
      <c r="C189" s="22">
        <v>-5633.232382565282</v>
      </c>
      <c r="D189" s="21">
        <v>-2183.2686125038331</v>
      </c>
      <c r="E189" s="22">
        <v>1418.8817918008504</v>
      </c>
      <c r="F189" s="22">
        <v>-149.60605520685604</v>
      </c>
      <c r="G189" s="23"/>
      <c r="H189" s="8">
        <f>($C189*1000/$B$3)/$B190/$B$1</f>
        <v>-1.4631772422247487</v>
      </c>
      <c r="I189" s="8">
        <f>(ABS(($F189+0.1)*1000)/$C189)*($H189/$B189)</f>
        <v>0.19416370806085201</v>
      </c>
      <c r="J189" s="23"/>
      <c r="K189" s="23"/>
      <c r="L189" s="9">
        <f>M189/O187</f>
        <v>0</v>
      </c>
      <c r="M189" s="23">
        <f>B190*K189</f>
        <v>0</v>
      </c>
      <c r="N189" s="23" t="str">
        <f>IF(O187=490, "D25",IF(O187=314,"D20","D16"))</f>
        <v>D16</v>
      </c>
      <c r="O189" s="23"/>
    </row>
    <row r="190" spans="1:15" x14ac:dyDescent="0.3">
      <c r="A190" s="2" t="s">
        <v>12</v>
      </c>
      <c r="B190" s="10">
        <f>IF(B188="",(0.25*PI()*B189^2),B188*B189)</f>
        <v>200000</v>
      </c>
      <c r="C190" s="22">
        <v>-1237.4240755168319</v>
      </c>
      <c r="D190" s="21">
        <v>2040.9933467936678</v>
      </c>
      <c r="E190" s="22">
        <v>-283.6817644991259</v>
      </c>
      <c r="F190" s="22">
        <v>-4.9327838849993295</v>
      </c>
      <c r="G190" s="23"/>
      <c r="H190" s="8">
        <f>($C190*1000/$B$3)/$B190/$B$1</f>
        <v>-0.32140885078359266</v>
      </c>
      <c r="I190" s="8">
        <f>(ABS(($F190+0.1)*1000)/$C190)*($H190/$B189)</f>
        <v>6.2763427077913358E-3</v>
      </c>
      <c r="J190" s="23"/>
      <c r="K190" s="23"/>
      <c r="L190" s="9">
        <f>M190/O187</f>
        <v>0</v>
      </c>
      <c r="M190" s="23">
        <f>B190*K190</f>
        <v>0</v>
      </c>
      <c r="N190" s="23" t="str">
        <f>IF(O187=490, "D25",IF(O187=314,"D20","D16"))</f>
        <v>D16</v>
      </c>
      <c r="O190" s="23"/>
    </row>
    <row r="191" spans="1:15" x14ac:dyDescent="0.3">
      <c r="A191" s="23"/>
      <c r="B191" s="23"/>
      <c r="C191" s="22">
        <v>-1525.1016221940979</v>
      </c>
      <c r="D191" s="22">
        <v>-1497.210775521844</v>
      </c>
      <c r="E191" s="21">
        <v>-2645.8789385004329</v>
      </c>
      <c r="F191" s="22">
        <v>45.172074338091491</v>
      </c>
      <c r="G191" s="23"/>
      <c r="H191" s="8">
        <f>($C191*1000/$B$3)/$B190/$B$1</f>
        <v>-0.39613029147898654</v>
      </c>
      <c r="I191" s="8">
        <f>(ABS(($F191+0.1)*1000)/$C191)*($H191/$B189)</f>
        <v>5.8794901737781166E-2</v>
      </c>
      <c r="J191" s="23"/>
      <c r="K191" s="23"/>
      <c r="L191" s="9">
        <f>M191/O187</f>
        <v>0</v>
      </c>
      <c r="M191" s="23">
        <f>B190*K191</f>
        <v>0</v>
      </c>
      <c r="N191" s="23" t="str">
        <f>IF(O187=490, "D25",IF(O187=314,"D20","D16"))</f>
        <v>D16</v>
      </c>
      <c r="O191" s="23"/>
    </row>
    <row r="192" spans="1:15" x14ac:dyDescent="0.3">
      <c r="A192" s="23"/>
      <c r="B192" s="23"/>
      <c r="C192" s="22">
        <v>1221.5894910918375</v>
      </c>
      <c r="D192" s="22">
        <v>1283.6669359683888</v>
      </c>
      <c r="E192" s="21">
        <v>2210.2539675701396</v>
      </c>
      <c r="F192" s="22">
        <v>-38.471666327554502</v>
      </c>
      <c r="G192" s="23"/>
      <c r="H192" s="8">
        <f>($C192*1000/$B$3)/$B190/$B$1</f>
        <v>0.31729597171216561</v>
      </c>
      <c r="I192" s="8">
        <f>(ABS(($F192+0.1)*1000)/$C192)*($H192/$B189)</f>
        <v>4.9833332892927927E-2</v>
      </c>
      <c r="J192" s="23"/>
      <c r="K192" s="23"/>
      <c r="L192" s="9">
        <f>M192/O187</f>
        <v>0</v>
      </c>
      <c r="M192" s="23">
        <f>B190*K192</f>
        <v>0</v>
      </c>
      <c r="N192" s="23" t="str">
        <f>IF(O187=490, "D25",IF(O187=314,"D20","D16"))</f>
        <v>D16</v>
      </c>
      <c r="O192" s="23"/>
    </row>
    <row r="193" spans="1:15" x14ac:dyDescent="0.3">
      <c r="A193" s="23"/>
      <c r="B193" s="23"/>
      <c r="C193" s="22">
        <v>-1607.6286616206698</v>
      </c>
      <c r="D193" s="22">
        <v>-106.08397591357841</v>
      </c>
      <c r="E193" s="22">
        <v>237.38018996092586</v>
      </c>
      <c r="F193" s="21">
        <v>-261.98696818132936</v>
      </c>
      <c r="G193" s="23"/>
      <c r="H193" s="8">
        <f>($C193*1000/$B$3)/$B190/$B$1</f>
        <v>-0.41756588613523887</v>
      </c>
      <c r="I193" s="8">
        <f t="shared" ref="I193" si="36">(ABS(($F193+0.1)*1000)/$C193)*($H193/$B190)</f>
        <v>3.4011294569003811E-4</v>
      </c>
      <c r="J193" s="23"/>
      <c r="K193" s="23"/>
      <c r="L193" s="9">
        <f>M193/O187</f>
        <v>0</v>
      </c>
      <c r="M193" s="23">
        <f>B191*K193</f>
        <v>0</v>
      </c>
      <c r="N193" s="23" t="str">
        <f t="shared" ref="N193:N194" si="37">IF(O188=490, "D25",IF(O188=314,"D20","D16"))</f>
        <v>D16</v>
      </c>
      <c r="O193" s="23"/>
    </row>
    <row r="194" spans="1:15" x14ac:dyDescent="0.3">
      <c r="A194" s="23"/>
      <c r="B194" s="23"/>
      <c r="C194" s="22">
        <v>1158.4993456376487</v>
      </c>
      <c r="D194" s="22">
        <v>129.34523575940918</v>
      </c>
      <c r="E194" s="22">
        <v>-227.68523496032975</v>
      </c>
      <c r="F194" s="21">
        <v>262.59126271382814</v>
      </c>
      <c r="G194" s="23"/>
      <c r="H194" s="8">
        <f>($C194*1000/$B$3)/$B190/$B$1</f>
        <v>0.30090892094484384</v>
      </c>
      <c r="I194" s="8">
        <f>(ABS(($F194+0.1)*1000)/$C194)*($H194/$B190)</f>
        <v>3.4115748404393273E-4</v>
      </c>
      <c r="J194" s="23"/>
      <c r="K194" s="23"/>
      <c r="L194" s="9">
        <f>M194/O187</f>
        <v>0</v>
      </c>
      <c r="M194" s="23">
        <f>B192*K194</f>
        <v>0</v>
      </c>
      <c r="N194" s="23" t="str">
        <f t="shared" si="37"/>
        <v>D16</v>
      </c>
      <c r="O194" s="23"/>
    </row>
    <row r="195" spans="1:15" x14ac:dyDescent="0.3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</row>
    <row r="196" spans="1:15" x14ac:dyDescent="0.3">
      <c r="A196" s="23"/>
      <c r="B196" s="23" t="s">
        <v>20</v>
      </c>
      <c r="C196" s="23" t="s">
        <v>14</v>
      </c>
      <c r="D196" s="23" t="s">
        <v>16</v>
      </c>
      <c r="E196" s="23" t="s">
        <v>21</v>
      </c>
      <c r="F196" s="23" t="s">
        <v>17</v>
      </c>
      <c r="G196" s="23"/>
      <c r="H196" s="23" t="s">
        <v>1</v>
      </c>
      <c r="I196" s="23" t="s">
        <v>8</v>
      </c>
      <c r="J196" s="23"/>
      <c r="K196" s="23" t="s">
        <v>9</v>
      </c>
      <c r="L196" s="23"/>
      <c r="M196" s="23"/>
      <c r="N196" s="23"/>
      <c r="O196" s="23"/>
    </row>
    <row r="197" spans="1:15" x14ac:dyDescent="0.3">
      <c r="A197" s="20"/>
      <c r="B197" s="7" t="s">
        <v>40</v>
      </c>
      <c r="C197" s="21">
        <v>-3857.4089786047025</v>
      </c>
      <c r="D197" s="22">
        <v>-556.19449463003048</v>
      </c>
      <c r="E197" s="22">
        <v>-1176.4791883730154</v>
      </c>
      <c r="F197" s="22">
        <v>-10.33473476726236</v>
      </c>
      <c r="G197" s="23"/>
      <c r="H197" s="8">
        <f>($C197*1000/$B$3)/$B200/$B$1</f>
        <v>-1.0019244100271953</v>
      </c>
      <c r="I197" s="8">
        <f>(ABS(($F197+0.1)*1000)/$C197)*($H197/$B199)</f>
        <v>1.329186333410696E-2</v>
      </c>
      <c r="J197" s="23"/>
      <c r="K197" s="23"/>
      <c r="L197" s="9">
        <f>M197/O197</f>
        <v>0</v>
      </c>
      <c r="M197" s="23">
        <f>B200*K197</f>
        <v>0</v>
      </c>
      <c r="N197" s="23" t="str">
        <f>IF(O197=490, "D25",IF(O197=314,"D20","D16"))</f>
        <v>D16</v>
      </c>
      <c r="O197" s="23">
        <v>201</v>
      </c>
    </row>
    <row r="198" spans="1:15" x14ac:dyDescent="0.3">
      <c r="A198" s="2" t="s">
        <v>10</v>
      </c>
      <c r="B198" s="4">
        <v>1000</v>
      </c>
      <c r="C198" s="21">
        <v>3410.5067212571639</v>
      </c>
      <c r="D198" s="22">
        <v>526.19377928298297</v>
      </c>
      <c r="E198" s="22">
        <v>1147.6338405023637</v>
      </c>
      <c r="F198" s="22">
        <v>3.7635827364321965</v>
      </c>
      <c r="G198" s="23"/>
      <c r="H198" s="8">
        <f>($C198*1000/$B$3)/$B200/$B$1</f>
        <v>0.88584590162523746</v>
      </c>
      <c r="I198" s="8">
        <f>(ABS(($F198+0.1)*1000)/$C198)*($H198/$B199)</f>
        <v>5.0176399174444121E-3</v>
      </c>
      <c r="J198" s="23"/>
      <c r="K198" s="23"/>
      <c r="L198" s="9">
        <f>M198/O197</f>
        <v>0</v>
      </c>
      <c r="M198" s="23">
        <f>B200*K198</f>
        <v>0</v>
      </c>
      <c r="N198" s="23" t="str">
        <f>IF(O197=490, "D25",IF(O197=314,"D20","D16"))</f>
        <v>D16</v>
      </c>
      <c r="O198" s="7"/>
    </row>
    <row r="199" spans="1:15" x14ac:dyDescent="0.3">
      <c r="A199" s="2" t="s">
        <v>11</v>
      </c>
      <c r="B199" s="4">
        <v>200</v>
      </c>
      <c r="C199" s="22">
        <v>-2052.098628444649</v>
      </c>
      <c r="D199" s="21">
        <v>-1721.314302223311</v>
      </c>
      <c r="E199" s="22">
        <v>-1069.0285223648787</v>
      </c>
      <c r="F199" s="22">
        <v>-302.00358354108988</v>
      </c>
      <c r="G199" s="23"/>
      <c r="H199" s="8">
        <f>($C199*1000/$B$3)/$B200/$B$1</f>
        <v>-0.53301263076484395</v>
      </c>
      <c r="I199" s="8">
        <f>(ABS(($F199+0.1)*1000)/$C199)*($H199/$B199)</f>
        <v>0.3920825760273895</v>
      </c>
      <c r="J199" s="23"/>
      <c r="K199" s="23"/>
      <c r="L199" s="9">
        <f>M199/O197</f>
        <v>0</v>
      </c>
      <c r="M199" s="23">
        <f>B200*K199</f>
        <v>0</v>
      </c>
      <c r="N199" s="23" t="str">
        <f>IF(O197=490, "D25",IF(O197=314,"D20","D16"))</f>
        <v>D16</v>
      </c>
      <c r="O199" s="23"/>
    </row>
    <row r="200" spans="1:15" x14ac:dyDescent="0.3">
      <c r="A200" s="2" t="s">
        <v>12</v>
      </c>
      <c r="B200" s="10">
        <f>IF(B198="",(0.25*PI()*B199^2),B198*B199)</f>
        <v>200000</v>
      </c>
      <c r="C200" s="22">
        <v>1754.551315606783</v>
      </c>
      <c r="D200" s="21">
        <v>1766.9170385422026</v>
      </c>
      <c r="E200" s="22">
        <v>1106.2575666677646</v>
      </c>
      <c r="F200" s="22">
        <v>305.48327046347765</v>
      </c>
      <c r="G200" s="23"/>
      <c r="H200" s="8">
        <f>($C200*1000/$B$3)/$B200/$B$1</f>
        <v>0.45572761444332022</v>
      </c>
      <c r="I200" s="8">
        <f>(ABS(($F200+0.1)*1000)/$C200)*($H200/$B199)</f>
        <v>0.39686139021230871</v>
      </c>
      <c r="J200" s="23"/>
      <c r="K200" s="23"/>
      <c r="L200" s="9">
        <f>M200/O197</f>
        <v>0</v>
      </c>
      <c r="M200" s="23">
        <f>B200*K200</f>
        <v>0</v>
      </c>
      <c r="N200" s="23" t="str">
        <f>IF(O197=490, "D25",IF(O197=314,"D20","D16"))</f>
        <v>D16</v>
      </c>
      <c r="O200" s="23"/>
    </row>
    <row r="201" spans="1:15" x14ac:dyDescent="0.3">
      <c r="A201" s="23"/>
      <c r="B201" s="23"/>
      <c r="C201" s="22">
        <v>580.60670196646652</v>
      </c>
      <c r="D201" s="22">
        <v>1509.9579908436885</v>
      </c>
      <c r="E201" s="21">
        <v>-2146.4049131828419</v>
      </c>
      <c r="F201" s="22">
        <v>23.805053062370952</v>
      </c>
      <c r="G201" s="23"/>
      <c r="H201" s="8">
        <f>($C201*1000/$B$3)/$B200/$B$1</f>
        <v>0.15080693557570557</v>
      </c>
      <c r="I201" s="8">
        <f>(ABS(($F201+0.1)*1000)/$C201)*($H201/$B199)</f>
        <v>3.104552345762461E-2</v>
      </c>
      <c r="J201" s="23"/>
      <c r="K201" s="23"/>
      <c r="L201" s="9">
        <f>M201/O197</f>
        <v>0</v>
      </c>
      <c r="M201" s="23">
        <f>B200*K201</f>
        <v>0</v>
      </c>
      <c r="N201" s="23" t="str">
        <f>IF(O197=490, "D25",IF(O197=314,"D20","D16"))</f>
        <v>D16</v>
      </c>
      <c r="O201" s="23"/>
    </row>
    <row r="202" spans="1:15" x14ac:dyDescent="0.3">
      <c r="A202" s="23"/>
      <c r="B202" s="23"/>
      <c r="C202" s="22">
        <v>-927.06499251333048</v>
      </c>
      <c r="D202" s="22">
        <v>-1515.0560265702895</v>
      </c>
      <c r="E202" s="21">
        <v>2156.0296783623062</v>
      </c>
      <c r="F202" s="22">
        <v>-25.209186244712654</v>
      </c>
      <c r="G202" s="23"/>
      <c r="H202" s="8">
        <f>($C202*1000/$B$3)/$B200/$B$1</f>
        <v>-0.24079610195151446</v>
      </c>
      <c r="I202" s="8">
        <f>(ABS(($F202+0.1)*1000)/$C202)*($H202/$B199)</f>
        <v>3.2609332785341116E-2</v>
      </c>
      <c r="J202" s="23"/>
      <c r="K202" s="23"/>
      <c r="L202" s="9">
        <f>M202/O197</f>
        <v>0</v>
      </c>
      <c r="M202" s="23">
        <f>B200*K202</f>
        <v>0</v>
      </c>
      <c r="N202" s="23" t="str">
        <f>IF(O197=490, "D25",IF(O197=314,"D20","D16"))</f>
        <v>D16</v>
      </c>
      <c r="O202" s="23"/>
    </row>
    <row r="203" spans="1:15" x14ac:dyDescent="0.3">
      <c r="A203" s="23"/>
      <c r="B203" s="23"/>
      <c r="C203" s="22">
        <v>-3329.3459677007331</v>
      </c>
      <c r="D203" s="22">
        <v>-520.99340718681037</v>
      </c>
      <c r="E203" s="22">
        <v>-107.23973496323957</v>
      </c>
      <c r="F203" s="21">
        <v>-467.26946138446522</v>
      </c>
      <c r="G203" s="23"/>
      <c r="H203" s="8">
        <f>($C203*1000/$B$3)/$B200/$B$1</f>
        <v>-0.86476518641577482</v>
      </c>
      <c r="I203" s="8">
        <f t="shared" ref="I203" si="38">(ABS(($F203+0.1)*1000)/$C203)*($H203/$B200)</f>
        <v>6.0671358621359128E-4</v>
      </c>
      <c r="J203" s="23"/>
      <c r="K203" s="23"/>
      <c r="L203" s="9">
        <f>M203/O197</f>
        <v>0</v>
      </c>
      <c r="M203" s="23">
        <f>B201*K203</f>
        <v>0</v>
      </c>
      <c r="N203" s="23" t="str">
        <f t="shared" ref="N203:N204" si="39">IF(O198=490, "D25",IF(O198=314,"D20","D16"))</f>
        <v>D16</v>
      </c>
      <c r="O203" s="23"/>
    </row>
    <row r="204" spans="1:15" x14ac:dyDescent="0.3">
      <c r="A204" s="23"/>
      <c r="B204" s="23"/>
      <c r="C204" s="22">
        <v>3031.7986548628674</v>
      </c>
      <c r="D204" s="22">
        <v>566.596143505702</v>
      </c>
      <c r="E204" s="22">
        <v>144.46877926612564</v>
      </c>
      <c r="F204" s="21">
        <v>470.74914830685299</v>
      </c>
      <c r="G204" s="23"/>
      <c r="H204" s="8">
        <f>($C204*1000/$B$3)/$B200/$B$1</f>
        <v>0.78748017009425131</v>
      </c>
      <c r="I204" s="8">
        <f>(ABS(($F204+0.1)*1000)/$C204)*($H204/$B200)</f>
        <v>6.114924003985104E-4</v>
      </c>
      <c r="J204" s="23"/>
      <c r="K204" s="23"/>
      <c r="L204" s="9">
        <f>M204/O197</f>
        <v>0</v>
      </c>
      <c r="M204" s="23">
        <f>B202*K204</f>
        <v>0</v>
      </c>
      <c r="N204" s="23" t="str">
        <f t="shared" si="39"/>
        <v>D16</v>
      </c>
      <c r="O204" s="23"/>
    </row>
    <row r="205" spans="1:15" x14ac:dyDescent="0.3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</row>
    <row r="206" spans="1:15" x14ac:dyDescent="0.3">
      <c r="A206" s="23"/>
      <c r="B206" s="23" t="s">
        <v>20</v>
      </c>
      <c r="C206" s="23" t="s">
        <v>14</v>
      </c>
      <c r="D206" s="23" t="s">
        <v>16</v>
      </c>
      <c r="E206" s="23" t="s">
        <v>21</v>
      </c>
      <c r="F206" s="23" t="s">
        <v>17</v>
      </c>
      <c r="G206" s="23"/>
      <c r="H206" s="23" t="s">
        <v>1</v>
      </c>
      <c r="I206" s="23" t="s">
        <v>8</v>
      </c>
      <c r="J206" s="23"/>
      <c r="K206" s="23" t="s">
        <v>9</v>
      </c>
      <c r="L206" s="23"/>
      <c r="M206" s="23"/>
      <c r="N206" s="23"/>
      <c r="O206" s="23"/>
    </row>
    <row r="207" spans="1:15" x14ac:dyDescent="0.3">
      <c r="A207" s="20"/>
      <c r="B207" s="7" t="s">
        <v>41</v>
      </c>
      <c r="C207" s="21">
        <v>-2118.2040213777154</v>
      </c>
      <c r="D207" s="22">
        <v>-1107.3158672328477</v>
      </c>
      <c r="E207" s="22">
        <v>-545.1753303662166</v>
      </c>
      <c r="F207" s="22">
        <v>-171.79644784254805</v>
      </c>
      <c r="G207" s="23"/>
      <c r="H207" s="8">
        <f>($C207*1000/$B$3)/$B210/$B$1</f>
        <v>-0.55018286269551053</v>
      </c>
      <c r="I207" s="8">
        <f>(ABS(($F207+0.1)*1000)/$C207)*($H207/$B209)</f>
        <v>0.22298239979551696</v>
      </c>
      <c r="J207" s="23"/>
      <c r="K207" s="23"/>
      <c r="L207" s="9">
        <f>M207/O207</f>
        <v>0</v>
      </c>
      <c r="M207" s="23">
        <f>B210*K207</f>
        <v>0</v>
      </c>
      <c r="N207" s="23" t="str">
        <f>IF(O207=490, "D25",IF(O207=314,"D20","D16"))</f>
        <v>D16</v>
      </c>
      <c r="O207" s="23">
        <v>201</v>
      </c>
    </row>
    <row r="208" spans="1:15" x14ac:dyDescent="0.3">
      <c r="A208" s="2" t="s">
        <v>10</v>
      </c>
      <c r="B208" s="4">
        <v>1000</v>
      </c>
      <c r="C208" s="21">
        <v>2027.1540141442977</v>
      </c>
      <c r="D208" s="22">
        <v>1023.4200384881065</v>
      </c>
      <c r="E208" s="22">
        <v>507.08502181358529</v>
      </c>
      <c r="F208" s="22">
        <v>177.79341867748548</v>
      </c>
      <c r="G208" s="23"/>
      <c r="H208" s="8">
        <f>($C208*1000/$B$3)/$B210/$B$1</f>
        <v>0.52653351016735006</v>
      </c>
      <c r="I208" s="8">
        <f>(ABS(($F208+0.1)*1000)/$C208)*($H208/$B209)</f>
        <v>0.23103041386686424</v>
      </c>
      <c r="J208" s="23"/>
      <c r="K208" s="23"/>
      <c r="L208" s="9">
        <f>M208/O207</f>
        <v>0</v>
      </c>
      <c r="M208" s="23">
        <f>B210*K208</f>
        <v>0</v>
      </c>
      <c r="N208" s="23" t="str">
        <f>IF(O207=490, "D25",IF(O207=314,"D20","D16"))</f>
        <v>D16</v>
      </c>
      <c r="O208" s="7"/>
    </row>
    <row r="209" spans="1:15" x14ac:dyDescent="0.3">
      <c r="A209" s="2" t="s">
        <v>11</v>
      </c>
      <c r="B209" s="4">
        <v>200</v>
      </c>
      <c r="C209" s="22">
        <v>-368.73337978360979</v>
      </c>
      <c r="D209" s="21">
        <v>-1852.8918609551793</v>
      </c>
      <c r="E209" s="22">
        <v>133.62784146192345</v>
      </c>
      <c r="F209" s="22">
        <v>-37.072186232781647</v>
      </c>
      <c r="G209" s="23"/>
      <c r="H209" s="8">
        <f>($C209*1000/$B$3)/$B210/$B$1</f>
        <v>-9.5774903839898645E-2</v>
      </c>
      <c r="I209" s="8">
        <f>(ABS(($F209+0.1)*1000)/$C209)*($H209/$B209)</f>
        <v>4.8015826276339803E-2</v>
      </c>
      <c r="J209" s="23"/>
      <c r="K209" s="23"/>
      <c r="L209" s="9">
        <f>M209/O207</f>
        <v>0</v>
      </c>
      <c r="M209" s="23">
        <f>B210*K209</f>
        <v>0</v>
      </c>
      <c r="N209" s="23" t="str">
        <f>IF(O207=490, "D25",IF(O207=314,"D20","D16"))</f>
        <v>D16</v>
      </c>
      <c r="O209" s="23"/>
    </row>
    <row r="210" spans="1:15" x14ac:dyDescent="0.3">
      <c r="A210" s="2" t="s">
        <v>12</v>
      </c>
      <c r="B210" s="10">
        <f>IF(B208="",(0.25*PI()*B209^2),B208*B209)</f>
        <v>200000</v>
      </c>
      <c r="C210" s="22">
        <v>183.53028058320953</v>
      </c>
      <c r="D210" s="21">
        <v>1806.7168747162707</v>
      </c>
      <c r="E210" s="22">
        <v>-137.61120961760554</v>
      </c>
      <c r="F210" s="22">
        <v>42.654673078206592</v>
      </c>
      <c r="G210" s="23"/>
      <c r="H210" s="8">
        <f>($C210*1000/$B$3)/$B210/$B$1</f>
        <v>4.7670202748885601E-2</v>
      </c>
      <c r="I210" s="8">
        <f>(ABS(($F210+0.1)*1000)/$C210)*($H210/$B209)</f>
        <v>5.5525549452216362E-2</v>
      </c>
      <c r="J210" s="23"/>
      <c r="K210" s="23"/>
      <c r="L210" s="9">
        <f>M210/O207</f>
        <v>0</v>
      </c>
      <c r="M210" s="23">
        <f>B210*K210</f>
        <v>0</v>
      </c>
      <c r="N210" s="23" t="str">
        <f>IF(O207=490, "D25",IF(O207=314,"D20","D16"))</f>
        <v>D16</v>
      </c>
      <c r="O210" s="23"/>
    </row>
    <row r="211" spans="1:15" x14ac:dyDescent="0.3">
      <c r="A211" s="23"/>
      <c r="B211" s="23"/>
      <c r="C211" s="22">
        <v>399.16185864586311</v>
      </c>
      <c r="D211" s="22">
        <v>489.23283762637874</v>
      </c>
      <c r="E211" s="21">
        <v>-1561.9634461075698</v>
      </c>
      <c r="F211" s="22">
        <v>1.7681027653897599</v>
      </c>
      <c r="G211" s="23"/>
      <c r="H211" s="8">
        <f>($C211*1000/$B$3)/$B210/$B$1</f>
        <v>0.10367840484308134</v>
      </c>
      <c r="I211" s="8">
        <f>(ABS(($F211+0.1)*1000)/$C211)*($H211/$B209)</f>
        <v>2.426107487519169E-3</v>
      </c>
      <c r="J211" s="23"/>
      <c r="K211" s="23"/>
      <c r="L211" s="9">
        <f>M211/O207</f>
        <v>0</v>
      </c>
      <c r="M211" s="23">
        <f>B210*K211</f>
        <v>0</v>
      </c>
      <c r="N211" s="23" t="str">
        <f>IF(O207=490, "D25",IF(O207=314,"D20","D16"))</f>
        <v>D16</v>
      </c>
      <c r="O211" s="23"/>
    </row>
    <row r="212" spans="1:15" x14ac:dyDescent="0.3">
      <c r="A212" s="23"/>
      <c r="B212" s="23"/>
      <c r="C212" s="22">
        <v>-573.6462951373079</v>
      </c>
      <c r="D212" s="22">
        <v>-486.13284239424661</v>
      </c>
      <c r="E212" s="21">
        <v>1517.6628272700536</v>
      </c>
      <c r="F212" s="22">
        <v>-1.3729670313994684</v>
      </c>
      <c r="G212" s="23"/>
      <c r="H212" s="8">
        <f>($C212*1000/$B$3)/$B210/$B$1</f>
        <v>-0.14899903769800207</v>
      </c>
      <c r="I212" s="8">
        <f>(ABS(($F212+0.1)*1000)/$C212)*($H212/$B209)</f>
        <v>1.6532039368824269E-3</v>
      </c>
      <c r="J212" s="23"/>
      <c r="K212" s="23"/>
      <c r="L212" s="9">
        <f>M212/O207</f>
        <v>0</v>
      </c>
      <c r="M212" s="23">
        <f>B210*K212</f>
        <v>0</v>
      </c>
      <c r="N212" s="23" t="str">
        <f>IF(O207=490, "D25",IF(O207=314,"D20","D16"))</f>
        <v>D16</v>
      </c>
      <c r="O212" s="23"/>
    </row>
    <row r="213" spans="1:15" x14ac:dyDescent="0.3">
      <c r="A213" s="23"/>
      <c r="B213" s="23"/>
      <c r="C213" s="22">
        <v>-1119.7861602819503</v>
      </c>
      <c r="D213" s="22">
        <v>-504.29556346478756</v>
      </c>
      <c r="E213" s="22">
        <v>-410.37015766193349</v>
      </c>
      <c r="F213" s="21">
        <v>-321.04438953782966</v>
      </c>
      <c r="G213" s="23"/>
      <c r="H213" s="8">
        <f>($C213*1000/$B$3)/$B210/$B$1</f>
        <v>-0.29085354812518194</v>
      </c>
      <c r="I213" s="8">
        <f t="shared" ref="I213" si="40">(ABS(($F213+0.1)*1000)/$C213)*($H213/$B210)</f>
        <v>4.1681089550367495E-4</v>
      </c>
      <c r="J213" s="23"/>
      <c r="K213" s="23"/>
      <c r="L213" s="9">
        <f>M213/O207</f>
        <v>0</v>
      </c>
      <c r="M213" s="23">
        <f>B211*K213</f>
        <v>0</v>
      </c>
      <c r="N213" s="23" t="str">
        <f t="shared" ref="N213:N214" si="41">IF(O208=490, "D25",IF(O208=314,"D20","D16"))</f>
        <v>D16</v>
      </c>
      <c r="O213" s="23"/>
    </row>
    <row r="214" spans="1:15" x14ac:dyDescent="0.3">
      <c r="A214" s="23"/>
      <c r="B214" s="23"/>
      <c r="C214" s="22">
        <v>1422.927947887531</v>
      </c>
      <c r="D214" s="22">
        <v>82.580120732710142</v>
      </c>
      <c r="E214" s="22">
        <v>40.545424165819966</v>
      </c>
      <c r="F214" s="21">
        <v>316.86433173408784</v>
      </c>
      <c r="G214" s="23"/>
      <c r="H214" s="8">
        <f>($C214*1000/$B$3)/$B210/$B$1</f>
        <v>0.36959167477598209</v>
      </c>
      <c r="I214" s="8">
        <f>(ABS(($F214+0.1)*1000)/$C214)*($H214/$B210)</f>
        <v>4.1164198926504914E-4</v>
      </c>
      <c r="J214" s="23"/>
      <c r="K214" s="23"/>
      <c r="L214" s="9">
        <f>M214/O207</f>
        <v>0</v>
      </c>
      <c r="M214" s="23">
        <f>B212*K214</f>
        <v>0</v>
      </c>
      <c r="N214" s="23" t="str">
        <f t="shared" si="41"/>
        <v>D16</v>
      </c>
      <c r="O214" s="23"/>
    </row>
    <row r="215" spans="1:15" x14ac:dyDescent="0.3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</row>
    <row r="216" spans="1:15" x14ac:dyDescent="0.3">
      <c r="A216" s="23"/>
      <c r="B216" s="23" t="s">
        <v>20</v>
      </c>
      <c r="C216" s="23" t="s">
        <v>14</v>
      </c>
      <c r="D216" s="23" t="s">
        <v>16</v>
      </c>
      <c r="E216" s="23" t="s">
        <v>21</v>
      </c>
      <c r="F216" s="23" t="s">
        <v>17</v>
      </c>
      <c r="G216" s="23"/>
      <c r="H216" s="23" t="s">
        <v>1</v>
      </c>
      <c r="I216" s="23" t="s">
        <v>8</v>
      </c>
      <c r="J216" s="23"/>
      <c r="K216" s="23" t="s">
        <v>9</v>
      </c>
      <c r="L216" s="23"/>
      <c r="M216" s="23"/>
      <c r="N216" s="23"/>
      <c r="O216" s="23"/>
    </row>
    <row r="217" spans="1:15" x14ac:dyDescent="0.3">
      <c r="A217" s="20"/>
      <c r="B217" s="7" t="s">
        <v>42</v>
      </c>
      <c r="C217" s="21">
        <v>-1830.0890921130986</v>
      </c>
      <c r="D217" s="22">
        <v>-997.68637186395677</v>
      </c>
      <c r="E217" s="22">
        <v>-772.20102783654215</v>
      </c>
      <c r="F217" s="22">
        <v>-323.01336914597408</v>
      </c>
      <c r="G217" s="23"/>
      <c r="H217" s="8">
        <f>($C217*1000/$B$3)/$B220/$B$1</f>
        <v>-0.47534781613327237</v>
      </c>
      <c r="I217" s="8">
        <f>(ABS(($F217+0.1)*1000)/$C217)*($H217/$B219)</f>
        <v>0.41936801187788836</v>
      </c>
      <c r="J217" s="23"/>
      <c r="K217" s="23"/>
      <c r="L217" s="9">
        <f>M217/O217</f>
        <v>0</v>
      </c>
      <c r="M217" s="23">
        <f>B220*K217</f>
        <v>0</v>
      </c>
      <c r="N217" s="23" t="str">
        <f>IF(O217=490, "D25",IF(O217=314,"D20","D16"))</f>
        <v>D16</v>
      </c>
      <c r="O217" s="23">
        <v>201</v>
      </c>
    </row>
    <row r="218" spans="1:15" x14ac:dyDescent="0.3">
      <c r="A218" s="2" t="s">
        <v>10</v>
      </c>
      <c r="B218" s="4">
        <v>1000</v>
      </c>
      <c r="C218" s="21">
        <v>1843.071267290479</v>
      </c>
      <c r="D218" s="22">
        <v>1135.0313403033147</v>
      </c>
      <c r="E218" s="22">
        <v>809.63623423409433</v>
      </c>
      <c r="F218" s="22">
        <v>328.1290612908839</v>
      </c>
      <c r="G218" s="23"/>
      <c r="H218" s="8">
        <f>($C218*1000/$B$3)/$B220/$B$1</f>
        <v>0.47871980968583872</v>
      </c>
      <c r="I218" s="8">
        <f>(ABS(($F218+0.1)*1000)/$C218)*($H218/$B219)</f>
        <v>0.42627150816997911</v>
      </c>
      <c r="J218" s="23"/>
      <c r="K218" s="23"/>
      <c r="L218" s="9">
        <f>M218/O217</f>
        <v>0</v>
      </c>
      <c r="M218" s="23">
        <f>B220*K218</f>
        <v>0</v>
      </c>
      <c r="N218" s="23" t="str">
        <f>IF(O217=490, "D25",IF(O217=314,"D20","D16"))</f>
        <v>D16</v>
      </c>
      <c r="O218" s="7"/>
    </row>
    <row r="219" spans="1:15" x14ac:dyDescent="0.3">
      <c r="A219" s="2" t="s">
        <v>11</v>
      </c>
      <c r="B219" s="4">
        <v>200</v>
      </c>
      <c r="C219" s="22">
        <v>-139.91397090448274</v>
      </c>
      <c r="D219" s="21">
        <v>-1645.6056276841471</v>
      </c>
      <c r="E219" s="22">
        <v>116.30779837741773</v>
      </c>
      <c r="F219" s="22">
        <v>-32.706898994554294</v>
      </c>
      <c r="G219" s="23"/>
      <c r="H219" s="8">
        <f>($C219*1000/$B$3)/$B220/$B$1</f>
        <v>-3.6341291144021494E-2</v>
      </c>
      <c r="I219" s="8">
        <f>(ABS(($F219+0.1)*1000)/$C219)*($H219/$B219)</f>
        <v>4.2346622070849729E-2</v>
      </c>
      <c r="J219" s="23"/>
      <c r="K219" s="23"/>
      <c r="L219" s="9">
        <f>M219/O217</f>
        <v>0</v>
      </c>
      <c r="M219" s="23">
        <f>B220*K219</f>
        <v>0</v>
      </c>
      <c r="N219" s="23" t="str">
        <f>IF(O217=490, "D25",IF(O217=314,"D20","D16"))</f>
        <v>D16</v>
      </c>
      <c r="O219" s="23"/>
    </row>
    <row r="220" spans="1:15" x14ac:dyDescent="0.3">
      <c r="A220" s="2" t="s">
        <v>12</v>
      </c>
      <c r="B220" s="10">
        <f>IF(B218="",(0.25*PI()*B219^2),B218*B219)</f>
        <v>200000</v>
      </c>
      <c r="C220" s="22">
        <v>96.409947720131711</v>
      </c>
      <c r="D220" s="21">
        <v>1619.6740998166251</v>
      </c>
      <c r="E220" s="22">
        <v>-132.81871725048643</v>
      </c>
      <c r="F220" s="22">
        <v>38.91412902619453</v>
      </c>
      <c r="G220" s="23"/>
      <c r="H220" s="8">
        <f>($C220*1000/$B$3)/$B220/$B$1</f>
        <v>2.5041544862371874E-2</v>
      </c>
      <c r="I220" s="8">
        <f>(ABS(($F220+0.1)*1000)/$C220)*($H220/$B219)</f>
        <v>5.0667700034018874E-2</v>
      </c>
      <c r="J220" s="23"/>
      <c r="K220" s="23"/>
      <c r="L220" s="9">
        <f>M220/O217</f>
        <v>0</v>
      </c>
      <c r="M220" s="23">
        <f>B220*K220</f>
        <v>0</v>
      </c>
      <c r="N220" s="23" t="str">
        <f>IF(O217=490, "D25",IF(O217=314,"D20","D16"))</f>
        <v>D16</v>
      </c>
      <c r="O220" s="23"/>
    </row>
    <row r="221" spans="1:15" x14ac:dyDescent="0.3">
      <c r="A221" s="23"/>
      <c r="B221" s="23"/>
      <c r="C221" s="22">
        <v>684.71072993746111</v>
      </c>
      <c r="D221" s="22">
        <v>2.6669963232143346</v>
      </c>
      <c r="E221" s="21">
        <v>-1571.9142834502327</v>
      </c>
      <c r="F221" s="22">
        <v>6.6567781339151981</v>
      </c>
      <c r="G221" s="23"/>
      <c r="H221" s="8">
        <f>($C221*1000/$B$3)/$B220/$B$1</f>
        <v>0.17784694284089902</v>
      </c>
      <c r="I221" s="8">
        <f>(ABS(($F221+0.1)*1000)/$C221)*($H221/$B219)</f>
        <v>8.7750365375522076E-3</v>
      </c>
      <c r="J221" s="23"/>
      <c r="K221" s="23"/>
      <c r="L221" s="9">
        <f>M221/O217</f>
        <v>0</v>
      </c>
      <c r="M221" s="23">
        <f>B220*K221</f>
        <v>0</v>
      </c>
      <c r="N221" s="23" t="str">
        <f>IF(O217=490, "D25",IF(O217=314,"D20","D16"))</f>
        <v>D16</v>
      </c>
      <c r="O221" s="23"/>
    </row>
    <row r="222" spans="1:15" x14ac:dyDescent="0.3">
      <c r="A222" s="23"/>
      <c r="B222" s="23"/>
      <c r="C222" s="22">
        <v>-797.65587345569998</v>
      </c>
      <c r="D222" s="22">
        <v>3.5518725992083202</v>
      </c>
      <c r="E222" s="21">
        <v>1607.9164011197281</v>
      </c>
      <c r="F222" s="22">
        <v>-14.773298615418472</v>
      </c>
      <c r="G222" s="23"/>
      <c r="H222" s="8">
        <f>($C222*1000/$B$3)/$B220/$B$1</f>
        <v>-0.20718334375472724</v>
      </c>
      <c r="I222" s="8">
        <f>(ABS(($F222+0.1)*1000)/$C222)*($H222/$B219)</f>
        <v>1.9056231968075939E-2</v>
      </c>
      <c r="J222" s="23"/>
      <c r="K222" s="23"/>
      <c r="L222" s="9">
        <f>M222/O217</f>
        <v>0</v>
      </c>
      <c r="M222" s="23">
        <f>B220*K222</f>
        <v>0</v>
      </c>
      <c r="N222" s="23" t="str">
        <f>IF(O217=490, "D25",IF(O217=314,"D20","D16"))</f>
        <v>D16</v>
      </c>
      <c r="O222" s="23"/>
    </row>
    <row r="223" spans="1:15" x14ac:dyDescent="0.3">
      <c r="A223" s="23"/>
      <c r="B223" s="23"/>
      <c r="C223" s="22">
        <v>-1830.0890921130986</v>
      </c>
      <c r="D223" s="22">
        <v>-997.68637186395677</v>
      </c>
      <c r="E223" s="22">
        <v>-772.20102783654215</v>
      </c>
      <c r="F223" s="21">
        <v>-323.01336914597408</v>
      </c>
      <c r="G223" s="23"/>
      <c r="H223" s="8">
        <f>($C223*1000/$B$3)/$B220/$B$1</f>
        <v>-0.47534781613327237</v>
      </c>
      <c r="I223" s="8">
        <f t="shared" ref="I223" si="42">(ABS(($F223+0.1)*1000)/$C223)*($H223/$B220)</f>
        <v>4.1936801187788842E-4</v>
      </c>
      <c r="J223" s="23"/>
      <c r="K223" s="23"/>
      <c r="L223" s="9">
        <f>M223/O217</f>
        <v>0</v>
      </c>
      <c r="M223" s="23">
        <f>B221*K223</f>
        <v>0</v>
      </c>
      <c r="N223" s="23" t="str">
        <f t="shared" ref="N223:N224" si="43">IF(O218=490, "D25",IF(O218=314,"D20","D16"))</f>
        <v>D16</v>
      </c>
      <c r="O223" s="23"/>
    </row>
    <row r="224" spans="1:15" x14ac:dyDescent="0.3">
      <c r="A224" s="23"/>
      <c r="B224" s="23"/>
      <c r="C224" s="22">
        <v>1843.071267290479</v>
      </c>
      <c r="D224" s="22">
        <v>1135.0313403033147</v>
      </c>
      <c r="E224" s="22">
        <v>809.63623423409433</v>
      </c>
      <c r="F224" s="21">
        <v>328.1290612908839</v>
      </c>
      <c r="G224" s="23"/>
      <c r="H224" s="8">
        <f>($C224*1000/$B$3)/$B220/$B$1</f>
        <v>0.47871980968583872</v>
      </c>
      <c r="I224" s="8">
        <f>(ABS(($F224+0.1)*1000)/$C224)*($H224/$B220)</f>
        <v>4.2627150816997912E-4</v>
      </c>
      <c r="J224" s="23"/>
      <c r="K224" s="23"/>
      <c r="L224" s="9">
        <f>M224/O217</f>
        <v>0</v>
      </c>
      <c r="M224" s="23">
        <f>B222*K224</f>
        <v>0</v>
      </c>
      <c r="N224" s="23" t="str">
        <f t="shared" si="43"/>
        <v>D16</v>
      </c>
      <c r="O224" s="23"/>
    </row>
    <row r="226" spans="1:15" x14ac:dyDescent="0.3">
      <c r="A226" s="23"/>
      <c r="B226" s="23" t="s">
        <v>20</v>
      </c>
      <c r="C226" s="23" t="s">
        <v>14</v>
      </c>
      <c r="D226" s="23" t="s">
        <v>16</v>
      </c>
      <c r="E226" s="23" t="s">
        <v>21</v>
      </c>
      <c r="F226" s="23" t="s">
        <v>17</v>
      </c>
      <c r="G226" s="23"/>
      <c r="H226" s="23" t="s">
        <v>1</v>
      </c>
      <c r="I226" s="23" t="s">
        <v>8</v>
      </c>
      <c r="J226" s="23"/>
      <c r="K226" s="23" t="s">
        <v>9</v>
      </c>
      <c r="L226" s="23"/>
      <c r="M226" s="23"/>
      <c r="N226" s="23"/>
      <c r="O226" s="23"/>
    </row>
    <row r="227" spans="1:15" x14ac:dyDescent="0.3">
      <c r="A227" s="20"/>
      <c r="B227" s="7" t="s">
        <v>43</v>
      </c>
      <c r="C227" s="21">
        <v>-10721.620225396626</v>
      </c>
      <c r="D227" s="22">
        <v>-385.87614615310628</v>
      </c>
      <c r="E227" s="22">
        <v>848.08632377441097</v>
      </c>
      <c r="F227" s="22">
        <v>115.33135824653473</v>
      </c>
      <c r="G227" s="23"/>
      <c r="H227" s="8">
        <f>($C227*1000/$B$3)/$B230/$B$1</f>
        <v>-2.7848364221809416</v>
      </c>
      <c r="I227" s="8">
        <f>(ABS(($F227+0.1)*1000)/$C227)*($H227/$B229)</f>
        <v>0.14991085486562952</v>
      </c>
      <c r="J227" s="23"/>
      <c r="K227" s="23"/>
      <c r="L227" s="9">
        <f>M227/O227</f>
        <v>0</v>
      </c>
      <c r="M227" s="23">
        <f>B230*K227</f>
        <v>0</v>
      </c>
      <c r="N227" s="23" t="str">
        <f>IF(O227=490, "D25",IF(O227=314,"D20","D16"))</f>
        <v>D16</v>
      </c>
      <c r="O227" s="23">
        <v>201</v>
      </c>
    </row>
    <row r="228" spans="1:15" x14ac:dyDescent="0.3">
      <c r="A228" s="2" t="s">
        <v>10</v>
      </c>
      <c r="B228" s="4">
        <v>1000</v>
      </c>
      <c r="C228" s="21">
        <v>10846.460699399644</v>
      </c>
      <c r="D228" s="22">
        <v>428.07766606635539</v>
      </c>
      <c r="E228" s="22">
        <v>-898.7461561282787</v>
      </c>
      <c r="F228" s="22">
        <v>-114.97258274870541</v>
      </c>
      <c r="G228" s="23"/>
      <c r="H228" s="8">
        <f>($C228*1000/$B$3)/$B230/$B$1</f>
        <v>2.8172625193245828</v>
      </c>
      <c r="I228" s="8">
        <f>(ABS(($F228+0.1)*1000)/$C228)*($H228/$B229)</f>
        <v>0.14918517240091611</v>
      </c>
      <c r="J228" s="23"/>
      <c r="K228" s="23"/>
      <c r="L228" s="9">
        <f>M228/O227</f>
        <v>0</v>
      </c>
      <c r="M228" s="23">
        <f>B230*K228</f>
        <v>0</v>
      </c>
      <c r="N228" s="23" t="str">
        <f>IF(O227=490, "D25",IF(O227=314,"D20","D16"))</f>
        <v>D16</v>
      </c>
      <c r="O228" s="7"/>
    </row>
    <row r="229" spans="1:15" x14ac:dyDescent="0.3">
      <c r="A229" s="2" t="s">
        <v>11</v>
      </c>
      <c r="B229" s="4">
        <v>200</v>
      </c>
      <c r="C229" s="22">
        <v>-550.9349104578265</v>
      </c>
      <c r="D229" s="21">
        <v>-3709.6220511768893</v>
      </c>
      <c r="E229" s="22">
        <v>39.149617381706996</v>
      </c>
      <c r="F229" s="22">
        <v>9.4758240148990218</v>
      </c>
      <c r="G229" s="23"/>
      <c r="H229" s="8">
        <f>($C229*1000/$B$3)/$B230/$B$1</f>
        <v>-0.14309997674229261</v>
      </c>
      <c r="I229" s="8">
        <f>(ABS(($F229+0.1)*1000)/$C229)*($H229/$B229)</f>
        <v>1.2436135084284443E-2</v>
      </c>
      <c r="J229" s="23"/>
      <c r="K229" s="23"/>
      <c r="L229" s="9">
        <f>M229/O227</f>
        <v>0</v>
      </c>
      <c r="M229" s="23">
        <f>B230*K229</f>
        <v>0</v>
      </c>
      <c r="N229" s="23" t="str">
        <f>IF(O227=490, "D25",IF(O227=314,"D20","D16"))</f>
        <v>D16</v>
      </c>
      <c r="O229" s="23"/>
    </row>
    <row r="230" spans="1:15" x14ac:dyDescent="0.3">
      <c r="A230" s="2" t="s">
        <v>12</v>
      </c>
      <c r="B230" s="10">
        <f>IF(B228="",(0.25*PI()*B229^2),B228*B229)</f>
        <v>200000</v>
      </c>
      <c r="C230" s="22">
        <v>552.34953733548139</v>
      </c>
      <c r="D230" s="21">
        <v>3680.6454807491964</v>
      </c>
      <c r="E230" s="22">
        <v>-37.037544577577108</v>
      </c>
      <c r="F230" s="22">
        <v>-10.109878051222765</v>
      </c>
      <c r="G230" s="23"/>
      <c r="H230" s="8">
        <f>($C230*1000/$B$3)/$B230/$B$1</f>
        <v>0.14346741229493024</v>
      </c>
      <c r="I230" s="8">
        <f>(ABS(($F230+0.1)*1000)/$C230)*($H230/$B229)</f>
        <v>1.2999841624964632E-2</v>
      </c>
      <c r="J230" s="23"/>
      <c r="K230" s="23"/>
      <c r="L230" s="9">
        <f>M230/O227</f>
        <v>0</v>
      </c>
      <c r="M230" s="23">
        <f>B230*K230</f>
        <v>0</v>
      </c>
      <c r="N230" s="23" t="str">
        <f>IF(O227=490, "D25",IF(O227=314,"D20","D16"))</f>
        <v>D16</v>
      </c>
      <c r="O230" s="23"/>
    </row>
    <row r="231" spans="1:15" x14ac:dyDescent="0.3">
      <c r="A231" s="23"/>
      <c r="B231" s="23"/>
      <c r="C231" s="22">
        <v>6026.9622214907149</v>
      </c>
      <c r="D231" s="22">
        <v>185.54099158903529</v>
      </c>
      <c r="E231" s="21">
        <v>-2757.3350087648269</v>
      </c>
      <c r="F231" s="22">
        <v>-15.919774875328464</v>
      </c>
      <c r="G231" s="23"/>
      <c r="H231" s="8">
        <f>($C231*1000/$B$3)/$B230/$B$1</f>
        <v>1.565444732854731</v>
      </c>
      <c r="I231" s="8">
        <f>(ABS(($F231+0.1)*1000)/$C231)*($H231/$B229)</f>
        <v>2.0545162175751253E-2</v>
      </c>
      <c r="J231" s="23"/>
      <c r="K231" s="23"/>
      <c r="L231" s="9">
        <f>M231/O227</f>
        <v>0</v>
      </c>
      <c r="M231" s="23">
        <f>B230*K231</f>
        <v>0</v>
      </c>
      <c r="N231" s="23" t="str">
        <f>IF(O227=490, "D25",IF(O227=314,"D20","D16"))</f>
        <v>D16</v>
      </c>
      <c r="O231" s="23"/>
    </row>
    <row r="232" spans="1:15" x14ac:dyDescent="0.3">
      <c r="A232" s="23"/>
      <c r="B232" s="23"/>
      <c r="C232" s="22">
        <v>-5963.3971221545435</v>
      </c>
      <c r="D232" s="22">
        <v>-178.2511679172577</v>
      </c>
      <c r="E232" s="21">
        <v>2691.5269918124964</v>
      </c>
      <c r="F232" s="22">
        <v>15.769779526173915</v>
      </c>
      <c r="G232" s="23"/>
      <c r="H232" s="8">
        <f>($C232*1000/$B$3)/$B230/$B$1</f>
        <v>-1.5489343174427386</v>
      </c>
      <c r="I232" s="8">
        <f>(ABS(($F232+0.1)*1000)/$C232)*($H232/$B229)</f>
        <v>2.0610103280745341E-2</v>
      </c>
      <c r="J232" s="23"/>
      <c r="K232" s="23"/>
      <c r="L232" s="9">
        <f>M232/O227</f>
        <v>0</v>
      </c>
      <c r="M232" s="23">
        <f>B230*K232</f>
        <v>0</v>
      </c>
      <c r="N232" s="23" t="str">
        <f>IF(O227=490, "D25",IF(O227=314,"D20","D16"))</f>
        <v>D16</v>
      </c>
      <c r="O232" s="23"/>
    </row>
    <row r="233" spans="1:15" x14ac:dyDescent="0.3">
      <c r="A233" s="23"/>
      <c r="B233" s="23"/>
      <c r="C233" s="22">
        <v>-6595.3432297355803</v>
      </c>
      <c r="D233" s="22">
        <v>-2058.6701575310153</v>
      </c>
      <c r="E233" s="22">
        <v>49.809001249602083</v>
      </c>
      <c r="F233" s="21">
        <v>-202.93840530659148</v>
      </c>
      <c r="G233" s="23"/>
      <c r="H233" s="8">
        <f>($C233*1000/$B$3)/$B230/$B$1</f>
        <v>-1.7130761635676834</v>
      </c>
      <c r="I233" s="8">
        <f t="shared" ref="I233" si="44">(ABS(($F233+0.1)*1000)/$C233)*($H233/$B230)</f>
        <v>2.6342650039817074E-4</v>
      </c>
      <c r="J233" s="23"/>
      <c r="K233" s="23"/>
      <c r="L233" s="9">
        <f>M233/O227</f>
        <v>0</v>
      </c>
      <c r="M233" s="23">
        <f>B231*K233</f>
        <v>0</v>
      </c>
      <c r="N233" s="23" t="str">
        <f t="shared" ref="N233:N234" si="45">IF(O228=490, "D25",IF(O228=314,"D20","D16"))</f>
        <v>D16</v>
      </c>
      <c r="O233" s="23"/>
    </row>
    <row r="234" spans="1:15" x14ac:dyDescent="0.3">
      <c r="A234" s="23"/>
      <c r="B234" s="23"/>
      <c r="C234" s="22">
        <v>6681.7534028789132</v>
      </c>
      <c r="D234" s="22">
        <v>2087.3738489466255</v>
      </c>
      <c r="E234" s="22">
        <v>-47.73085706603154</v>
      </c>
      <c r="F234" s="21">
        <v>200.33081064269197</v>
      </c>
      <c r="G234" s="23"/>
      <c r="H234" s="8">
        <f>($C234*1000/$B$3)/$B230/$B$1</f>
        <v>1.7355203643841335</v>
      </c>
      <c r="I234" s="8">
        <f>(ABS(($F234+0.1)*1000)/$C234)*($H234/$B230)</f>
        <v>2.6029975408141815E-4</v>
      </c>
      <c r="J234" s="23"/>
      <c r="K234" s="23"/>
      <c r="L234" s="9">
        <f>M234/O227</f>
        <v>0</v>
      </c>
      <c r="M234" s="23">
        <f>B232*K234</f>
        <v>0</v>
      </c>
      <c r="N234" s="23" t="str">
        <f t="shared" si="45"/>
        <v>D16</v>
      </c>
      <c r="O234" s="23"/>
    </row>
    <row r="235" spans="1:15" x14ac:dyDescent="0.3">
      <c r="A235" s="23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</row>
    <row r="236" spans="1:15" x14ac:dyDescent="0.3">
      <c r="A236" s="23"/>
      <c r="B236" s="23" t="s">
        <v>20</v>
      </c>
      <c r="C236" s="23" t="s">
        <v>14</v>
      </c>
      <c r="D236" s="23" t="s">
        <v>16</v>
      </c>
      <c r="E236" s="23" t="s">
        <v>21</v>
      </c>
      <c r="F236" s="23" t="s">
        <v>17</v>
      </c>
      <c r="G236" s="23"/>
      <c r="H236" s="23" t="s">
        <v>1</v>
      </c>
      <c r="I236" s="23" t="s">
        <v>8</v>
      </c>
      <c r="J236" s="23"/>
      <c r="K236" s="23" t="s">
        <v>9</v>
      </c>
      <c r="L236" s="23"/>
      <c r="M236" s="23"/>
      <c r="N236" s="23"/>
      <c r="O236" s="23"/>
    </row>
    <row r="237" spans="1:15" x14ac:dyDescent="0.3">
      <c r="A237" s="20"/>
      <c r="B237" s="7" t="s">
        <v>44</v>
      </c>
      <c r="C237" s="21">
        <v>-3657.5334712902522</v>
      </c>
      <c r="D237" s="22">
        <v>-199.34316912054382</v>
      </c>
      <c r="E237" s="22">
        <v>191.49026629986994</v>
      </c>
      <c r="F237" s="22">
        <v>0.4678203328770193</v>
      </c>
      <c r="G237" s="23"/>
      <c r="H237" s="8">
        <f>($C237*1000/$B$3)/$B240/$B$1</f>
        <v>-0.95000869384162401</v>
      </c>
      <c r="I237" s="8">
        <f>(ABS(($F237+0.1)*1000)/$C237)*($H237/$B239)</f>
        <v>7.3742900373638864E-4</v>
      </c>
      <c r="J237" s="23"/>
      <c r="K237" s="23"/>
      <c r="L237" s="9">
        <f>M237/O237</f>
        <v>0</v>
      </c>
      <c r="M237" s="23">
        <f>B240*K237</f>
        <v>0</v>
      </c>
      <c r="N237" s="23" t="str">
        <f>IF(O237=490, "D25",IF(O237=314,"D20","D16"))</f>
        <v>D16</v>
      </c>
      <c r="O237" s="23">
        <v>201</v>
      </c>
    </row>
    <row r="238" spans="1:15" x14ac:dyDescent="0.3">
      <c r="A238" s="2" t="s">
        <v>10</v>
      </c>
      <c r="B238" s="4">
        <v>1000</v>
      </c>
      <c r="C238" s="21">
        <v>3596.8077032416068</v>
      </c>
      <c r="D238" s="22">
        <v>-866.86972490494816</v>
      </c>
      <c r="E238" s="22">
        <v>427.52430212338595</v>
      </c>
      <c r="F238" s="22">
        <v>-6.0651047486122716</v>
      </c>
      <c r="G238" s="23"/>
      <c r="H238" s="8">
        <f>($C238*1000/$B$3)/$B240/$B$1</f>
        <v>0.93423576707574196</v>
      </c>
      <c r="I238" s="8">
        <f>(ABS(($F238+0.1)*1000)/$C238)*($H238/$B239)</f>
        <v>7.7468892839120396E-3</v>
      </c>
      <c r="J238" s="23"/>
      <c r="K238" s="23"/>
      <c r="L238" s="9">
        <f>M238/O237</f>
        <v>0</v>
      </c>
      <c r="M238" s="23">
        <f>B240*K238</f>
        <v>0</v>
      </c>
      <c r="N238" s="23" t="str">
        <f>IF(O237=490, "D25",IF(O237=314,"D20","D16"))</f>
        <v>D16</v>
      </c>
      <c r="O238" s="7"/>
    </row>
    <row r="239" spans="1:15" x14ac:dyDescent="0.3">
      <c r="A239" s="2" t="s">
        <v>11</v>
      </c>
      <c r="B239" s="4">
        <v>200</v>
      </c>
      <c r="C239" s="22">
        <v>-3113.175615709602</v>
      </c>
      <c r="D239" s="21">
        <v>-4363.0365757506252</v>
      </c>
      <c r="E239" s="22">
        <v>-1632.6198344032871</v>
      </c>
      <c r="F239" s="22">
        <v>3.3652722364276131</v>
      </c>
      <c r="G239" s="23"/>
      <c r="H239" s="8">
        <f>($C239*1000/$B$3)/$B240/$B$1</f>
        <v>-0.8086170430414551</v>
      </c>
      <c r="I239" s="8">
        <f>(ABS(($F239+0.1)*1000)/$C239)*($H239/$B239)</f>
        <v>4.5003535538020957E-3</v>
      </c>
      <c r="J239" s="23"/>
      <c r="K239" s="23"/>
      <c r="L239" s="9">
        <f>M239/O237</f>
        <v>0</v>
      </c>
      <c r="M239" s="23">
        <f>B240*K239</f>
        <v>0</v>
      </c>
      <c r="N239" s="23" t="str">
        <f>IF(O237=490, "D25",IF(O237=314,"D20","D16"))</f>
        <v>D16</v>
      </c>
      <c r="O239" s="23"/>
    </row>
    <row r="240" spans="1:15" x14ac:dyDescent="0.3">
      <c r="A240" s="2" t="s">
        <v>12</v>
      </c>
      <c r="B240" s="10">
        <f>IF(B238="",(0.25*PI()*B239^2),B238*B239)</f>
        <v>200000</v>
      </c>
      <c r="C240" s="22">
        <v>2552.165490542528</v>
      </c>
      <c r="D240" s="21">
        <v>4209.6717218614376</v>
      </c>
      <c r="E240" s="22">
        <v>1647.498094985988</v>
      </c>
      <c r="F240" s="22">
        <v>-0.22114855004952325</v>
      </c>
      <c r="G240" s="23"/>
      <c r="H240" s="8">
        <f>($C240*1000/$B$3)/$B240/$B$1</f>
        <v>0.66290012741364368</v>
      </c>
      <c r="I240" s="8">
        <f>(ABS(($F240+0.1)*1000)/$C240)*($H240/$B239)</f>
        <v>1.5733577928509512E-4</v>
      </c>
      <c r="J240" s="23"/>
      <c r="K240" s="23"/>
      <c r="L240" s="9">
        <f>M240/O237</f>
        <v>0</v>
      </c>
      <c r="M240" s="23">
        <f>B240*K240</f>
        <v>0</v>
      </c>
      <c r="N240" s="23" t="str">
        <f>IF(O237=490, "D25",IF(O237=314,"D20","D16"))</f>
        <v>D16</v>
      </c>
      <c r="O240" s="23"/>
    </row>
    <row r="241" spans="1:15" x14ac:dyDescent="0.3">
      <c r="A241" s="23"/>
      <c r="B241" s="23"/>
      <c r="C241" s="22">
        <v>-1253.2720365722244</v>
      </c>
      <c r="D241" s="22">
        <v>-2209.2355743449666</v>
      </c>
      <c r="E241" s="21">
        <v>-3159.2753550111806</v>
      </c>
      <c r="F241" s="22">
        <v>1.8416288257067637</v>
      </c>
      <c r="G241" s="23"/>
      <c r="H241" s="8">
        <f>($C241*1000/$B$3)/$B240/$B$1</f>
        <v>-0.3255252043044739</v>
      </c>
      <c r="I241" s="8">
        <f>(ABS(($F241+0.1)*1000)/$C241)*($H241/$B239)</f>
        <v>2.5215958775412521E-3</v>
      </c>
      <c r="J241" s="23"/>
      <c r="K241" s="23"/>
      <c r="L241" s="9">
        <f>M241/O237</f>
        <v>0</v>
      </c>
      <c r="M241" s="23">
        <f>B240*K241</f>
        <v>0</v>
      </c>
      <c r="N241" s="23" t="str">
        <f>IF(O237=490, "D25",IF(O237=314,"D20","D16"))</f>
        <v>D16</v>
      </c>
      <c r="O241" s="23"/>
    </row>
    <row r="242" spans="1:15" x14ac:dyDescent="0.3">
      <c r="A242" s="23"/>
      <c r="B242" s="23"/>
      <c r="C242" s="22">
        <v>803.53100487362542</v>
      </c>
      <c r="D242" s="22">
        <v>2085.4499228239383</v>
      </c>
      <c r="E242" s="21">
        <v>2895.703109715042</v>
      </c>
      <c r="F242" s="22">
        <v>0.15494313851168115</v>
      </c>
      <c r="G242" s="23"/>
      <c r="H242" s="8">
        <f>($C242*1000/$B$3)/$B240/$B$1</f>
        <v>0.20870935191522741</v>
      </c>
      <c r="I242" s="8">
        <f>(ABS(($F242+0.1)*1000)/$C242)*($H242/$B239)</f>
        <v>3.3109498508010542E-4</v>
      </c>
      <c r="J242" s="23"/>
      <c r="K242" s="23"/>
      <c r="L242" s="9">
        <f>M242/O237</f>
        <v>0</v>
      </c>
      <c r="M242" s="23">
        <f>B240*K242</f>
        <v>0</v>
      </c>
      <c r="N242" s="23" t="str">
        <f>IF(O237=490, "D25",IF(O237=314,"D20","D16"))</f>
        <v>D16</v>
      </c>
      <c r="O242" s="23"/>
    </row>
    <row r="243" spans="1:15" x14ac:dyDescent="0.3">
      <c r="A243" s="23"/>
      <c r="B243" s="23"/>
      <c r="C243" s="22">
        <v>-302.57699749262054</v>
      </c>
      <c r="D243" s="22">
        <v>66.424065101261135</v>
      </c>
      <c r="E243" s="22">
        <v>783.31005661100482</v>
      </c>
      <c r="F243" s="21">
        <v>-77.669237823636735</v>
      </c>
      <c r="G243" s="23"/>
      <c r="H243" s="8">
        <f>($C243*1000/$B$3)/$B240/$B$1</f>
        <v>-7.8591427920161175E-2</v>
      </c>
      <c r="I243" s="8">
        <f t="shared" ref="I243" si="46">(ABS(($F243+0.1)*1000)/$C243)*($H243/$B240)</f>
        <v>1.0073926990082692E-4</v>
      </c>
      <c r="J243" s="23"/>
      <c r="K243" s="23"/>
      <c r="L243" s="9">
        <f>M243/O237</f>
        <v>0</v>
      </c>
      <c r="M243" s="23">
        <f>B241*K243</f>
        <v>0</v>
      </c>
      <c r="N243" s="23" t="str">
        <f t="shared" ref="N243:N244" si="47">IF(O238=490, "D25",IF(O238=314,"D20","D16"))</f>
        <v>D16</v>
      </c>
      <c r="O243" s="23"/>
    </row>
    <row r="244" spans="1:15" x14ac:dyDescent="0.3">
      <c r="A244" s="23"/>
      <c r="B244" s="23"/>
      <c r="C244" s="22">
        <v>-22.303229561653964</v>
      </c>
      <c r="D244" s="22">
        <v>-105.20910545439853</v>
      </c>
      <c r="E244" s="22">
        <v>-781.54174504266791</v>
      </c>
      <c r="F244" s="21">
        <v>67.972037480775327</v>
      </c>
      <c r="G244" s="23"/>
      <c r="H244" s="8">
        <f>($C244*1000/$B$3)/$B240/$B$1</f>
        <v>-5.7930466393906399E-3</v>
      </c>
      <c r="I244" s="8">
        <f>(ABS(($F244+0.1)*1000)/$C244)*($H244/$B240)</f>
        <v>8.8405243481526395E-5</v>
      </c>
      <c r="J244" s="23"/>
      <c r="K244" s="23"/>
      <c r="L244" s="9">
        <f>M244/O237</f>
        <v>0</v>
      </c>
      <c r="M244" s="23">
        <f>B242*K244</f>
        <v>0</v>
      </c>
      <c r="N244" s="23" t="str">
        <f t="shared" si="47"/>
        <v>D16</v>
      </c>
      <c r="O244" s="23"/>
    </row>
    <row r="245" spans="1:15" x14ac:dyDescent="0.3">
      <c r="A245" s="23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</row>
    <row r="246" spans="1:15" x14ac:dyDescent="0.3">
      <c r="A246" s="23"/>
      <c r="B246" s="23" t="s">
        <v>20</v>
      </c>
      <c r="C246" s="23" t="s">
        <v>14</v>
      </c>
      <c r="D246" s="23" t="s">
        <v>16</v>
      </c>
      <c r="E246" s="23" t="s">
        <v>21</v>
      </c>
      <c r="F246" s="23" t="s">
        <v>17</v>
      </c>
      <c r="G246" s="23"/>
      <c r="H246" s="23" t="s">
        <v>1</v>
      </c>
      <c r="I246" s="23" t="s">
        <v>8</v>
      </c>
      <c r="J246" s="23"/>
      <c r="K246" s="23" t="s">
        <v>9</v>
      </c>
      <c r="L246" s="23"/>
      <c r="M246" s="23"/>
      <c r="N246" s="23"/>
      <c r="O246" s="23"/>
    </row>
    <row r="247" spans="1:15" x14ac:dyDescent="0.3">
      <c r="A247" s="20"/>
      <c r="B247" s="7" t="s">
        <v>45</v>
      </c>
      <c r="C247" s="21">
        <v>-1910.1896697930574</v>
      </c>
      <c r="D247" s="22">
        <v>-3108.6233858890778</v>
      </c>
      <c r="E247" s="22">
        <v>-1656.5236522866294</v>
      </c>
      <c r="F247" s="22">
        <v>4.3478919473852535</v>
      </c>
      <c r="G247" s="23"/>
      <c r="H247" s="8">
        <f>($C247*1000/$B$3)/$B250/$B$1</f>
        <v>-0.49615316098520984</v>
      </c>
      <c r="I247" s="8">
        <f>(ABS(($F247+0.1)*1000)/$C247)*($H247/$B249)</f>
        <v>5.7764830485522783E-3</v>
      </c>
      <c r="J247" s="23"/>
      <c r="K247" s="23"/>
      <c r="L247" s="9">
        <f>M247/O247</f>
        <v>0</v>
      </c>
      <c r="M247" s="23">
        <f>B250*K247</f>
        <v>0</v>
      </c>
      <c r="N247" s="23" t="str">
        <f>IF(O247=490, "D25",IF(O247=314,"D20","D16"))</f>
        <v>D16</v>
      </c>
      <c r="O247" s="23">
        <v>201</v>
      </c>
    </row>
    <row r="248" spans="1:15" x14ac:dyDescent="0.3">
      <c r="A248" s="2" t="s">
        <v>10</v>
      </c>
      <c r="B248" s="4">
        <v>1000</v>
      </c>
      <c r="C248" s="21">
        <v>1574.0446566025605</v>
      </c>
      <c r="D248" s="22">
        <v>3028.0393987904063</v>
      </c>
      <c r="E248" s="22">
        <v>1596.3033124004776</v>
      </c>
      <c r="F248" s="22">
        <v>-0.12284891910399938</v>
      </c>
      <c r="G248" s="23"/>
      <c r="H248" s="8">
        <f>($C248*1000/$B$3)/$B250/$B$1</f>
        <v>0.40884276794871705</v>
      </c>
      <c r="I248" s="8">
        <f>(ABS(($F248+0.1)*1000)/$C248)*($H248/$B249)</f>
        <v>2.9673920914284899E-5</v>
      </c>
      <c r="J248" s="23"/>
      <c r="K248" s="23"/>
      <c r="L248" s="9">
        <f>M248/O247</f>
        <v>0</v>
      </c>
      <c r="M248" s="23">
        <f>B250*K248</f>
        <v>0</v>
      </c>
      <c r="N248" s="23" t="str">
        <f>IF(O247=490, "D25",IF(O247=314,"D20","D16"))</f>
        <v>D16</v>
      </c>
      <c r="O248" s="7"/>
    </row>
    <row r="249" spans="1:15" x14ac:dyDescent="0.3">
      <c r="A249" s="2" t="s">
        <v>11</v>
      </c>
      <c r="B249" s="4">
        <v>200</v>
      </c>
      <c r="C249" s="22">
        <v>-1910.1896697930574</v>
      </c>
      <c r="D249" s="21">
        <v>-3108.6233858890778</v>
      </c>
      <c r="E249" s="22">
        <v>-1656.5236522866294</v>
      </c>
      <c r="F249" s="22">
        <v>4.3478919473852535</v>
      </c>
      <c r="G249" s="23"/>
      <c r="H249" s="8">
        <f>($C249*1000/$B$3)/$B250/$B$1</f>
        <v>-0.49615316098520984</v>
      </c>
      <c r="I249" s="8">
        <f>(ABS(($F249+0.1)*1000)/$C249)*($H249/$B249)</f>
        <v>5.7764830485522783E-3</v>
      </c>
      <c r="J249" s="23"/>
      <c r="K249" s="23"/>
      <c r="L249" s="9">
        <f>M249/O247</f>
        <v>0</v>
      </c>
      <c r="M249" s="23">
        <f>B250*K249</f>
        <v>0</v>
      </c>
      <c r="N249" s="23" t="str">
        <f>IF(O247=490, "D25",IF(O247=314,"D20","D16"))</f>
        <v>D16</v>
      </c>
      <c r="O249" s="23"/>
    </row>
    <row r="250" spans="1:15" x14ac:dyDescent="0.3">
      <c r="A250" s="2" t="s">
        <v>12</v>
      </c>
      <c r="B250" s="10">
        <f>IF(B248="",(0.25*PI()*B249^2),B248*B249)</f>
        <v>200000</v>
      </c>
      <c r="C250" s="22">
        <v>1574.0446566025605</v>
      </c>
      <c r="D250" s="21">
        <v>3028.0393987904063</v>
      </c>
      <c r="E250" s="22">
        <v>1596.3033124004776</v>
      </c>
      <c r="F250" s="22">
        <v>-0.12284891910399938</v>
      </c>
      <c r="G250" s="23"/>
      <c r="H250" s="8">
        <f>($C250*1000/$B$3)/$B250/$B$1</f>
        <v>0.40884276794871705</v>
      </c>
      <c r="I250" s="8">
        <f>(ABS(($F250+0.1)*1000)/$C250)*($H250/$B249)</f>
        <v>2.9673920914284899E-5</v>
      </c>
      <c r="J250" s="23"/>
      <c r="K250" s="23"/>
      <c r="L250" s="9">
        <f>M250/O247</f>
        <v>0</v>
      </c>
      <c r="M250" s="23">
        <f>B250*K250</f>
        <v>0</v>
      </c>
      <c r="N250" s="23" t="str">
        <f>IF(O247=490, "D25",IF(O247=314,"D20","D16"))</f>
        <v>D16</v>
      </c>
      <c r="O250" s="23"/>
    </row>
    <row r="251" spans="1:15" x14ac:dyDescent="0.3">
      <c r="A251" s="23"/>
      <c r="B251" s="23"/>
      <c r="C251" s="22">
        <v>-1910.1896697930574</v>
      </c>
      <c r="D251" s="22">
        <v>-3108.6233858890778</v>
      </c>
      <c r="E251" s="21">
        <v>-1656.5236522866294</v>
      </c>
      <c r="F251" s="22">
        <v>4.3478919473852535</v>
      </c>
      <c r="G251" s="23"/>
      <c r="H251" s="8">
        <f>($C251*1000/$B$3)/$B250/$B$1</f>
        <v>-0.49615316098520984</v>
      </c>
      <c r="I251" s="8">
        <f>(ABS(($F251+0.1)*1000)/$C251)*($H251/$B249)</f>
        <v>5.7764830485522783E-3</v>
      </c>
      <c r="J251" s="23"/>
      <c r="K251" s="23"/>
      <c r="L251" s="9">
        <f>M251/O247</f>
        <v>0</v>
      </c>
      <c r="M251" s="23">
        <f>B250*K251</f>
        <v>0</v>
      </c>
      <c r="N251" s="23" t="str">
        <f>IF(O247=490, "D25",IF(O247=314,"D20","D16"))</f>
        <v>D16</v>
      </c>
      <c r="O251" s="23"/>
    </row>
    <row r="252" spans="1:15" x14ac:dyDescent="0.3">
      <c r="A252" s="23"/>
      <c r="B252" s="23"/>
      <c r="C252" s="22">
        <v>1574.0446566025605</v>
      </c>
      <c r="D252" s="22">
        <v>3028.0393987904063</v>
      </c>
      <c r="E252" s="21">
        <v>1596.3033124004776</v>
      </c>
      <c r="F252" s="22">
        <v>-0.12284891910399938</v>
      </c>
      <c r="G252" s="23"/>
      <c r="H252" s="8">
        <f>($C252*1000/$B$3)/$B250/$B$1</f>
        <v>0.40884276794871705</v>
      </c>
      <c r="I252" s="8">
        <f>(ABS(($F252+0.1)*1000)/$C252)*($H252/$B249)</f>
        <v>2.9673920914284899E-5</v>
      </c>
      <c r="J252" s="23"/>
      <c r="K252" s="23"/>
      <c r="L252" s="9">
        <f>M252/O247</f>
        <v>0</v>
      </c>
      <c r="M252" s="23">
        <f>B250*K252</f>
        <v>0</v>
      </c>
      <c r="N252" s="23" t="str">
        <f>IF(O247=490, "D25",IF(O247=314,"D20","D16"))</f>
        <v>D16</v>
      </c>
      <c r="O252" s="23"/>
    </row>
    <row r="253" spans="1:15" x14ac:dyDescent="0.3">
      <c r="A253" s="23"/>
      <c r="B253" s="23"/>
      <c r="C253" s="22">
        <v>-450.76532435755354</v>
      </c>
      <c r="D253" s="22">
        <v>-148.13377383501498</v>
      </c>
      <c r="E253" s="22">
        <v>539.60068881708537</v>
      </c>
      <c r="F253" s="21">
        <v>-65.684852510962145</v>
      </c>
      <c r="G253" s="23"/>
      <c r="H253" s="8">
        <f>($C253*1000/$B$3)/$B250/$B$1</f>
        <v>-0.11708190243053339</v>
      </c>
      <c r="I253" s="8">
        <f t="shared" ref="I253" si="48">(ABS(($F253+0.1)*1000)/$C253)*($H253/$B250)</f>
        <v>8.5175133131119678E-5</v>
      </c>
      <c r="J253" s="23"/>
      <c r="K253" s="23"/>
      <c r="L253" s="9">
        <f>M253/O247</f>
        <v>0</v>
      </c>
      <c r="M253" s="23">
        <f>B251*K253</f>
        <v>0</v>
      </c>
      <c r="N253" s="23" t="str">
        <f t="shared" ref="N253:N254" si="49">IF(O248=490, "D25",IF(O248=314,"D20","D16"))</f>
        <v>D16</v>
      </c>
      <c r="O253" s="23"/>
    </row>
    <row r="254" spans="1:15" x14ac:dyDescent="0.3">
      <c r="A254" s="23"/>
      <c r="B254" s="23"/>
      <c r="C254" s="22">
        <v>-139.37055655506828</v>
      </c>
      <c r="D254" s="22">
        <v>-315.4372447251356</v>
      </c>
      <c r="E254" s="22">
        <v>-193.25415529078867</v>
      </c>
      <c r="F254" s="21">
        <v>65.380843452593965</v>
      </c>
      <c r="G254" s="23"/>
      <c r="H254" s="8">
        <f>($C254*1000/$B$3)/$B250/$B$1</f>
        <v>-3.6200144559757994E-2</v>
      </c>
      <c r="I254" s="8">
        <f>(ABS(($F254+0.1)*1000)/$C254)*($H254/$B250)</f>
        <v>8.5040056431940202E-5</v>
      </c>
      <c r="J254" s="23"/>
      <c r="K254" s="23"/>
      <c r="L254" s="9">
        <f>M254/O247</f>
        <v>0</v>
      </c>
      <c r="M254" s="23">
        <f>B252*K254</f>
        <v>0</v>
      </c>
      <c r="N254" s="23" t="str">
        <f t="shared" si="49"/>
        <v>D16</v>
      </c>
      <c r="O254" s="23"/>
    </row>
    <row r="255" spans="1:15" x14ac:dyDescent="0.3">
      <c r="A255" s="23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</row>
    <row r="256" spans="1:15" x14ac:dyDescent="0.3">
      <c r="A256" s="23"/>
      <c r="B256" s="23" t="s">
        <v>20</v>
      </c>
      <c r="C256" s="23" t="s">
        <v>14</v>
      </c>
      <c r="D256" s="23" t="s">
        <v>16</v>
      </c>
      <c r="E256" s="23" t="s">
        <v>21</v>
      </c>
      <c r="F256" s="23" t="s">
        <v>17</v>
      </c>
      <c r="G256" s="23"/>
      <c r="H256" s="23" t="s">
        <v>1</v>
      </c>
      <c r="I256" s="23" t="s">
        <v>8</v>
      </c>
      <c r="J256" s="23"/>
      <c r="K256" s="23" t="s">
        <v>9</v>
      </c>
      <c r="L256" s="23"/>
      <c r="M256" s="23"/>
      <c r="N256" s="23"/>
      <c r="O256" s="23"/>
    </row>
    <row r="257" spans="1:15" x14ac:dyDescent="0.3">
      <c r="A257" s="20"/>
      <c r="B257" s="7" t="s">
        <v>46</v>
      </c>
      <c r="C257" s="21">
        <v>-2081.2120509205865</v>
      </c>
      <c r="D257" s="22">
        <v>2616.2129516712639</v>
      </c>
      <c r="E257" s="22">
        <v>181.37371704252143</v>
      </c>
      <c r="F257" s="22">
        <v>14.429697694398614</v>
      </c>
      <c r="G257" s="23"/>
      <c r="H257" s="8">
        <f>($C257*1000/$B$3)/$B260/$B$1</f>
        <v>-0.54057455868067184</v>
      </c>
      <c r="I257" s="8">
        <f>(ABS(($F257+0.1)*1000)/$C257)*($H257/$B259)</f>
        <v>1.8869737265452744E-2</v>
      </c>
      <c r="J257" s="23"/>
      <c r="K257" s="23"/>
      <c r="L257" s="9">
        <f>M257/O257</f>
        <v>0</v>
      </c>
      <c r="M257" s="23">
        <f>B260*K257</f>
        <v>0</v>
      </c>
      <c r="N257" s="23" t="str">
        <f>IF(O257=490, "D25",IF(O257=314,"D20","D16"))</f>
        <v>D16</v>
      </c>
      <c r="O257" s="23">
        <v>201</v>
      </c>
    </row>
    <row r="258" spans="1:15" x14ac:dyDescent="0.3">
      <c r="A258" s="2" t="s">
        <v>10</v>
      </c>
      <c r="B258" s="4">
        <v>1000</v>
      </c>
      <c r="C258" s="21">
        <v>1437.0704322746756</v>
      </c>
      <c r="D258" s="22">
        <v>-2007.32932638687</v>
      </c>
      <c r="E258" s="22">
        <v>-188.93377180796418</v>
      </c>
      <c r="F258" s="22">
        <v>-9.8201235048115638</v>
      </c>
      <c r="G258" s="23"/>
      <c r="H258" s="8">
        <f>($C258*1000/$B$3)/$B260/$B$1</f>
        <v>0.37326504734407157</v>
      </c>
      <c r="I258" s="8">
        <f>(ABS(($F258+0.1)*1000)/$C258)*($H258/$B259)</f>
        <v>1.2623537019235798E-2</v>
      </c>
      <c r="J258" s="23"/>
      <c r="K258" s="23"/>
      <c r="L258" s="9">
        <f>M258/O257</f>
        <v>0</v>
      </c>
      <c r="M258" s="23">
        <f>B260*K258</f>
        <v>0</v>
      </c>
      <c r="N258" s="23" t="str">
        <f>IF(O257=490, "D25",IF(O257=314,"D20","D16"))</f>
        <v>D16</v>
      </c>
      <c r="O258" s="7"/>
    </row>
    <row r="259" spans="1:15" x14ac:dyDescent="0.3">
      <c r="A259" s="2" t="s">
        <v>11</v>
      </c>
      <c r="B259" s="4">
        <v>200</v>
      </c>
      <c r="C259" s="22">
        <v>1437.0704322746756</v>
      </c>
      <c r="D259" s="21">
        <v>-2007.32932638687</v>
      </c>
      <c r="E259" s="22">
        <v>-188.93377180796418</v>
      </c>
      <c r="F259" s="22">
        <v>-9.8201235048115638</v>
      </c>
      <c r="G259" s="23"/>
      <c r="H259" s="8">
        <f>($C259*1000/$B$3)/$B260/$B$1</f>
        <v>0.37326504734407157</v>
      </c>
      <c r="I259" s="8">
        <f>(ABS(($F259+0.1)*1000)/$C259)*($H259/$B259)</f>
        <v>1.2623537019235798E-2</v>
      </c>
      <c r="J259" s="23"/>
      <c r="K259" s="23"/>
      <c r="L259" s="9">
        <f>M259/O257</f>
        <v>0</v>
      </c>
      <c r="M259" s="23">
        <f>B260*K259</f>
        <v>0</v>
      </c>
      <c r="N259" s="23" t="str">
        <f>IF(O257=490, "D25",IF(O257=314,"D20","D16"))</f>
        <v>D16</v>
      </c>
      <c r="O259" s="23"/>
    </row>
    <row r="260" spans="1:15" x14ac:dyDescent="0.3">
      <c r="A260" s="2" t="s">
        <v>12</v>
      </c>
      <c r="B260" s="10">
        <f>IF(B258="",(0.25*PI()*B259^2),B258*B259)</f>
        <v>200000</v>
      </c>
      <c r="C260" s="22">
        <v>-2081.2120509205865</v>
      </c>
      <c r="D260" s="21">
        <v>2616.2129516712639</v>
      </c>
      <c r="E260" s="22">
        <v>181.37371704252143</v>
      </c>
      <c r="F260" s="22">
        <v>14.429697694398614</v>
      </c>
      <c r="G260" s="23"/>
      <c r="H260" s="8">
        <f>($C260*1000/$B$3)/$B260/$B$1</f>
        <v>-0.54057455868067184</v>
      </c>
      <c r="I260" s="8">
        <f>(ABS(($F260+0.1)*1000)/$C260)*($H260/$B259)</f>
        <v>1.8869737265452744E-2</v>
      </c>
      <c r="J260" s="23"/>
      <c r="K260" s="23"/>
      <c r="L260" s="9">
        <f>M260/O257</f>
        <v>0</v>
      </c>
      <c r="M260" s="23">
        <f>B260*K260</f>
        <v>0</v>
      </c>
      <c r="N260" s="23" t="str">
        <f>IF(O257=490, "D25",IF(O257=314,"D20","D16"))</f>
        <v>D16</v>
      </c>
      <c r="O260" s="23"/>
    </row>
    <row r="261" spans="1:15" x14ac:dyDescent="0.3">
      <c r="A261" s="23"/>
      <c r="B261" s="23"/>
      <c r="C261" s="22">
        <v>-1907.5554983857623</v>
      </c>
      <c r="D261" s="22">
        <v>-1129.4467553015229</v>
      </c>
      <c r="E261" s="21">
        <v>-919.17348758834135</v>
      </c>
      <c r="F261" s="22">
        <v>1.7500500133516512</v>
      </c>
      <c r="G261" s="23"/>
      <c r="H261" s="8">
        <f>($C261*1000/$B$3)/$B260/$B$1</f>
        <v>-0.4954689606196786</v>
      </c>
      <c r="I261" s="8">
        <f>(ABS(($F261+0.1)*1000)/$C261)*($H261/$B259)</f>
        <v>2.4026623550021452E-3</v>
      </c>
      <c r="J261" s="23"/>
      <c r="K261" s="23"/>
      <c r="L261" s="9">
        <f>M261/O257</f>
        <v>0</v>
      </c>
      <c r="M261" s="23">
        <f>B260*K261</f>
        <v>0</v>
      </c>
      <c r="N261" s="23" t="str">
        <f>IF(O257=490, "D25",IF(O257=314,"D20","D16"))</f>
        <v>D16</v>
      </c>
      <c r="O261" s="23"/>
    </row>
    <row r="262" spans="1:15" x14ac:dyDescent="0.3">
      <c r="A262" s="23"/>
      <c r="B262" s="23"/>
      <c r="C262" s="22">
        <v>1169.1689024103582</v>
      </c>
      <c r="D262" s="22">
        <v>2198.5537813232463</v>
      </c>
      <c r="E262" s="21">
        <v>964.91990497352765</v>
      </c>
      <c r="F262" s="22">
        <v>-2.9282570608736513</v>
      </c>
      <c r="G262" s="23"/>
      <c r="H262" s="8">
        <f>($C262*1000/$B$3)/$B260/$B$1</f>
        <v>0.30368023439230085</v>
      </c>
      <c r="I262" s="8">
        <f>(ABS(($F262+0.1)*1000)/$C262)*($H262/$B259)</f>
        <v>3.6730611180177289E-3</v>
      </c>
      <c r="J262" s="23"/>
      <c r="K262" s="23"/>
      <c r="L262" s="9">
        <f>M262/O257</f>
        <v>0</v>
      </c>
      <c r="M262" s="23">
        <f>B260*K262</f>
        <v>0</v>
      </c>
      <c r="N262" s="23" t="str">
        <f>IF(O257=490, "D25",IF(O257=314,"D20","D16"))</f>
        <v>D16</v>
      </c>
      <c r="O262" s="23"/>
    </row>
    <row r="263" spans="1:15" x14ac:dyDescent="0.3">
      <c r="A263" s="23"/>
      <c r="B263" s="23"/>
      <c r="C263" s="22">
        <v>-814.57030294474839</v>
      </c>
      <c r="D263" s="22">
        <v>116.99773638667081</v>
      </c>
      <c r="E263" s="22">
        <v>122.07022160196068</v>
      </c>
      <c r="F263" s="21">
        <v>-54.483541407374268</v>
      </c>
      <c r="G263" s="23"/>
      <c r="H263" s="8">
        <f>($C263*1000/$B$3)/$B260/$B$1</f>
        <v>-0.21157670206357101</v>
      </c>
      <c r="I263" s="8">
        <f t="shared" ref="I263" si="50">(ABS(($F263+0.1)*1000)/$C263)*($H263/$B260)</f>
        <v>7.0627975853732809E-5</v>
      </c>
      <c r="J263" s="23"/>
      <c r="K263" s="23"/>
      <c r="L263" s="9">
        <f>M263/O257</f>
        <v>0</v>
      </c>
      <c r="M263" s="23">
        <f>B261*K263</f>
        <v>0</v>
      </c>
      <c r="N263" s="23" t="str">
        <f t="shared" ref="N263:N264" si="51">IF(O258=490, "D25",IF(O258=314,"D20","D16"))</f>
        <v>D16</v>
      </c>
      <c r="O263" s="23"/>
    </row>
    <row r="264" spans="1:15" x14ac:dyDescent="0.3">
      <c r="A264" s="23"/>
      <c r="B264" s="23"/>
      <c r="C264" s="22">
        <v>-357.4190006027091</v>
      </c>
      <c r="D264" s="22">
        <v>-373.35772752536269</v>
      </c>
      <c r="E264" s="22">
        <v>-223.25677231319074</v>
      </c>
      <c r="F264" s="21">
        <v>59.442366418431419</v>
      </c>
      <c r="G264" s="23"/>
      <c r="H264" s="8">
        <f>($C264*1000/$B$3)/$B260/$B$1</f>
        <v>-9.2836104052651733E-2</v>
      </c>
      <c r="I264" s="8">
        <f>(ABS(($F264+0.1)*1000)/$C264)*($H264/$B260)</f>
        <v>7.7327748595365492E-5</v>
      </c>
      <c r="J264" s="23"/>
      <c r="K264" s="23"/>
      <c r="L264" s="9">
        <f>M264/O257</f>
        <v>0</v>
      </c>
      <c r="M264" s="23">
        <f>B262*K264</f>
        <v>0</v>
      </c>
      <c r="N264" s="23" t="str">
        <f t="shared" si="51"/>
        <v>D16</v>
      </c>
      <c r="O264" s="23"/>
    </row>
  </sheetData>
  <mergeCells count="1">
    <mergeCell ref="I1:I5"/>
  </mergeCells>
  <conditionalFormatting sqref="L1:M12 L15:M15 L25:M25 L35:M35 L45:M45 L55:M55 L65:M65 L75:M75 L85:M85 L95:M95 L105:M105 L115:M115 L125:M125 L135:M135 L145:M145 L155:M155 L165:M165 L175:M175 L185:M185 L225:M225 L265:M1048576">
    <cfRule type="cellIs" dxfId="85" priority="113" operator="lessThanOrEqual">
      <formula>1</formula>
    </cfRule>
  </conditionalFormatting>
  <conditionalFormatting sqref="L13:M13">
    <cfRule type="cellIs" dxfId="84" priority="85" operator="lessThanOrEqual">
      <formula>1</formula>
    </cfRule>
  </conditionalFormatting>
  <conditionalFormatting sqref="L14:M14">
    <cfRule type="cellIs" dxfId="83" priority="84" operator="lessThanOrEqual">
      <formula>1</formula>
    </cfRule>
  </conditionalFormatting>
  <conditionalFormatting sqref="L16:M22">
    <cfRule type="cellIs" dxfId="82" priority="83" operator="lessThanOrEqual">
      <formula>1</formula>
    </cfRule>
  </conditionalFormatting>
  <conditionalFormatting sqref="L23:M23">
    <cfRule type="cellIs" dxfId="81" priority="82" operator="lessThanOrEqual">
      <formula>1</formula>
    </cfRule>
  </conditionalFormatting>
  <conditionalFormatting sqref="L24:M24">
    <cfRule type="cellIs" dxfId="80" priority="81" operator="lessThanOrEqual">
      <formula>1</formula>
    </cfRule>
  </conditionalFormatting>
  <conditionalFormatting sqref="L26:M32">
    <cfRule type="cellIs" dxfId="79" priority="80" operator="lessThanOrEqual">
      <formula>1</formula>
    </cfRule>
  </conditionalFormatting>
  <conditionalFormatting sqref="L33:M33">
    <cfRule type="cellIs" dxfId="78" priority="79" operator="lessThanOrEqual">
      <formula>1</formula>
    </cfRule>
  </conditionalFormatting>
  <conditionalFormatting sqref="L34:M34">
    <cfRule type="cellIs" dxfId="77" priority="78" operator="lessThanOrEqual">
      <formula>1</formula>
    </cfRule>
  </conditionalFormatting>
  <conditionalFormatting sqref="L36:M42">
    <cfRule type="cellIs" dxfId="76" priority="77" operator="lessThanOrEqual">
      <formula>1</formula>
    </cfRule>
  </conditionalFormatting>
  <conditionalFormatting sqref="L43:M43">
    <cfRule type="cellIs" dxfId="75" priority="76" operator="lessThanOrEqual">
      <formula>1</formula>
    </cfRule>
  </conditionalFormatting>
  <conditionalFormatting sqref="L44:M44">
    <cfRule type="cellIs" dxfId="74" priority="75" operator="lessThanOrEqual">
      <formula>1</formula>
    </cfRule>
  </conditionalFormatting>
  <conditionalFormatting sqref="L46:M52">
    <cfRule type="cellIs" dxfId="73" priority="74" operator="lessThanOrEqual">
      <formula>1</formula>
    </cfRule>
  </conditionalFormatting>
  <conditionalFormatting sqref="L53:M53">
    <cfRule type="cellIs" dxfId="72" priority="73" operator="lessThanOrEqual">
      <formula>1</formula>
    </cfRule>
  </conditionalFormatting>
  <conditionalFormatting sqref="L54:M54">
    <cfRule type="cellIs" dxfId="71" priority="72" operator="lessThanOrEqual">
      <formula>1</formula>
    </cfRule>
  </conditionalFormatting>
  <conditionalFormatting sqref="L56:M62">
    <cfRule type="cellIs" dxfId="70" priority="71" operator="lessThanOrEqual">
      <formula>1</formula>
    </cfRule>
  </conditionalFormatting>
  <conditionalFormatting sqref="L63:M63">
    <cfRule type="cellIs" dxfId="69" priority="70" operator="lessThanOrEqual">
      <formula>1</formula>
    </cfRule>
  </conditionalFormatting>
  <conditionalFormatting sqref="L64:M64">
    <cfRule type="cellIs" dxfId="68" priority="69" operator="lessThanOrEqual">
      <formula>1</formula>
    </cfRule>
  </conditionalFormatting>
  <conditionalFormatting sqref="L66:M72">
    <cfRule type="cellIs" dxfId="67" priority="68" operator="lessThanOrEqual">
      <formula>1</formula>
    </cfRule>
  </conditionalFormatting>
  <conditionalFormatting sqref="L73:M73">
    <cfRule type="cellIs" dxfId="66" priority="67" operator="lessThanOrEqual">
      <formula>1</formula>
    </cfRule>
  </conditionalFormatting>
  <conditionalFormatting sqref="L74:M74">
    <cfRule type="cellIs" dxfId="65" priority="66" operator="lessThanOrEqual">
      <formula>1</formula>
    </cfRule>
  </conditionalFormatting>
  <conditionalFormatting sqref="L76:M82">
    <cfRule type="cellIs" dxfId="64" priority="65" operator="lessThanOrEqual">
      <formula>1</formula>
    </cfRule>
  </conditionalFormatting>
  <conditionalFormatting sqref="L83:M83">
    <cfRule type="cellIs" dxfId="63" priority="64" operator="lessThanOrEqual">
      <formula>1</formula>
    </cfRule>
  </conditionalFormatting>
  <conditionalFormatting sqref="L84:M84">
    <cfRule type="cellIs" dxfId="62" priority="63" operator="lessThanOrEqual">
      <formula>1</formula>
    </cfRule>
  </conditionalFormatting>
  <conditionalFormatting sqref="L86:M92">
    <cfRule type="cellIs" dxfId="61" priority="62" operator="lessThanOrEqual">
      <formula>1</formula>
    </cfRule>
  </conditionalFormatting>
  <conditionalFormatting sqref="L93:M93">
    <cfRule type="cellIs" dxfId="60" priority="61" operator="lessThanOrEqual">
      <formula>1</formula>
    </cfRule>
  </conditionalFormatting>
  <conditionalFormatting sqref="L94:M94">
    <cfRule type="cellIs" dxfId="59" priority="60" operator="lessThanOrEqual">
      <formula>1</formula>
    </cfRule>
  </conditionalFormatting>
  <conditionalFormatting sqref="L96:M102">
    <cfRule type="cellIs" dxfId="58" priority="59" operator="lessThanOrEqual">
      <formula>1</formula>
    </cfRule>
  </conditionalFormatting>
  <conditionalFormatting sqref="L103:M103">
    <cfRule type="cellIs" dxfId="57" priority="58" operator="lessThanOrEqual">
      <formula>1</formula>
    </cfRule>
  </conditionalFormatting>
  <conditionalFormatting sqref="L104:M104">
    <cfRule type="cellIs" dxfId="56" priority="57" operator="lessThanOrEqual">
      <formula>1</formula>
    </cfRule>
  </conditionalFormatting>
  <conditionalFormatting sqref="L106:M112">
    <cfRule type="cellIs" dxfId="55" priority="56" operator="lessThanOrEqual">
      <formula>1</formula>
    </cfRule>
  </conditionalFormatting>
  <conditionalFormatting sqref="L113:M113">
    <cfRule type="cellIs" dxfId="54" priority="55" operator="lessThanOrEqual">
      <formula>1</formula>
    </cfRule>
  </conditionalFormatting>
  <conditionalFormatting sqref="L114:M114">
    <cfRule type="cellIs" dxfId="53" priority="54" operator="lessThanOrEqual">
      <formula>1</formula>
    </cfRule>
  </conditionalFormatting>
  <conditionalFormatting sqref="L116:M122">
    <cfRule type="cellIs" dxfId="52" priority="53" operator="lessThanOrEqual">
      <formula>1</formula>
    </cfRule>
  </conditionalFormatting>
  <conditionalFormatting sqref="L123:M123">
    <cfRule type="cellIs" dxfId="51" priority="52" operator="lessThanOrEqual">
      <formula>1</formula>
    </cfRule>
  </conditionalFormatting>
  <conditionalFormatting sqref="L124:M124">
    <cfRule type="cellIs" dxfId="50" priority="51" operator="lessThanOrEqual">
      <formula>1</formula>
    </cfRule>
  </conditionalFormatting>
  <conditionalFormatting sqref="L126:M132">
    <cfRule type="cellIs" dxfId="49" priority="50" operator="lessThanOrEqual">
      <formula>1</formula>
    </cfRule>
  </conditionalFormatting>
  <conditionalFormatting sqref="L133:M133">
    <cfRule type="cellIs" dxfId="48" priority="49" operator="lessThanOrEqual">
      <formula>1</formula>
    </cfRule>
  </conditionalFormatting>
  <conditionalFormatting sqref="L134:M134">
    <cfRule type="cellIs" dxfId="47" priority="48" operator="lessThanOrEqual">
      <formula>1</formula>
    </cfRule>
  </conditionalFormatting>
  <conditionalFormatting sqref="L136:M142">
    <cfRule type="cellIs" dxfId="46" priority="47" operator="lessThanOrEqual">
      <formula>1</formula>
    </cfRule>
  </conditionalFormatting>
  <conditionalFormatting sqref="L143:M143">
    <cfRule type="cellIs" dxfId="45" priority="46" operator="lessThanOrEqual">
      <formula>1</formula>
    </cfRule>
  </conditionalFormatting>
  <conditionalFormatting sqref="L144:M144">
    <cfRule type="cellIs" dxfId="44" priority="45" operator="lessThanOrEqual">
      <formula>1</formula>
    </cfRule>
  </conditionalFormatting>
  <conditionalFormatting sqref="L146:M152">
    <cfRule type="cellIs" dxfId="43" priority="44" operator="lessThanOrEqual">
      <formula>1</formula>
    </cfRule>
  </conditionalFormatting>
  <conditionalFormatting sqref="L153:M153">
    <cfRule type="cellIs" dxfId="42" priority="43" operator="lessThanOrEqual">
      <formula>1</formula>
    </cfRule>
  </conditionalFormatting>
  <conditionalFormatting sqref="L154:M154">
    <cfRule type="cellIs" dxfId="41" priority="42" operator="lessThanOrEqual">
      <formula>1</formula>
    </cfRule>
  </conditionalFormatting>
  <conditionalFormatting sqref="L156:M162">
    <cfRule type="cellIs" dxfId="40" priority="41" operator="lessThanOrEqual">
      <formula>1</formula>
    </cfRule>
  </conditionalFormatting>
  <conditionalFormatting sqref="L163:M163">
    <cfRule type="cellIs" dxfId="39" priority="40" operator="lessThanOrEqual">
      <formula>1</formula>
    </cfRule>
  </conditionalFormatting>
  <conditionalFormatting sqref="L164:M164">
    <cfRule type="cellIs" dxfId="38" priority="39" operator="lessThanOrEqual">
      <formula>1</formula>
    </cfRule>
  </conditionalFormatting>
  <conditionalFormatting sqref="L166:M172">
    <cfRule type="cellIs" dxfId="37" priority="38" operator="lessThanOrEqual">
      <formula>1</formula>
    </cfRule>
  </conditionalFormatting>
  <conditionalFormatting sqref="L173:M173">
    <cfRule type="cellIs" dxfId="36" priority="37" operator="lessThanOrEqual">
      <formula>1</formula>
    </cfRule>
  </conditionalFormatting>
  <conditionalFormatting sqref="L174:M174">
    <cfRule type="cellIs" dxfId="35" priority="36" operator="lessThanOrEqual">
      <formula>1</formula>
    </cfRule>
  </conditionalFormatting>
  <conditionalFormatting sqref="L176:M182">
    <cfRule type="cellIs" dxfId="34" priority="35" operator="lessThanOrEqual">
      <formula>1</formula>
    </cfRule>
  </conditionalFormatting>
  <conditionalFormatting sqref="L183:M183">
    <cfRule type="cellIs" dxfId="33" priority="34" operator="lessThanOrEqual">
      <formula>1</formula>
    </cfRule>
  </conditionalFormatting>
  <conditionalFormatting sqref="L184:M184">
    <cfRule type="cellIs" dxfId="32" priority="33" operator="lessThanOrEqual">
      <formula>1</formula>
    </cfRule>
  </conditionalFormatting>
  <conditionalFormatting sqref="L195:M195 L205:M205 L215:M215">
    <cfRule type="cellIs" dxfId="25" priority="26" operator="lessThanOrEqual">
      <formula>1</formula>
    </cfRule>
  </conditionalFormatting>
  <conditionalFormatting sqref="L186:M192">
    <cfRule type="cellIs" dxfId="24" priority="25" operator="lessThanOrEqual">
      <formula>1</formula>
    </cfRule>
  </conditionalFormatting>
  <conditionalFormatting sqref="L193:M193">
    <cfRule type="cellIs" dxfId="23" priority="24" operator="lessThanOrEqual">
      <formula>1</formula>
    </cfRule>
  </conditionalFormatting>
  <conditionalFormatting sqref="L194:M194">
    <cfRule type="cellIs" dxfId="22" priority="23" operator="lessThanOrEqual">
      <formula>1</formula>
    </cfRule>
  </conditionalFormatting>
  <conditionalFormatting sqref="L196:M202">
    <cfRule type="cellIs" dxfId="21" priority="22" operator="lessThanOrEqual">
      <formula>1</formula>
    </cfRule>
  </conditionalFormatting>
  <conditionalFormatting sqref="L203:M203">
    <cfRule type="cellIs" dxfId="20" priority="21" operator="lessThanOrEqual">
      <formula>1</formula>
    </cfRule>
  </conditionalFormatting>
  <conditionalFormatting sqref="L204:M204">
    <cfRule type="cellIs" dxfId="19" priority="20" operator="lessThanOrEqual">
      <formula>1</formula>
    </cfRule>
  </conditionalFormatting>
  <conditionalFormatting sqref="L206:M212">
    <cfRule type="cellIs" dxfId="18" priority="19" operator="lessThanOrEqual">
      <formula>1</formula>
    </cfRule>
  </conditionalFormatting>
  <conditionalFormatting sqref="L213:M213">
    <cfRule type="cellIs" dxfId="17" priority="18" operator="lessThanOrEqual">
      <formula>1</formula>
    </cfRule>
  </conditionalFormatting>
  <conditionalFormatting sqref="L214:M214">
    <cfRule type="cellIs" dxfId="16" priority="17" operator="lessThanOrEqual">
      <formula>1</formula>
    </cfRule>
  </conditionalFormatting>
  <conditionalFormatting sqref="L216:M222">
    <cfRule type="cellIs" dxfId="15" priority="16" operator="lessThanOrEqual">
      <formula>1</formula>
    </cfRule>
  </conditionalFormatting>
  <conditionalFormatting sqref="L223:M223">
    <cfRule type="cellIs" dxfId="14" priority="15" operator="lessThanOrEqual">
      <formula>1</formula>
    </cfRule>
  </conditionalFormatting>
  <conditionalFormatting sqref="L224:M224">
    <cfRule type="cellIs" dxfId="13" priority="14" operator="lessThanOrEqual">
      <formula>1</formula>
    </cfRule>
  </conditionalFormatting>
  <conditionalFormatting sqref="L235:M235 L245:M245 L255:M255">
    <cfRule type="cellIs" dxfId="12" priority="13" operator="lessThanOrEqual">
      <formula>1</formula>
    </cfRule>
  </conditionalFormatting>
  <conditionalFormatting sqref="L226:M232">
    <cfRule type="cellIs" dxfId="11" priority="12" operator="lessThanOrEqual">
      <formula>1</formula>
    </cfRule>
  </conditionalFormatting>
  <conditionalFormatting sqref="L233:M233">
    <cfRule type="cellIs" dxfId="10" priority="11" operator="lessThanOrEqual">
      <formula>1</formula>
    </cfRule>
  </conditionalFormatting>
  <conditionalFormatting sqref="L234:M234">
    <cfRule type="cellIs" dxfId="9" priority="10" operator="lessThanOrEqual">
      <formula>1</formula>
    </cfRule>
  </conditionalFormatting>
  <conditionalFormatting sqref="L236:M242">
    <cfRule type="cellIs" dxfId="8" priority="9" operator="lessThanOrEqual">
      <formula>1</formula>
    </cfRule>
  </conditionalFormatting>
  <conditionalFormatting sqref="L243:M243">
    <cfRule type="cellIs" dxfId="7" priority="8" operator="lessThanOrEqual">
      <formula>1</formula>
    </cfRule>
  </conditionalFormatting>
  <conditionalFormatting sqref="L244:M244">
    <cfRule type="cellIs" dxfId="6" priority="7" operator="lessThanOrEqual">
      <formula>1</formula>
    </cfRule>
  </conditionalFormatting>
  <conditionalFormatting sqref="L246:M252">
    <cfRule type="cellIs" dxfId="5" priority="6" operator="lessThanOrEqual">
      <formula>1</formula>
    </cfRule>
  </conditionalFormatting>
  <conditionalFormatting sqref="L253:M253">
    <cfRule type="cellIs" dxfId="4" priority="5" operator="lessThanOrEqual">
      <formula>1</formula>
    </cfRule>
  </conditionalFormatting>
  <conditionalFormatting sqref="L254:M254">
    <cfRule type="cellIs" dxfId="3" priority="4" operator="lessThanOrEqual">
      <formula>1</formula>
    </cfRule>
  </conditionalFormatting>
  <conditionalFormatting sqref="L256:M262">
    <cfRule type="cellIs" dxfId="2" priority="3" operator="lessThanOrEqual">
      <formula>1</formula>
    </cfRule>
  </conditionalFormatting>
  <conditionalFormatting sqref="L263:M263">
    <cfRule type="cellIs" dxfId="1" priority="2" operator="lessThanOrEqual">
      <formula>1</formula>
    </cfRule>
  </conditionalFormatting>
  <conditionalFormatting sqref="L264:M264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dropSum</vt:lpstr>
      <vt:lpstr>PierSum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2019-09-07T06:42:35Z</dcterms:modified>
</cp:coreProperties>
</file>