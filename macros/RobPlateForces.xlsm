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PierSum" sheetId="3" r:id="rId2"/>
  </sheets>
  <functionGroups builtInGroupCount="18"/>
  <definedNames>
    <definedName name="ASt">PierSum!$Q$211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<sst xmlns="http://schemas.openxmlformats.org/spreadsheetml/2006/main" count="360" uniqueCount="66">
  <si>
    <t>LC</t>
  </si>
  <si>
    <t>Kn</t>
  </si>
  <si>
    <t>Column</t>
  </si>
  <si>
    <t>P</t>
  </si>
  <si>
    <t>V2</t>
  </si>
  <si>
    <t>V3</t>
  </si>
  <si>
    <t>My</t>
  </si>
  <si>
    <t>Mz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</si>
  <si>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</si>
  <si>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</si>
  <si>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</si>
  <si>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</si>
  <si>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</si>
  <si>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</si>
  <si>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</si>
  <si>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</si>
  <si>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</si>
  <si>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</si>
  <si>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</si>
  <si>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</si>
  <si>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</si>
  <si>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</si>
  <si>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</si>
  <si>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</si>
  <si>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</si>
  <si>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</si>
  <si>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</si>
  <si>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</si>
  <si>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</si>
  <si>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</si>
  <si>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</si>
  <si>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</si>
  <si>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</si>
  <si>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</si>
  <si>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</si>
  <si>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</si>
  <si>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</si>
  <si>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</si>
  <si>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</si>
  <si>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</si>
  <si>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</si>
  <si>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</si>
  <si>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</si>
  <si>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</si>
  <si>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</si>
  <si>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</si>
  <si>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</si>
  <si>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</si>
  <si>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</si>
  <si>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</si>
  <si>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</si>
  <si>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</si>
  <si>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</si>
  <si>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</si>
  <si>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</si>
  <si>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</si>
  <si>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</si>
  <si>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</si>
  <si>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</si>
  <si>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</si>
  <si>
    <t>NXX</t>
  </si>
  <si>
    <t>kN/m</t>
  </si>
  <si>
    <t>NYY</t>
  </si>
  <si>
    <t>MXX</t>
  </si>
  <si>
    <t>kNm/m</t>
  </si>
  <si>
    <t>Panel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</si>
</sst>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G8" sqref="G8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31" t="s">
        <v>65</v>
      </c>
      <c r="B4" s="1" t="s">
        <v>60</v>
      </c>
      <c r="C4" s="1" t="s">
        <v>62</v>
      </c>
      <c r="D4" s="1" t="s">
        <v>63</v>
      </c>
      <c r="E4" s="31" t="s">
        <v>0</v>
      </c>
      <c r="G4" s="30"/>
      <c r="I4" s="31" t="s">
        <v>65</v>
      </c>
      <c r="J4" s="27" t="s">
        <v>60</v>
      </c>
      <c r="K4" s="27" t="s">
        <v>62</v>
      </c>
      <c r="L4" s="27" t="s">
        <v>63</v>
      </c>
      <c r="M4" s="31" t="s">
        <v>0</v>
      </c>
    </row>
    <row r="5" spans="1:14" x14ac:dyDescent="0.3">
      <c r="A5" s="31"/>
      <c r="B5" s="1" t="s">
        <v>61</v>
      </c>
      <c r="C5" s="26" t="s">
        <v>61</v>
      </c>
      <c r="D5" s="26" t="s">
        <v>64</v>
      </c>
      <c r="E5" s="31"/>
      <c r="G5" s="30"/>
      <c r="I5" s="31"/>
      <c r="J5" s="27" t="s">
        <v>61</v>
      </c>
      <c r="K5" s="27" t="s">
        <v>61</v>
      </c>
      <c r="L5" s="27" t="s">
        <v>64</v>
      </c>
      <c r="M5" s="31"/>
    </row>
    <row r="6" spans="1:14" x14ac:dyDescent="0.3">
      <c r="I6" s="1">
        <v>10097</v>
      </c>
      <c r="J6" s="25">
        <v>-2595.5680718791637</v>
      </c>
      <c r="K6" s="10">
        <v>1803.6651452869623</v>
      </c>
      <c r="L6" s="10">
        <v>-3.0624041687863262</v>
      </c>
      <c r="M6" s="11">
        <v>1146</v>
      </c>
      <c r="N6" s="10"/>
    </row>
    <row r="7" spans="1:14" x14ac:dyDescent="0.3">
      <c r="I7" s="1">
        <v>10097</v>
      </c>
      <c r="J7" s="25">
        <v>3203.5405600580652</v>
      </c>
      <c r="K7" s="10">
        <v>-2456.3530200106784</v>
      </c>
      <c r="L7" s="10">
        <v>3.736040680971255</v>
      </c>
      <c r="M7" s="11">
        <v>1139</v>
      </c>
      <c r="N7" s="10"/>
    </row>
    <row r="8" spans="1:14" x14ac:dyDescent="0.3">
      <c r="I8" s="1">
        <v>10097</v>
      </c>
      <c r="J8" s="10">
        <v>3203.5405600580652</v>
      </c>
      <c r="K8" s="25">
        <v>-2456.3530200106784</v>
      </c>
      <c r="L8" s="10">
        <v>3.736040680971255</v>
      </c>
      <c r="M8" s="11">
        <v>1139</v>
      </c>
      <c r="N8" s="10"/>
    </row>
    <row r="9" spans="1:14" x14ac:dyDescent="0.3">
      <c r="I9" s="1">
        <v>10097</v>
      </c>
      <c r="J9" s="10">
        <v>-2595.5680718791637</v>
      </c>
      <c r="K9" s="25">
        <v>1803.6651452869623</v>
      </c>
      <c r="L9" s="10">
        <v>-3.0624041687863262</v>
      </c>
      <c r="M9" s="11">
        <v>1146</v>
      </c>
      <c r="N9" s="10"/>
    </row>
    <row r="10" spans="1:14" x14ac:dyDescent="0.3">
      <c r="I10" s="1">
        <v>10094</v>
      </c>
      <c r="J10" s="10">
        <v>7.2998909305805828</v>
      </c>
      <c r="K10" s="10">
        <v>35.999347473035471</v>
      </c>
      <c r="L10" s="25">
        <v>-40.356904270833127</v>
      </c>
      <c r="M10" s="11">
        <v>1140</v>
      </c>
      <c r="N10" s="10"/>
    </row>
    <row r="11" spans="1:14" x14ac:dyDescent="0.3">
      <c r="I11" s="1">
        <v>10094</v>
      </c>
      <c r="J11" s="10">
        <v>1008.9223211809747</v>
      </c>
      <c r="K11" s="10">
        <v>-1093.7987783763506</v>
      </c>
      <c r="L11" s="25">
        <v>41.48424375781093</v>
      </c>
      <c r="M11" s="11">
        <v>1139</v>
      </c>
      <c r="N11" s="10"/>
    </row>
    <row r="12" spans="1:14" x14ac:dyDescent="0.3">
      <c r="J12" s="10"/>
      <c r="K12" s="10"/>
      <c r="L12" s="10"/>
      <c r="M12" s="29"/>
      <c r="N12" s="10"/>
    </row>
    <row r="13" spans="1:14" x14ac:dyDescent="0.3">
      <c r="J13" s="10"/>
      <c r="K13" s="10"/>
      <c r="L13" s="10"/>
      <c r="M13" s="29"/>
      <c r="N13" s="10"/>
    </row>
    <row r="14" spans="1:14" x14ac:dyDescent="0.3">
      <c r="J14" s="10"/>
      <c r="K14" s="10"/>
      <c r="L14" s="10"/>
      <c r="M14" s="11"/>
      <c r="N14" s="28"/>
    </row>
    <row r="15" spans="1:14" x14ac:dyDescent="0.3">
      <c r="J15" s="10"/>
      <c r="K15" s="10"/>
      <c r="L15" s="10"/>
      <c r="M15" s="11"/>
      <c r="N15" s="28"/>
    </row>
    <row r="17" spans="9:10" x14ac:dyDescent="0.3">
      <c r="I17" s="4" t="s">
        <v>59</v>
      </c>
      <c r="J17" s="24">
        <f>COUNTA(A6:A100000)</f>
        <v>0</v>
      </c>
    </row>
  </sheetData>
  <mergeCells count="4">
    <mergeCell ref="A4:A5"/>
    <mergeCell ref="E4:E5"/>
    <mergeCell ref="M4:M5"/>
    <mergeCell ref="I4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4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3" t="s">
        <v>8</v>
      </c>
      <c r="B1" s="5">
        <v>27.5</v>
      </c>
      <c r="C1" s="6" t="s">
        <v>9</v>
      </c>
      <c r="D1" s="7">
        <f>B1*145.0377/1000</f>
        <v>3.9885367500000002</v>
      </c>
      <c r="E1" s="6" t="s">
        <v>10</v>
      </c>
      <c r="J1" s="32" t="s">
        <v>11</v>
      </c>
      <c r="K1" s="32" t="s">
        <v>12</v>
      </c>
    </row>
    <row r="2" spans="1:17" x14ac:dyDescent="0.3">
      <c r="A2" s="3" t="s">
        <v>13</v>
      </c>
      <c r="B2" s="5">
        <v>414</v>
      </c>
      <c r="C2" s="6" t="s">
        <v>9</v>
      </c>
      <c r="D2" s="7">
        <f>B2*145.0377/1000</f>
        <v>60.045607799999999</v>
      </c>
      <c r="E2" s="6" t="s">
        <v>10</v>
      </c>
      <c r="J2" s="32"/>
      <c r="K2" s="32"/>
    </row>
    <row r="3" spans="1:17" x14ac:dyDescent="0.3">
      <c r="A3" s="3" t="s">
        <v>14</v>
      </c>
      <c r="B3" s="5">
        <v>0.7</v>
      </c>
      <c r="J3" s="32"/>
      <c r="K3" s="32"/>
    </row>
    <row r="4" spans="1:17" x14ac:dyDescent="0.3">
      <c r="A4" s="3" t="s">
        <v>15</v>
      </c>
      <c r="B4" s="5">
        <v>0.8</v>
      </c>
      <c r="J4" s="32"/>
      <c r="K4" s="32"/>
    </row>
    <row r="5" spans="1:17" x14ac:dyDescent="0.3">
      <c r="A5" s="3"/>
      <c r="B5" s="5"/>
      <c r="J5" s="32"/>
      <c r="K5" s="32"/>
    </row>
    <row r="6" spans="1:17" x14ac:dyDescent="0.3">
      <c r="B6" s="1" t="s">
        <v>2</v>
      </c>
      <c r="C6" s="1" t="s">
        <v>3</v>
      </c>
      <c r="D6" s="1" t="s">
        <v>16</v>
      </c>
      <c r="E6" s="1" t="s">
        <v>17</v>
      </c>
      <c r="F6" s="1" t="s">
        <v>6</v>
      </c>
      <c r="G6" s="1" t="s">
        <v>7</v>
      </c>
      <c r="I6" s="1" t="s">
        <v>1</v>
      </c>
      <c r="J6" s="1" t="s">
        <v>18</v>
      </c>
      <c r="K6" s="1" t="s">
        <v>19</v>
      </c>
      <c r="M6" s="1" t="s">
        <v>20</v>
      </c>
    </row>
    <row r="7" spans="1:17" x14ac:dyDescent="0.3">
      <c r="A7" s="8"/>
      <c r="B7" s="9" t="s">
        <v>21</v>
      </c>
      <c r="C7" s="2">
        <v>90.77</v>
      </c>
      <c r="D7" s="1">
        <v>-9.08</v>
      </c>
      <c r="E7" s="1">
        <v>0</v>
      </c>
      <c r="F7" s="1">
        <v>-37.6</v>
      </c>
      <c r="G7" s="1">
        <v>0</v>
      </c>
      <c r="I7" s="10">
        <f>($C7*1000/$B$3)/$B10/$B$1</f>
        <v>1.2252526209977284E-2</v>
      </c>
      <c r="J7" s="10">
        <f>(ABS(($F7+0.1)*1000)/$C7)*($I7/$B9)</f>
        <v>7.231302552356004E-3</v>
      </c>
      <c r="K7" s="10">
        <f>(ABS(($G7+0.1)*1000)/$C7)*($I7/IF(B8="",$B9,$B8))</f>
        <v>1.9283473472949346E-5</v>
      </c>
      <c r="N7" s="11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3" t="s">
        <v>22</v>
      </c>
      <c r="B8" s="5"/>
      <c r="C8" s="2">
        <v>4471.76</v>
      </c>
      <c r="D8" s="1">
        <v>0</v>
      </c>
      <c r="E8" s="1">
        <v>-11.81</v>
      </c>
      <c r="F8" s="1">
        <v>0</v>
      </c>
      <c r="G8" s="1">
        <v>0</v>
      </c>
      <c r="I8" s="10">
        <f>($C8*1000/$B$3)/$B10/$B$1</f>
        <v>0.60361745736177164</v>
      </c>
      <c r="J8" s="10">
        <f>(ABS(($F8+0.1)*1000)/$C8)*($I8/$B9)</f>
        <v>1.9283473472949342E-5</v>
      </c>
      <c r="K8" s="10">
        <f>(ABS(($G8+0.1)*1000)/$C8)*($I8/IF(B8="",$B9,$B8))</f>
        <v>1.9283473472949342E-5</v>
      </c>
      <c r="N8" s="11">
        <f>O8/Q7</f>
        <v>0</v>
      </c>
      <c r="O8" s="1">
        <f>B10*M8</f>
        <v>0</v>
      </c>
      <c r="P8" s="1" t="str">
        <f>IF(Q7=490, "D25",IF(Q7=314,"D20","D16"))</f>
        <v>D20</v>
      </c>
      <c r="Q8" s="9" t="s">
        <v>23</v>
      </c>
    </row>
    <row r="9" spans="1:17" x14ac:dyDescent="0.3">
      <c r="A9" s="3" t="s">
        <v>24</v>
      </c>
      <c r="B9" s="5">
        <v>700</v>
      </c>
      <c r="C9" s="1">
        <v>3891.06</v>
      </c>
      <c r="D9" s="2">
        <v>-142.16</v>
      </c>
      <c r="E9" s="1">
        <v>-5.07</v>
      </c>
      <c r="F9" s="1">
        <v>9.8699999999999992</v>
      </c>
      <c r="G9" s="1">
        <v>354.27</v>
      </c>
      <c r="I9" s="10">
        <f>($C9*1000/$B$3)/$B10/$B$1</f>
        <v>0.52523206604158001</v>
      </c>
      <c r="J9" s="10">
        <f>(ABS(($F9+0.1)*1000)/$C9)*($I9/$B9)</f>
        <v>1.9225623052530497E-3</v>
      </c>
      <c r="K9" s="10">
        <f>(ABS(($G9+0.1)*1000)/$C9)*($I9/IF(B8="",$B9,$B8))</f>
        <v>6.83348449460906E-2</v>
      </c>
      <c r="N9" s="11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3" t="s">
        <v>25</v>
      </c>
      <c r="B10" s="12">
        <f>IF(B8="",(0.25*PI()*B9^2),B8*B9)</f>
        <v>384845.10006474965</v>
      </c>
      <c r="C10" s="1">
        <v>1221.69</v>
      </c>
      <c r="D10" s="2">
        <v>70.62</v>
      </c>
      <c r="E10" s="1">
        <v>-34.630000000000003</v>
      </c>
      <c r="F10" s="1">
        <v>-69.11</v>
      </c>
      <c r="G10" s="1">
        <v>-147.32</v>
      </c>
      <c r="I10" s="10">
        <f>($C10*1000/$B$3)/$B10/$B$1</f>
        <v>0.16490898695017239</v>
      </c>
      <c r="J10" s="10">
        <f>(ABS(($F10+0.1)*1000)/$C10)*($I10/$B9)</f>
        <v>1.3307525043682341E-2</v>
      </c>
      <c r="K10" s="10">
        <f>(ABS(($G10+0.1)*1000)/$C10)*($I10/IF(B8="",$B9,$B8))</f>
        <v>2.8389129646876021E-2</v>
      </c>
      <c r="N10" s="11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2">
        <v>-132.96</v>
      </c>
      <c r="F11" s="1">
        <v>-330.2</v>
      </c>
      <c r="G11" s="1">
        <v>-28.95</v>
      </c>
      <c r="I11" s="10">
        <f>($C11*1000/$B$3)/$B10/$B$1</f>
        <v>9.4714443822350558E-2</v>
      </c>
      <c r="J11" s="10">
        <f>(ABS(($F11+0.1)*1000)/$C11)*($I11/$B9)</f>
        <v>6.3654745934205781E-2</v>
      </c>
      <c r="K11" s="10">
        <f>(ABS(($G11+0.1)*1000)/$C11)*($I11/IF(B8="",$B9,$B8))</f>
        <v>5.5632820969458846E-3</v>
      </c>
      <c r="N11" s="11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2">
        <v>94.68</v>
      </c>
      <c r="F12" s="1">
        <v>164.24</v>
      </c>
      <c r="G12" s="1">
        <v>19.52</v>
      </c>
      <c r="I12" s="10">
        <f>($C12*1000/$B$3)/$B10/$B$1</f>
        <v>9.7702996541188261E-2</v>
      </c>
      <c r="J12" s="10">
        <f>(ABS(($F12+0.1)*1000)/$C12)*($I12/$B9)</f>
        <v>3.1690460305444958E-2</v>
      </c>
      <c r="K12" s="10">
        <f>(ABS(($G12+0.1)*1000)/$C12)*($I12/IF(B8="",$B9,$B8))</f>
        <v>3.7834174953926621E-3</v>
      </c>
      <c r="N12" s="11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2">
        <v>-330.2</v>
      </c>
      <c r="G13" s="1">
        <v>-28.95</v>
      </c>
      <c r="I13" s="10">
        <f>($C13*1000/$B$3)/$B10/$B$1</f>
        <v>9.4714443822350558E-2</v>
      </c>
      <c r="J13" s="10">
        <f>(ABS(($F13+0.1)*1000)/$C13)*($I13/$B9)</f>
        <v>6.3654745934205781E-2</v>
      </c>
      <c r="K13" s="10">
        <f>(ABS(($G13+0.1)*1000)/$C13)*($I13/IF(B8="",$B9,$B8))</f>
        <v>5.5632820969458846E-3</v>
      </c>
      <c r="N13" s="11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2">
        <v>214.24</v>
      </c>
      <c r="G14" s="1">
        <v>95.1</v>
      </c>
      <c r="I14" s="10">
        <f>($C14*1000/$B$3)/$B10/$B$1</f>
        <v>0.17075515760296645</v>
      </c>
      <c r="J14" s="10">
        <f>(ABS(($F14+0.1)*1000)/$C14)*($I14/$B9)</f>
        <v>4.1332197041919629E-2</v>
      </c>
      <c r="K14" s="10">
        <f>(ABS(($G14+0.1)*1000)/$C14)*($I14/IF(B8="",$B9,$B8))</f>
        <v>1.8357866746247776E-2</v>
      </c>
      <c r="N14" s="11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2">
        <v>-217.49</v>
      </c>
      <c r="I15" s="10">
        <f>($C15*1000/$B$3)/$B10/$B$1</f>
        <v>0.36264750898383685</v>
      </c>
      <c r="J15" s="10">
        <f>(ABS(($F15+0.1)*1000)/$C15)*($I15/$B9)</f>
        <v>1.4346904263874312E-3</v>
      </c>
      <c r="K15" s="10">
        <f>(ABS(($G15+0.1)*1000)/$C15)*($I15/IF(B8="",$B9,$B8))</f>
        <v>4.192034298284459E-2</v>
      </c>
      <c r="N15" s="11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2">
        <v>354.27</v>
      </c>
      <c r="I16" s="10">
        <f>($C16*1000/$B$3)/$B10/$B$1</f>
        <v>0.52523206604158001</v>
      </c>
      <c r="J16" s="10">
        <f>(ABS(($F16+0.1)*1000)/$C16)*($I16/$B9)</f>
        <v>1.9225623052530497E-3</v>
      </c>
      <c r="K16" s="10">
        <f>(ABS(($G16+0.1)*1000)/$C16)*($I16/IF(B8="",$B9,$B8))</f>
        <v>6.83348449460906E-2</v>
      </c>
      <c r="M16" s="1">
        <v>0.01</v>
      </c>
      <c r="N16" s="11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0"/>
      <c r="J17" s="10"/>
      <c r="K17" s="10"/>
    </row>
    <row r="18" spans="1:17" x14ac:dyDescent="0.3">
      <c r="B18" s="1" t="s">
        <v>2</v>
      </c>
      <c r="C18" s="1" t="s">
        <v>3</v>
      </c>
      <c r="D18" s="1" t="s">
        <v>16</v>
      </c>
      <c r="E18" s="1" t="s">
        <v>17</v>
      </c>
      <c r="F18" s="1" t="s">
        <v>6</v>
      </c>
      <c r="G18" s="1" t="s">
        <v>7</v>
      </c>
      <c r="I18" s="10"/>
      <c r="J18" s="10"/>
      <c r="K18" s="10"/>
    </row>
    <row r="19" spans="1:17" x14ac:dyDescent="0.3">
      <c r="A19" s="8"/>
      <c r="B19" s="9" t="s">
        <v>26</v>
      </c>
      <c r="C19" s="2">
        <v>150.41</v>
      </c>
      <c r="D19" s="1">
        <v>-10.01</v>
      </c>
      <c r="E19" s="1">
        <v>0</v>
      </c>
      <c r="F19" s="1">
        <v>-262.13</v>
      </c>
      <c r="G19" s="1">
        <v>0</v>
      </c>
      <c r="I19" s="10">
        <f>($C19*1000/$B$3)/$B22/$B$1</f>
        <v>2.0302990715464177E-2</v>
      </c>
      <c r="J19" s="10">
        <f>(ABS(($F19+0.1)*1000)/$C19)*($I19/$B21)</f>
        <v>5.0528485541169163E-2</v>
      </c>
      <c r="K19" s="10">
        <f>(ABS(($G19+0.1)*1000)/$C19)*($I19/IF(B20="",$B21,$B20))</f>
        <v>1.9283473472949346E-5</v>
      </c>
      <c r="N19" s="11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3" t="s">
        <v>22</v>
      </c>
      <c r="B20" s="5"/>
      <c r="C20" s="2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0">
        <f>($C20*1000/$B$3)/$B22/$B$1</f>
        <v>0.28305670773685099</v>
      </c>
      <c r="J20" s="10">
        <f>(ABS(($F20+0.1)*1000)/$C20)*($I20/$B21)</f>
        <v>1.9283473472949346E-5</v>
      </c>
      <c r="K20" s="10">
        <f>(ABS(($G20+0.1)*1000)/$C20)*($I20/IF(B20="",$B21,$B20))</f>
        <v>1.9283473472949346E-5</v>
      </c>
      <c r="N20" s="11">
        <f>O20/Q19</f>
        <v>0</v>
      </c>
      <c r="O20" s="1">
        <f>B22*M20</f>
        <v>0</v>
      </c>
      <c r="P20" s="1" t="str">
        <f>IF(Q19=490, "D25",IF(Q19=314,"D20","D16"))</f>
        <v>D20</v>
      </c>
      <c r="Q20" s="9" t="s">
        <v>23</v>
      </c>
    </row>
    <row r="21" spans="1:17" x14ac:dyDescent="0.3">
      <c r="A21" s="3" t="s">
        <v>24</v>
      </c>
      <c r="B21" s="5">
        <v>700</v>
      </c>
      <c r="C21" s="1">
        <v>820.18</v>
      </c>
      <c r="D21" s="2">
        <v>-166.47</v>
      </c>
      <c r="E21" s="1">
        <v>-35.11</v>
      </c>
      <c r="F21" s="1">
        <v>-21.34</v>
      </c>
      <c r="G21" s="1">
        <v>34.299999999999997</v>
      </c>
      <c r="I21" s="10">
        <f>($C21*1000/$B$3)/$B22/$B$1</f>
        <v>0.11071143491130514</v>
      </c>
      <c r="J21" s="10">
        <f>(ABS(($F21+0.1)*1000)/$C21)*($I21/$B21)</f>
        <v>4.0958097656544406E-3</v>
      </c>
      <c r="K21" s="10">
        <f>(ABS(($G21+0.1)*1000)/$C21)*($I21/IF(B20="",$B21,$B20))</f>
        <v>6.6335148746945747E-3</v>
      </c>
      <c r="N21" s="11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3" t="s">
        <v>25</v>
      </c>
      <c r="B22" s="12">
        <f>IF(B20="",(0.25*PI()*B21^2),B20*B21)</f>
        <v>384845.10006474965</v>
      </c>
      <c r="C22" s="1">
        <v>975.49</v>
      </c>
      <c r="D22" s="2">
        <v>46.72</v>
      </c>
      <c r="E22" s="1">
        <v>-2.13</v>
      </c>
      <c r="F22" s="1">
        <v>-2.4</v>
      </c>
      <c r="G22" s="1">
        <v>-99.69</v>
      </c>
      <c r="I22" s="10">
        <f>($C22*1000/$B$3)/$B22/$B$1</f>
        <v>0.13167584876689151</v>
      </c>
      <c r="J22" s="10">
        <f>(ABS(($F22+0.1)*1000)/$C22)*($I22/$B21)</f>
        <v>4.4351988987783496E-4</v>
      </c>
      <c r="K22" s="10">
        <f>(ABS(($G22+0.1)*1000)/$C22)*($I22/IF(B20="",$B21,$B20))</f>
        <v>1.9204411231710253E-2</v>
      </c>
      <c r="N22" s="11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2">
        <v>-152.30000000000001</v>
      </c>
      <c r="F23" s="1">
        <v>-62.87</v>
      </c>
      <c r="G23" s="1">
        <v>-53.08</v>
      </c>
      <c r="I23" s="10">
        <f>($C23*1000/$B$3)/$B22/$B$1</f>
        <v>4.4199263877877731E-2</v>
      </c>
      <c r="J23" s="10">
        <f>(ABS(($F23+0.1)*1000)/$C23)*($I23/$B21)</f>
        <v>1.2104236298970301E-2</v>
      </c>
      <c r="K23" s="10">
        <f>(ABS(($G23+0.1)*1000)/$C23)*($I23/IF(B20="",$B21,$B20))</f>
        <v>1.0216384245968562E-2</v>
      </c>
      <c r="N23" s="11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2">
        <v>108.32</v>
      </c>
      <c r="F24" s="1">
        <v>59.44</v>
      </c>
      <c r="G24" s="1">
        <v>23.71</v>
      </c>
      <c r="I24" s="10">
        <f>($C24*1000/$B$3)/$B22/$B$1</f>
        <v>2.3614155945504308E-2</v>
      </c>
      <c r="J24" s="10">
        <f>(ABS(($F24+0.1)*1000)/$C24)*($I24/$B21)</f>
        <v>1.148138010579404E-2</v>
      </c>
      <c r="K24" s="10">
        <f>(ABS(($G24+0.1)*1000)/$C24)*($I24/IF(B20="",$B21,$B20))</f>
        <v>4.591395033909239E-3</v>
      </c>
      <c r="N24" s="11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2">
        <v>-313.55</v>
      </c>
      <c r="G25" s="1">
        <v>-123.67</v>
      </c>
      <c r="I25" s="10">
        <f>($C25*1000/$B$3)/$B22/$B$1</f>
        <v>6.1708079287111556E-2</v>
      </c>
      <c r="J25" s="10">
        <f>(ABS(($F25+0.1)*1000)/$C25)*($I25/$B21)</f>
        <v>6.044404760095972E-2</v>
      </c>
      <c r="K25" s="10">
        <f>(ABS(($G25+0.1)*1000)/$C25)*($I25/IF(B20="",$B21,$B20))</f>
        <v>2.3828588170523506E-2</v>
      </c>
      <c r="N25" s="11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2">
        <v>413.7</v>
      </c>
      <c r="G26" s="1">
        <v>-268.26</v>
      </c>
      <c r="I26" s="10">
        <f>($C26*1000/$B$3)/$B22/$B$1</f>
        <v>0.12158577127217075</v>
      </c>
      <c r="J26" s="10">
        <f>(ABS(($F26+0.1)*1000)/$C26)*($I26/$B21)</f>
        <v>7.9795013231064402E-2</v>
      </c>
      <c r="K26" s="10">
        <f>(ABS(($G26+0.1)*1000)/$C26)*($I26/IF(B20="",$B21,$B20))</f>
        <v>5.1710562465060957E-2</v>
      </c>
      <c r="N26" s="11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2">
        <v>-461.09</v>
      </c>
      <c r="I27" s="10">
        <f>($C27*1000/$B$3)/$B22/$B$1</f>
        <v>0.10629609799020394</v>
      </c>
      <c r="J27" s="10">
        <f>(ABS(($F27+0.1)*1000)/$C27)*($I27/$B21)</f>
        <v>1.6215472843403099E-2</v>
      </c>
      <c r="K27" s="10">
        <f>(ABS(($G27+0.1)*1000)/$C27)*($I27/IF(B20="",$B21,$B20))</f>
        <v>8.8894884362949178E-2</v>
      </c>
      <c r="M27" s="1">
        <v>1.4999999999999999E-2</v>
      </c>
      <c r="N27" s="11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2">
        <v>174.18</v>
      </c>
      <c r="I28" s="10">
        <f>($C28*1000/$B$3)/$B22/$B$1</f>
        <v>0.11771037160831212</v>
      </c>
      <c r="J28" s="10">
        <f>(ABS(($F28+0.1)*1000)/$C28)*($I28/$B21)</f>
        <v>5.3916591830366354E-3</v>
      </c>
      <c r="K28" s="10">
        <f>(ABS(($G28+0.1)*1000)/$C28)*($I28/IF(B20="",$B21,$B20))</f>
        <v>3.360723756865612E-2</v>
      </c>
      <c r="N28" s="11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2</v>
      </c>
      <c r="C30" s="1" t="s">
        <v>3</v>
      </c>
      <c r="D30" s="1" t="s">
        <v>16</v>
      </c>
      <c r="E30" s="1" t="s">
        <v>17</v>
      </c>
      <c r="F30" s="1" t="s">
        <v>6</v>
      </c>
      <c r="G30" s="1" t="s">
        <v>7</v>
      </c>
    </row>
    <row r="31" spans="1:17" x14ac:dyDescent="0.3">
      <c r="A31" s="8"/>
      <c r="B31" s="9" t="s">
        <v>27</v>
      </c>
      <c r="C31" s="2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0">
        <f>($C31*1000/$B$3)/$B34/$B$1</f>
        <v>7.8077627083563528E-2</v>
      </c>
      <c r="J31" s="10">
        <f>(ABS(($F31+0.1)*1000)/$C31)*($I31/$B33)</f>
        <v>3.3807785692774803E-2</v>
      </c>
      <c r="K31" s="10">
        <f>(ABS(($G31+0.1)*1000)/$C31)*($I31/IF(B32="",$B33,$B32))</f>
        <v>1.9283473472949349E-5</v>
      </c>
      <c r="N31" s="11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3" t="s">
        <v>22</v>
      </c>
      <c r="B32" s="5"/>
      <c r="C32" s="2">
        <v>3495.65</v>
      </c>
      <c r="D32" s="1">
        <v>0</v>
      </c>
      <c r="E32" s="1">
        <v>-146.6</v>
      </c>
      <c r="F32" s="1">
        <v>0</v>
      </c>
      <c r="G32" s="1">
        <v>0</v>
      </c>
      <c r="I32" s="10">
        <f>($C32*1000/$B$3)/$B34/$B$1</f>
        <v>0.47185791832000762</v>
      </c>
      <c r="J32" s="10">
        <f>(ABS(($F32+0.1)*1000)/$C32)*($I32/$B33)</f>
        <v>1.9283473472949342E-5</v>
      </c>
      <c r="K32" s="10">
        <f>(ABS(($G32+0.1)*1000)/$C32)*($I32/IF(B32="",$B33,$B32))</f>
        <v>1.9283473472949342E-5</v>
      </c>
      <c r="N32" s="11">
        <f>O32/Q31</f>
        <v>0</v>
      </c>
      <c r="O32" s="1">
        <f>B34*M32</f>
        <v>0</v>
      </c>
      <c r="P32" s="1" t="str">
        <f>IF(Q31=490, "D25",IF(Q31=314,"D20","D16"))</f>
        <v>D25</v>
      </c>
      <c r="Q32" s="9" t="s">
        <v>23</v>
      </c>
    </row>
    <row r="33" spans="1:17" x14ac:dyDescent="0.3">
      <c r="A33" s="3" t="s">
        <v>24</v>
      </c>
      <c r="B33" s="5">
        <v>700</v>
      </c>
      <c r="C33" s="1">
        <v>1254.6099999999999</v>
      </c>
      <c r="D33" s="2">
        <v>-450.58</v>
      </c>
      <c r="E33" s="1">
        <v>-266.49</v>
      </c>
      <c r="F33" s="1">
        <v>-101.47</v>
      </c>
      <c r="G33" s="1">
        <v>-135.91999999999999</v>
      </c>
      <c r="I33" s="10">
        <f>($C33*1000/$B$3)/$B34/$B$1</f>
        <v>0.16935267057727882</v>
      </c>
      <c r="J33" s="10">
        <f>(ABS(($F33+0.1)*1000)/$C33)*($I33/$B33)</f>
        <v>1.954765705952875E-2</v>
      </c>
      <c r="K33" s="10">
        <f>(ABS(($G33+0.1)*1000)/$C33)*($I33/IF(B32="",$B33,$B32))</f>
        <v>2.6190813670959798E-2</v>
      </c>
      <c r="N33" s="11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3" t="s">
        <v>25</v>
      </c>
      <c r="B34" s="12">
        <f>IF(B32="",(0.25*PI()*B33^2),B32*B33)</f>
        <v>384845.10006474965</v>
      </c>
      <c r="C34" s="1">
        <v>1101.4000000000001</v>
      </c>
      <c r="D34" s="2">
        <v>62.03</v>
      </c>
      <c r="E34" s="1">
        <v>-4.33</v>
      </c>
      <c r="F34" s="1">
        <v>18.79</v>
      </c>
      <c r="G34" s="1">
        <v>-144.09</v>
      </c>
      <c r="I34" s="10">
        <f>($C34*1000/$B$3)/$B34/$B$1</f>
        <v>0.14867172378174487</v>
      </c>
      <c r="J34" s="10">
        <f>(ABS(($F34+0.1)*1000)/$C34)*($I34/$B33)</f>
        <v>3.642648139040131E-3</v>
      </c>
      <c r="K34" s="10">
        <f>(ABS(($G34+0.1)*1000)/$C34)*($I34/IF(B32="",$B33,$B32))</f>
        <v>2.7766273453699759E-2</v>
      </c>
      <c r="N34" s="11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2">
        <v>-339.41</v>
      </c>
      <c r="F35" s="1">
        <v>77.599999999999994</v>
      </c>
      <c r="G35" s="1">
        <v>-233.86</v>
      </c>
      <c r="I35" s="10">
        <f>($C35*1000/$B$3)/$B34/$B$1</f>
        <v>0.238283760523153</v>
      </c>
      <c r="J35" s="10">
        <f>(ABS(($F35+0.1)*1000)/$C35)*($I35/$B33)</f>
        <v>1.4983258888481638E-2</v>
      </c>
      <c r="K35" s="10">
        <f>(ABS(($G35+0.1)*1000)/$C35)*($I35/IF(B32="",$B33,$B32))</f>
        <v>4.507704759036639E-2</v>
      </c>
      <c r="N35" s="11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2">
        <v>142.21</v>
      </c>
      <c r="F36" s="1">
        <v>215.91</v>
      </c>
      <c r="G36" s="1">
        <v>8.7200000000000006</v>
      </c>
      <c r="I36" s="10">
        <f>($C36*1000/$B$3)/$B34/$B$1</f>
        <v>0.19046556717860688</v>
      </c>
      <c r="J36" s="10">
        <f>(ABS(($F36+0.1)*1000)/$C36)*($I36/$B33)</f>
        <v>4.1654231048917877E-2</v>
      </c>
      <c r="K36" s="10">
        <f>(ABS(($G36+0.1)*1000)/$C36)*($I36/IF(B32="",$B33,$B32))</f>
        <v>1.7008023603141322E-3</v>
      </c>
      <c r="N36" s="11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2">
        <v>-312.60000000000002</v>
      </c>
      <c r="G37" s="1">
        <v>54.46</v>
      </c>
      <c r="I37" s="10">
        <f>($C37*1000/$B$3)/$B34/$B$1</f>
        <v>0.20930262824065746</v>
      </c>
      <c r="J37" s="10">
        <f>(ABS(($F37+0.1)*1000)/$C37)*($I37/$B33)</f>
        <v>6.0260854602966714E-2</v>
      </c>
      <c r="K37" s="10">
        <f>(ABS(($G37+0.1)*1000)/$C37)*($I37/IF(B32="",$B33,$B32))</f>
        <v>1.0521063126841163E-2</v>
      </c>
      <c r="N37" s="11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2">
        <v>439.08</v>
      </c>
      <c r="G38" s="1">
        <v>-86.71</v>
      </c>
      <c r="I38" s="10">
        <f>($C38*1000/$B$3)/$B34/$B$1</f>
        <v>0.20518155712475347</v>
      </c>
      <c r="J38" s="10">
        <f>(ABS(($F38+0.1)*1000)/$C38)*($I38/$B33)</f>
        <v>8.4689158798498934E-2</v>
      </c>
      <c r="K38" s="10">
        <f>(ABS(($G38+0.1)*1000)/$C38)*($I38/IF(B32="",$B33,$B32))</f>
        <v>1.6701416374921427E-2</v>
      </c>
      <c r="N38" s="11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2">
        <v>-678.74</v>
      </c>
      <c r="I39" s="10">
        <f>($C39*1000/$B$3)/$B34/$B$1</f>
        <v>0.2348497595670902</v>
      </c>
      <c r="J39" s="10">
        <f>(ABS(($F39+0.1)*1000)/$C39)*($I39/$B33)</f>
        <v>8.0431367855671718E-2</v>
      </c>
      <c r="K39" s="10">
        <f>(ABS(($G39+0.1)*1000)/$C39)*($I39/IF(B32="",$B33,$B32))</f>
        <v>0.13086536437682345</v>
      </c>
      <c r="M39" s="1">
        <v>0.02</v>
      </c>
      <c r="N39" s="11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2">
        <v>484.7</v>
      </c>
      <c r="I40" s="10">
        <f>($C40*1000/$B$3)/$B34/$B$1</f>
        <v>0.2653062704050011</v>
      </c>
      <c r="J40" s="10">
        <f>(ABS(($F40+0.1)*1000)/$C40)*($I40/$B33)</f>
        <v>3.2799260030139533E-2</v>
      </c>
      <c r="K40" s="10">
        <f>(ABS(($G40+0.1)*1000)/$C40)*($I40/IF(B32="",$B33,$B32))</f>
        <v>9.3486279396858399E-2</v>
      </c>
      <c r="N40" s="11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3"/>
      <c r="I41" s="10"/>
      <c r="J41" s="10"/>
      <c r="K41" s="10"/>
    </row>
    <row r="42" spans="1:17" x14ac:dyDescent="0.3">
      <c r="B42" s="1" t="s">
        <v>2</v>
      </c>
      <c r="C42" s="1" t="s">
        <v>3</v>
      </c>
      <c r="D42" s="1" t="s">
        <v>16</v>
      </c>
      <c r="E42" s="1" t="s">
        <v>17</v>
      </c>
      <c r="F42" s="1" t="s">
        <v>6</v>
      </c>
      <c r="G42" s="1" t="s">
        <v>7</v>
      </c>
    </row>
    <row r="43" spans="1:17" x14ac:dyDescent="0.3">
      <c r="A43" s="8"/>
      <c r="B43" s="9" t="s">
        <v>28</v>
      </c>
      <c r="C43" s="2">
        <v>548.63</v>
      </c>
      <c r="D43" s="1">
        <v>-17.11</v>
      </c>
      <c r="E43" s="1">
        <v>0</v>
      </c>
      <c r="F43" s="1">
        <v>243.84</v>
      </c>
      <c r="G43" s="1">
        <v>0</v>
      </c>
      <c r="I43" s="10">
        <f>($C43*1000/$B$3)/$B46/$B$1</f>
        <v>0.10079904926811722</v>
      </c>
      <c r="J43" s="10">
        <f>(ABS(($F43+0.1)*1000)/$C43)*($I43/$B45)</f>
        <v>7.4697944815463102E-2</v>
      </c>
      <c r="K43" s="10">
        <f>(ABS(($G43+0.1)*1000)/$C43)*($I43/IF(B44="",$B45,$B44))</f>
        <v>3.0621441672322336E-5</v>
      </c>
      <c r="N43" s="11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3" t="s">
        <v>22</v>
      </c>
      <c r="B44" s="5"/>
      <c r="C44" s="2">
        <v>2448.1</v>
      </c>
      <c r="D44" s="1">
        <v>0</v>
      </c>
      <c r="E44" s="1">
        <v>-37.01</v>
      </c>
      <c r="F44" s="1">
        <v>0</v>
      </c>
      <c r="G44" s="1">
        <v>0</v>
      </c>
      <c r="I44" s="10">
        <f>($C44*1000/$B$3)/$B46/$B$1</f>
        <v>0.44978610814807385</v>
      </c>
      <c r="J44" s="10">
        <f>(ABS(($F44+0.1)*1000)/$C44)*($I44/$B45)</f>
        <v>3.0621441672322336E-5</v>
      </c>
      <c r="K44" s="10">
        <f>(ABS(($G44+0.1)*1000)/$C44)*($I44/IF(B44="",$B45,$B44))</f>
        <v>3.0621441672322336E-5</v>
      </c>
      <c r="N44" s="11">
        <f>O44/Q43</f>
        <v>0</v>
      </c>
      <c r="O44" s="1">
        <f>B46*M44</f>
        <v>0</v>
      </c>
      <c r="P44" s="1" t="str">
        <f>IF(Q43=490, "D25",IF(Q43=314,"D20","D16"))</f>
        <v>D20</v>
      </c>
      <c r="Q44" s="9" t="s">
        <v>23</v>
      </c>
    </row>
    <row r="45" spans="1:17" x14ac:dyDescent="0.3">
      <c r="A45" s="3" t="s">
        <v>24</v>
      </c>
      <c r="B45" s="5">
        <v>600</v>
      </c>
      <c r="C45" s="1">
        <v>779.15</v>
      </c>
      <c r="D45" s="2">
        <v>-62.47</v>
      </c>
      <c r="E45" s="1">
        <v>87.98</v>
      </c>
      <c r="F45" s="1">
        <v>-0.76</v>
      </c>
      <c r="G45" s="1">
        <v>23.07</v>
      </c>
      <c r="I45" s="10">
        <f>($C45*1000/$B$3)/$B46/$B$1</f>
        <v>0.1431521776739397</v>
      </c>
      <c r="J45" s="10">
        <f>(ABS(($F45+0.1)*1000)/$C45)*($I45/$B45)</f>
        <v>2.0210151503732745E-4</v>
      </c>
      <c r="K45" s="10">
        <f>(ABS(($G45+0.1)*1000)/$C45)*($I45/IF(B44="",$B45,$B44))</f>
        <v>7.0949880354770865E-3</v>
      </c>
      <c r="N45" s="11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3" t="s">
        <v>25</v>
      </c>
      <c r="B46" s="12">
        <f>IF(B44="",(0.25*PI()*B45^2),B44*B45)</f>
        <v>282743.3388230814</v>
      </c>
      <c r="C46" s="1">
        <v>1094.06</v>
      </c>
      <c r="D46" s="2">
        <v>314.06</v>
      </c>
      <c r="E46" s="1">
        <v>-126.82</v>
      </c>
      <c r="F46" s="1">
        <v>-126.38</v>
      </c>
      <c r="G46" s="1">
        <v>-276.13</v>
      </c>
      <c r="I46" s="10">
        <f>($C46*1000/$B$3)/$B46/$B$1</f>
        <v>0.20101016685612585</v>
      </c>
      <c r="J46" s="10">
        <f>(ABS(($F46+0.1)*1000)/$C46)*($I46/$B45)</f>
        <v>3.8668756543808649E-2</v>
      </c>
      <c r="K46" s="10">
        <f>(ABS(($G46+0.1)*1000)/$C46)*($I46/IF(B44="",$B45,$B44))</f>
        <v>8.4524365448111358E-2</v>
      </c>
      <c r="N46" s="11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2">
        <v>-446.44</v>
      </c>
      <c r="F47" s="1">
        <v>-370.98</v>
      </c>
      <c r="G47" s="1">
        <v>-214.86</v>
      </c>
      <c r="I47" s="10">
        <f>($C47*1000/$B$3)/$B46/$B$1</f>
        <v>0.2433632952619483</v>
      </c>
      <c r="J47" s="10">
        <f>(ABS(($F47+0.1)*1000)/$C47)*($I47/$B45)</f>
        <v>0.11356880287430908</v>
      </c>
      <c r="K47" s="10">
        <f>(ABS(($G47+0.1)*1000)/$C47)*($I47/IF(B44="",$B45,$B44))</f>
        <v>6.5762608135479447E-2</v>
      </c>
      <c r="N47" s="11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2">
        <v>407.6</v>
      </c>
      <c r="F48" s="1">
        <v>243.84</v>
      </c>
      <c r="G48" s="1">
        <v>-38.200000000000003</v>
      </c>
      <c r="I48" s="10">
        <f>($C48*1000/$B$3)/$B46/$B$1</f>
        <v>0.10079904926811722</v>
      </c>
      <c r="J48" s="10">
        <f>(ABS(($F48+0.1)*1000)/$C48)*($I48/$B45)</f>
        <v>7.4697944815463102E-2</v>
      </c>
      <c r="K48" s="10">
        <f>(ABS(($G48+0.1)*1000)/$C48)*($I48/IF(B44="",$B45,$B44))</f>
        <v>1.166676927715481E-2</v>
      </c>
      <c r="N48" s="11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2">
        <v>-370.98</v>
      </c>
      <c r="G49" s="1">
        <v>-214.86</v>
      </c>
      <c r="I49" s="10">
        <f>($C49*1000/$B$3)/$B46/$B$1</f>
        <v>0.2433632952619483</v>
      </c>
      <c r="J49" s="10">
        <f>(ABS(($F49+0.1)*1000)/$C49)*($I49/$B45)</f>
        <v>0.11356880287430908</v>
      </c>
      <c r="K49" s="10">
        <f>(ABS(($G49+0.1)*1000)/$C49)*($I49/IF(B44="",$B45,$B44))</f>
        <v>6.5762608135479447E-2</v>
      </c>
      <c r="M49" s="1">
        <v>1.4999999999999999E-2</v>
      </c>
      <c r="N49" s="11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2">
        <v>243.84</v>
      </c>
      <c r="G50" s="1">
        <v>-38.200000000000003</v>
      </c>
      <c r="I50" s="10">
        <f>($C50*1000/$B$3)/$B46/$B$1</f>
        <v>0.10079904926811722</v>
      </c>
      <c r="J50" s="10">
        <f>(ABS(($F50+0.1)*1000)/$C50)*($I50/$B45)</f>
        <v>7.4697944815463102E-2</v>
      </c>
      <c r="K50" s="10">
        <f>(ABS(($G50+0.1)*1000)/$C50)*($I50/IF(B44="",$B45,$B44))</f>
        <v>1.166676927715481E-2</v>
      </c>
      <c r="N50" s="11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2">
        <v>-276.13</v>
      </c>
      <c r="I51" s="10">
        <f>($C51*1000/$B$3)/$B46/$B$1</f>
        <v>0.20101016685612585</v>
      </c>
      <c r="J51" s="10">
        <f>(ABS(($F51+0.1)*1000)/$C51)*($I51/$B45)</f>
        <v>3.8668756543808649E-2</v>
      </c>
      <c r="K51" s="10">
        <f>(ABS(($G51+0.1)*1000)/$C51)*($I51/IF(B44="",$B45,$B44))</f>
        <v>8.4524365448111358E-2</v>
      </c>
      <c r="N51" s="11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2">
        <v>104.7</v>
      </c>
      <c r="I52" s="10">
        <f>($C52*1000/$B$3)/$B46/$B$1</f>
        <v>0.24612657415845871</v>
      </c>
      <c r="J52" s="10">
        <f>(ABS(($F52+0.1)*1000)/$C52)*($I52/$B45)</f>
        <v>2.1741223587348861E-3</v>
      </c>
      <c r="K52" s="10">
        <f>(ABS(($G52+0.1)*1000)/$C52)*($I52/IF(B44="",$B45,$B44))</f>
        <v>3.2091270872593815E-2</v>
      </c>
      <c r="N52" s="11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2</v>
      </c>
      <c r="C54" s="1" t="s">
        <v>3</v>
      </c>
      <c r="D54" s="1" t="s">
        <v>16</v>
      </c>
      <c r="E54" s="1" t="s">
        <v>17</v>
      </c>
      <c r="F54" s="1" t="s">
        <v>6</v>
      </c>
      <c r="G54" s="1" t="s">
        <v>7</v>
      </c>
    </row>
    <row r="55" spans="1:16" x14ac:dyDescent="0.3">
      <c r="A55" s="14"/>
      <c r="B55" s="15" t="s">
        <v>29</v>
      </c>
      <c r="C55" s="2">
        <v>78.53</v>
      </c>
      <c r="D55" s="1">
        <v>-148.18</v>
      </c>
      <c r="E55" s="1">
        <v>0</v>
      </c>
      <c r="F55" s="1">
        <v>-470.91</v>
      </c>
      <c r="G55" s="1">
        <v>0</v>
      </c>
      <c r="I55" s="10">
        <f>($C55*1000/$B$3)/$B58/$B$1</f>
        <v>1.0600318202814983E-2</v>
      </c>
      <c r="J55" s="10">
        <f>(ABS(($F55+0.1)*1000)/$C55)*($I55/$B57)</f>
        <v>9.0788521457992793E-2</v>
      </c>
      <c r="K55" s="10">
        <f>(ABS(($G55+0.1)*1000)/$C55)*($I55/IF(B56="",$B57,$B56))</f>
        <v>1.9283473472949342E-5</v>
      </c>
    </row>
    <row r="56" spans="1:16" x14ac:dyDescent="0.3">
      <c r="A56" s="3" t="s">
        <v>22</v>
      </c>
      <c r="B56" s="5"/>
      <c r="C56" s="2">
        <v>3868.53</v>
      </c>
      <c r="D56" s="1">
        <v>0</v>
      </c>
      <c r="E56" s="1">
        <v>30.29</v>
      </c>
      <c r="F56" s="1">
        <v>0</v>
      </c>
      <c r="G56" s="1">
        <v>0</v>
      </c>
      <c r="I56" s="10">
        <f>($C56*1000/$B$3)/$B58/$B$1</f>
        <v>0.52219086944016102</v>
      </c>
      <c r="J56" s="10">
        <f>(ABS(($F56+0.1)*1000)/$C56)*($I56/$B57)</f>
        <v>1.9283473472949342E-5</v>
      </c>
      <c r="K56" s="10">
        <f>(ABS(($G56+0.1)*1000)/$C56)*($I56/IF(B56="",$B57,$B56))</f>
        <v>1.9283473472949342E-5</v>
      </c>
    </row>
    <row r="57" spans="1:16" x14ac:dyDescent="0.3">
      <c r="A57" s="3" t="s">
        <v>24</v>
      </c>
      <c r="B57" s="5">
        <v>700</v>
      </c>
      <c r="C57" s="1">
        <v>602.79999999999995</v>
      </c>
      <c r="D57" s="2">
        <v>-230.39</v>
      </c>
      <c r="E57" s="1">
        <v>13.58</v>
      </c>
      <c r="F57" s="1">
        <v>32.42</v>
      </c>
      <c r="G57" s="1">
        <v>-141.87</v>
      </c>
      <c r="I57" s="10">
        <f>($C57*1000/$B$3)/$B58/$B$1</f>
        <v>8.1368544666457043E-2</v>
      </c>
      <c r="J57" s="10">
        <f>(ABS(($F57+0.1)*1000)/$C57)*($I57/$B57)</f>
        <v>6.2709855734031268E-3</v>
      </c>
      <c r="K57" s="10">
        <f>(ABS(($G57+0.1)*1000)/$C57)*($I57/IF(B56="",$B57,$B56))</f>
        <v>2.7338180342600282E-2</v>
      </c>
    </row>
    <row r="58" spans="1:16" x14ac:dyDescent="0.3">
      <c r="A58" s="3" t="s">
        <v>25</v>
      </c>
      <c r="B58" s="12">
        <f>IF(B56="",(0.25*PI()*B57^2),B56*B57)</f>
        <v>384845.10006474965</v>
      </c>
      <c r="C58" s="1">
        <v>980.48</v>
      </c>
      <c r="D58" s="2">
        <v>77.459999999999994</v>
      </c>
      <c r="E58" s="1">
        <v>371.95</v>
      </c>
      <c r="F58" s="1">
        <v>721.97</v>
      </c>
      <c r="G58" s="1">
        <v>441.14</v>
      </c>
      <c r="I58" s="10">
        <f>($C58*1000/$B$3)/$B58/$B$1</f>
        <v>0.1323494204953016</v>
      </c>
      <c r="J58" s="10">
        <f>(ABS(($F58+0.1)*1000)/$C58)*($I58/$B57)</f>
        <v>0.13924017690612531</v>
      </c>
      <c r="K58" s="10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2">
        <v>-29.7</v>
      </c>
      <c r="F59" s="1">
        <v>-58.24</v>
      </c>
      <c r="G59" s="1">
        <v>-103.97</v>
      </c>
      <c r="I59" s="10">
        <f>($C59*1000/$B$3)/$B58/$B$1</f>
        <v>0.31832945890936576</v>
      </c>
      <c r="J59" s="10">
        <f>(ABS(($F59+0.1)*1000)/$C59)*($I59/$B57)</f>
        <v>1.1211411477172748E-2</v>
      </c>
      <c r="K59" s="10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2">
        <v>371.95</v>
      </c>
      <c r="F60" s="1">
        <v>721.97</v>
      </c>
      <c r="G60" s="1">
        <v>441.14</v>
      </c>
      <c r="I60" s="10">
        <f>($C60*1000/$B$3)/$B58/$B$1</f>
        <v>0.1323494204953016</v>
      </c>
      <c r="J60" s="10">
        <f>(ABS(($F60+0.1)*1000)/$C60)*($I60/$B57)</f>
        <v>0.13924017690612531</v>
      </c>
      <c r="K60" s="10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2">
        <v>-766.17</v>
      </c>
      <c r="G61" s="1">
        <v>-480.41</v>
      </c>
      <c r="I61" s="10">
        <f>($C61*1000/$B$3)/$B58/$B$1</f>
        <v>7.5602014759106287E-2</v>
      </c>
      <c r="J61" s="10">
        <f>(ABS(($F61+0.1)*1000)/$C61)*($I61/$B57)</f>
        <v>0.14772490523422302</v>
      </c>
      <c r="K61" s="10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2">
        <v>736.63</v>
      </c>
      <c r="G62" s="1">
        <v>462.7</v>
      </c>
      <c r="I62" s="10">
        <f>($C62*1000/$B$3)/$B58/$B$1</f>
        <v>0.23614020961189994</v>
      </c>
      <c r="J62" s="10">
        <f>(ABS(($F62+0.1)*1000)/$C62)*($I62/$B57)</f>
        <v>0.14206713411725966</v>
      </c>
      <c r="K62" s="10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2">
        <v>-480.41</v>
      </c>
      <c r="I63" s="10">
        <f>($C63*1000/$B$3)/$B58/$B$1</f>
        <v>7.5602014759106287E-2</v>
      </c>
      <c r="J63" s="10">
        <f>(ABS(($F63+0.1)*1000)/$C63)*($I63/$B57)</f>
        <v>0.14772490523422302</v>
      </c>
      <c r="K63" s="10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2">
        <v>462.7</v>
      </c>
      <c r="I64" s="10">
        <f>($C64*1000/$B$3)/$B58/$B$1</f>
        <v>0.23614020961189994</v>
      </c>
      <c r="J64" s="10">
        <f>(ABS(($F64+0.1)*1000)/$C64)*($I64/$B57)</f>
        <v>0.14206713411725966</v>
      </c>
      <c r="K64" s="10">
        <f>(ABS(($G64+0.1)*1000)/$C64)*($I64/IF(B56="",$B57,$B56))</f>
        <v>8.9243915232809543E-2</v>
      </c>
    </row>
    <row r="66" spans="1:17" x14ac:dyDescent="0.3">
      <c r="B66" s="1" t="s">
        <v>2</v>
      </c>
      <c r="C66" s="1" t="s">
        <v>3</v>
      </c>
      <c r="D66" s="1" t="s">
        <v>16</v>
      </c>
      <c r="E66" s="1" t="s">
        <v>17</v>
      </c>
      <c r="F66" s="1" t="s">
        <v>6</v>
      </c>
      <c r="G66" s="1" t="s">
        <v>7</v>
      </c>
    </row>
    <row r="67" spans="1:17" x14ac:dyDescent="0.3">
      <c r="A67" s="8"/>
      <c r="B67" s="9" t="s">
        <v>30</v>
      </c>
      <c r="C67" s="2">
        <v>-0.02</v>
      </c>
      <c r="D67" s="1">
        <v>-2.31</v>
      </c>
      <c r="E67" s="1">
        <v>0</v>
      </c>
      <c r="F67" s="1">
        <v>0</v>
      </c>
      <c r="G67" s="1">
        <v>0</v>
      </c>
      <c r="I67" s="10">
        <f>($C67*1000/$B$3)/$B70/$B$1</f>
        <v>-2.6996862862129078E-6</v>
      </c>
      <c r="J67" s="10">
        <f>(ABS(($F67+0.1)*1000)/$C67)*($I67/$B69)</f>
        <v>1.9283473472949342E-5</v>
      </c>
      <c r="K67" s="10">
        <f>(ABS(($G67+0.1)*1000)/$C67)*($I67/IF(B68="",$B69,$B68))</f>
        <v>1.9283473472949342E-5</v>
      </c>
      <c r="N67" s="11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3" t="s">
        <v>22</v>
      </c>
      <c r="C68" s="2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0">
        <f>($C68*1000/$B$3)/$B70/$B$1</f>
        <v>0.34131728763646868</v>
      </c>
      <c r="J68" s="10">
        <f>(ABS(($F68+0.1)*1000)/$C68)*($I68/$B69)</f>
        <v>1.9283473472949342E-5</v>
      </c>
      <c r="K68" s="10">
        <f>(ABS(($G68+0.1)*1000)/$C68)*($I68/IF(B68="",$B69,$B68))</f>
        <v>1.9283473472949342E-5</v>
      </c>
      <c r="N68" s="11">
        <f>O68/Q67</f>
        <v>0</v>
      </c>
      <c r="O68" s="1">
        <f>B70*M68</f>
        <v>0</v>
      </c>
      <c r="P68" s="1" t="str">
        <f>IF(Q67=490, "D25",IF(Q67=314,"D20","D16"))</f>
        <v>D25</v>
      </c>
      <c r="Q68" s="9" t="s">
        <v>23</v>
      </c>
    </row>
    <row r="69" spans="1:17" x14ac:dyDescent="0.3">
      <c r="A69" s="3" t="s">
        <v>24</v>
      </c>
      <c r="B69" s="5">
        <v>700</v>
      </c>
      <c r="C69" s="1">
        <v>560.98</v>
      </c>
      <c r="D69" s="2">
        <v>-571.91</v>
      </c>
      <c r="E69" s="1">
        <v>125.68</v>
      </c>
      <c r="F69" s="1">
        <v>20.420000000000002</v>
      </c>
      <c r="G69" s="1">
        <v>396.37</v>
      </c>
      <c r="I69" s="10">
        <f>($C69*1000/$B$3)/$B70/$B$1</f>
        <v>7.5723500641985853E-2</v>
      </c>
      <c r="J69" s="10">
        <f>(ABS(($F69+0.1)*1000)/$C69)*($I69/$B69)</f>
        <v>3.956968756649205E-3</v>
      </c>
      <c r="K69" s="10">
        <f>(ABS(($G69+0.1)*1000)/$C69)*($I69/IF(B68="",$B69,$B68))</f>
        <v>7.6453187278202245E-2</v>
      </c>
      <c r="N69" s="11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3" t="s">
        <v>25</v>
      </c>
      <c r="B70" s="12">
        <f>IF(B68="",(0.25*PI()*B69^2),B68*B69)</f>
        <v>384845.10006474965</v>
      </c>
      <c r="C70" s="1">
        <v>288.51</v>
      </c>
      <c r="D70" s="2">
        <v>238.02</v>
      </c>
      <c r="E70" s="1">
        <v>224.8</v>
      </c>
      <c r="F70" s="1">
        <v>103.27</v>
      </c>
      <c r="G70" s="1">
        <v>105.34</v>
      </c>
      <c r="I70" s="10">
        <f>($C70*1000/$B$3)/$B70/$B$1</f>
        <v>3.8944324521764308E-2</v>
      </c>
      <c r="J70" s="10">
        <f>(ABS(($F70+0.1)*1000)/$C70)*($I70/$B69)</f>
        <v>1.9933326528987737E-2</v>
      </c>
      <c r="K70" s="10">
        <f>(ABS(($G70+0.1)*1000)/$C70)*($I70/IF(B68="",$B69,$B68))</f>
        <v>2.0332494429877793E-2</v>
      </c>
      <c r="N70" s="11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2">
        <v>-253.7</v>
      </c>
      <c r="F71" s="1">
        <v>-617.57000000000005</v>
      </c>
      <c r="G71" s="1">
        <v>77.64</v>
      </c>
      <c r="I71" s="10">
        <f>($C71*1000/$B$3)/$B70/$B$1</f>
        <v>5.3156822975532161E-2</v>
      </c>
      <c r="J71" s="10">
        <f>(ABS(($F71+0.1)*1000)/$C71)*($I71/$B69)</f>
        <v>0.11906966365342031</v>
      </c>
      <c r="K71" s="10">
        <f>(ABS(($G71+0.1)*1000)/$C71)*($I71/IF(B68="",$B69,$B68))</f>
        <v>1.499097227787082E-2</v>
      </c>
      <c r="N71" s="11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2">
        <v>450.3</v>
      </c>
      <c r="F72" s="1">
        <v>77.260000000000005</v>
      </c>
      <c r="G72" s="1">
        <v>274.8</v>
      </c>
      <c r="I72" s="10">
        <f>($C72*1000/$B$3)/$B70/$B$1</f>
        <v>6.0464873752310515E-2</v>
      </c>
      <c r="J72" s="10">
        <f>(ABS(($F72+0.1)*1000)/$C72)*($I72/$B69)</f>
        <v>1.4917695078673614E-2</v>
      </c>
      <c r="K72" s="10">
        <f>(ABS(($G72+0.1)*1000)/$C72)*($I72/IF(B68="",$B69,$B68))</f>
        <v>5.301026857713776E-2</v>
      </c>
      <c r="N72" s="11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2">
        <v>-617.57000000000005</v>
      </c>
      <c r="G73" s="1">
        <v>77.64</v>
      </c>
      <c r="I73" s="10">
        <f>($C73*1000/$B$3)/$B70/$B$1</f>
        <v>5.3156822975532161E-2</v>
      </c>
      <c r="J73" s="10">
        <f>(ABS(($F73+0.1)*1000)/$C73)*($I73/$B69)</f>
        <v>0.11906966365342031</v>
      </c>
      <c r="K73" s="10">
        <f>(ABS(($G73+0.1)*1000)/$C73)*($I73/IF(B68="",$B69,$B68))</f>
        <v>1.499097227787082E-2</v>
      </c>
      <c r="M73" s="1">
        <v>0.02</v>
      </c>
      <c r="N73" s="11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2">
        <v>399.73</v>
      </c>
      <c r="G74" s="1">
        <v>62.33</v>
      </c>
      <c r="I74" s="10">
        <f>($C74*1000/$B$3)/$B70/$B$1</f>
        <v>3.6652290864769545E-2</v>
      </c>
      <c r="J74" s="10">
        <f>(ABS(($F74+0.1)*1000)/$C74)*($I74/$B69)</f>
        <v>7.7101111986893373E-2</v>
      </c>
      <c r="K74" s="10">
        <f>(ABS(($G74+0.1)*1000)/$C74)*($I74/IF(B68="",$B69,$B68))</f>
        <v>1.2038672489162275E-2</v>
      </c>
      <c r="N74" s="11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2">
        <v>-596.54999999999995</v>
      </c>
      <c r="I75" s="10">
        <f>($C75*1000/$B$3)/$B70/$B$1</f>
        <v>8.3251575851090567E-2</v>
      </c>
      <c r="J75" s="10">
        <f>(ABS(($F75+0.1)*1000)/$C75)*($I75/$B69)</f>
        <v>2.1117331800226825E-2</v>
      </c>
      <c r="K75" s="10">
        <f>(ABS(($G75+0.1)*1000)/$C75)*($I75/IF(B68="",$B69,$B68))</f>
        <v>0.11501627752940635</v>
      </c>
      <c r="N75" s="11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2">
        <v>602.20000000000005</v>
      </c>
      <c r="I76" s="10">
        <f>($C76*1000/$B$3)/$B70/$B$1</f>
        <v>4.4934928390870758E-2</v>
      </c>
      <c r="J76" s="10">
        <f>(ABS(($F76+0.1)*1000)/$C76)*($I76/$B69)</f>
        <v>3.5666712535567115E-2</v>
      </c>
      <c r="K76" s="10">
        <f>(ABS(($G76+0.1)*1000)/$C76)*($I76/IF(B68="",$B69,$B68))</f>
        <v>0.11614436072757395</v>
      </c>
      <c r="N76" s="11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2</v>
      </c>
      <c r="C78" s="1" t="s">
        <v>3</v>
      </c>
      <c r="D78" s="1" t="s">
        <v>16</v>
      </c>
      <c r="E78" s="1" t="s">
        <v>17</v>
      </c>
      <c r="F78" s="1" t="s">
        <v>6</v>
      </c>
      <c r="G78" s="1" t="s">
        <v>7</v>
      </c>
    </row>
    <row r="79" spans="1:17" x14ac:dyDescent="0.3">
      <c r="A79" s="8"/>
      <c r="B79" s="9" t="s">
        <v>31</v>
      </c>
      <c r="C79" s="2">
        <v>7.62</v>
      </c>
      <c r="D79" s="1">
        <v>-21.29</v>
      </c>
      <c r="E79" s="1">
        <v>0</v>
      </c>
      <c r="F79" s="1">
        <v>159.41</v>
      </c>
      <c r="G79" s="1">
        <v>0</v>
      </c>
      <c r="I79" s="10">
        <f>($C79*1000/$B$3)/$B82/$B$1</f>
        <v>2.0160177310923513E-3</v>
      </c>
      <c r="J79" s="10">
        <f>(ABS(($F79+0.1)*1000)/$C79)*($I79/$B81)</f>
        <v>8.4402884064708916E-2</v>
      </c>
      <c r="K79" s="10">
        <f>(ABS(($G79+0.1)*1000)/$C79)*($I79/IF(B80="",$B81,$B80))</f>
        <v>5.2913851209773003E-5</v>
      </c>
      <c r="N79" s="11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3" t="s">
        <v>22</v>
      </c>
      <c r="C80" s="2">
        <v>1569.93</v>
      </c>
      <c r="D80" s="1">
        <v>0</v>
      </c>
      <c r="E80" s="1">
        <v>5.72</v>
      </c>
      <c r="F80" s="1">
        <v>0</v>
      </c>
      <c r="G80" s="1">
        <v>0</v>
      </c>
      <c r="I80" s="10">
        <f>($C80*1000/$B$3)/$B82/$B$1</f>
        <v>0.41535521214879467</v>
      </c>
      <c r="J80" s="10">
        <f>(ABS(($F80+0.1)*1000)/$C80)*($I80/$B81)</f>
        <v>5.2913851209773009E-5</v>
      </c>
      <c r="K80" s="10">
        <f>(ABS(($G80+0.1)*1000)/$C80)*($I80/IF(B80="",$B81,$B80))</f>
        <v>5.2913851209773009E-5</v>
      </c>
      <c r="N80" s="11">
        <f>O80/Q79</f>
        <v>0</v>
      </c>
      <c r="O80" s="1">
        <f>B82*M80</f>
        <v>0</v>
      </c>
      <c r="P80" s="1" t="str">
        <f>IF(Q79=490, "D25",IF(Q79=314,"D20","D16"))</f>
        <v>D20</v>
      </c>
      <c r="Q80" s="9" t="s">
        <v>23</v>
      </c>
    </row>
    <row r="81" spans="1:17" x14ac:dyDescent="0.3">
      <c r="A81" s="3" t="s">
        <v>24</v>
      </c>
      <c r="B81" s="5">
        <v>500</v>
      </c>
      <c r="C81" s="1">
        <v>195.19</v>
      </c>
      <c r="D81" s="2">
        <v>-84.05</v>
      </c>
      <c r="E81" s="1">
        <v>-3.43</v>
      </c>
      <c r="F81" s="1">
        <v>-6.72</v>
      </c>
      <c r="G81" s="1">
        <v>195.92</v>
      </c>
      <c r="I81" s="10">
        <f>($C81*1000/$B$3)/$B82/$B$1</f>
        <v>5.1641273088177959E-2</v>
      </c>
      <c r="J81" s="10">
        <f>(ABS(($F81+0.1)*1000)/$C81)*($I81/$B81)</f>
        <v>3.5028969500869728E-3</v>
      </c>
      <c r="K81" s="10">
        <f>(ABS(($G81+0.1)*1000)/$C81)*($I81/IF(B80="",$B81,$B80))</f>
        <v>0.10372173114139703</v>
      </c>
      <c r="N81" s="11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3" t="s">
        <v>25</v>
      </c>
      <c r="B82" s="12">
        <f>IF(B80="",(0.25*PI()*B81^2),B80*B81)</f>
        <v>196349.54084936206</v>
      </c>
      <c r="C82" s="1">
        <v>243.01</v>
      </c>
      <c r="D82" s="2">
        <v>67.73</v>
      </c>
      <c r="E82" s="1">
        <v>19.13</v>
      </c>
      <c r="F82" s="1">
        <v>56.69</v>
      </c>
      <c r="G82" s="1">
        <v>-179.94</v>
      </c>
      <c r="I82" s="10">
        <f>($C82*1000/$B$3)/$B82/$B$1</f>
        <v>6.4292974912434686E-2</v>
      </c>
      <c r="J82" s="10">
        <f>(ABS(($F82+0.1)*1000)/$C82)*($I82/$B81)</f>
        <v>3.004977610203009E-2</v>
      </c>
      <c r="K82" s="10">
        <f>(ABS(($G82+0.1)*1000)/$C82)*($I82/IF(B80="",$B81,$B80))</f>
        <v>9.5160270015655787E-2</v>
      </c>
      <c r="N82" s="11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2">
        <v>-90.86</v>
      </c>
      <c r="F83" s="1">
        <v>0</v>
      </c>
      <c r="G83" s="1">
        <v>0</v>
      </c>
      <c r="I83" s="10">
        <f>($C83*1000/$B$3)/$B82/$B$1</f>
        <v>0.14416643331358703</v>
      </c>
      <c r="J83" s="10">
        <f>(ABS(($F83+0.1)*1000)/$C83)*($I83/$B81)</f>
        <v>5.2913851209773009E-5</v>
      </c>
      <c r="K83" s="10">
        <f>(ABS(($G83+0.1)*1000)/$C83)*($I83/IF(B80="",$B81,$B80))</f>
        <v>5.2913851209773009E-5</v>
      </c>
      <c r="N83" s="11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2">
        <v>99.58</v>
      </c>
      <c r="F84" s="1">
        <v>0</v>
      </c>
      <c r="G84" s="1">
        <v>0</v>
      </c>
      <c r="I84" s="10">
        <f>($C84*1000/$B$3)/$B82/$B$1</f>
        <v>0.29182518080701908</v>
      </c>
      <c r="J84" s="10">
        <f>(ABS(($F84+0.1)*1000)/$C84)*($I84/$B81)</f>
        <v>5.2913851209773003E-5</v>
      </c>
      <c r="K84" s="10">
        <f>(ABS(($G84+0.1)*1000)/$C84)*($I84/IF(B80="",$B81,$B80))</f>
        <v>5.2913851209773003E-5</v>
      </c>
      <c r="N84" s="11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2">
        <v>-177.75</v>
      </c>
      <c r="G85" s="1">
        <v>62.28</v>
      </c>
      <c r="I85" s="10">
        <f>($C85*1000/$B$3)/$B82/$B$1</f>
        <v>6.5020540366569068E-2</v>
      </c>
      <c r="J85" s="10">
        <f>(ABS(($F85+0.1)*1000)/$C85)*($I85/$B81)</f>
        <v>9.4001456674161751E-2</v>
      </c>
      <c r="K85" s="10">
        <f>(ABS(($G85+0.1)*1000)/$C85)*($I85/IF(B80="",$B81,$B80))</f>
        <v>3.3007660384656405E-2</v>
      </c>
      <c r="N85" s="11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2">
        <v>186.38</v>
      </c>
      <c r="G86" s="1">
        <v>-79.650000000000006</v>
      </c>
      <c r="I86" s="10">
        <f>($C86*1000/$B$3)/$B82/$B$1</f>
        <v>7.2378211377288004E-2</v>
      </c>
      <c r="J86" s="10">
        <f>(ABS(($F86+0.1)*1000)/$C86)*($I86/$B81)</f>
        <v>9.8673749735984695E-2</v>
      </c>
      <c r="K86" s="10">
        <f>(ABS(($G86+0.1)*1000)/$C86)*($I86/IF(B80="",$B81,$B80))</f>
        <v>4.2092968637374432E-2</v>
      </c>
      <c r="N86" s="11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2">
        <v>-212.01</v>
      </c>
      <c r="I87" s="10">
        <f>($C87*1000/$B$3)/$B82/$B$1</f>
        <v>4.4283602077459024E-2</v>
      </c>
      <c r="J87" s="10">
        <f>(ABS(($F87+0.1)*1000)/$C87)*($I87/$B81)</f>
        <v>5.5612457621471425E-3</v>
      </c>
      <c r="K87" s="10">
        <f>(ABS(($G87+0.1)*1000)/$C87)*($I87/IF(B80="",$B81,$B80))</f>
        <v>0.11212974209862997</v>
      </c>
      <c r="M87" s="1">
        <v>0.02</v>
      </c>
      <c r="N87" s="11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2">
        <v>195.92</v>
      </c>
      <c r="I88" s="10">
        <f>($C88*1000/$B$3)/$B82/$B$1</f>
        <v>5.1641273088177959E-2</v>
      </c>
      <c r="J88" s="10">
        <f>(ABS(($F88+0.1)*1000)/$C88)*($I88/$B81)</f>
        <v>3.5028969500869728E-3</v>
      </c>
      <c r="K88" s="10">
        <f>(ABS(($G88+0.1)*1000)/$C88)*($I88/IF(B80="",$B81,$B80))</f>
        <v>0.10372173114139703</v>
      </c>
      <c r="N88" s="11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3"/>
      <c r="I89" s="10"/>
      <c r="J89" s="10"/>
      <c r="K89" s="10"/>
    </row>
    <row r="90" spans="1:17" x14ac:dyDescent="0.3">
      <c r="B90" s="1" t="s">
        <v>2</v>
      </c>
      <c r="C90" s="1" t="s">
        <v>3</v>
      </c>
      <c r="D90" s="1" t="s">
        <v>16</v>
      </c>
      <c r="E90" s="1" t="s">
        <v>17</v>
      </c>
      <c r="F90" s="1" t="s">
        <v>6</v>
      </c>
      <c r="G90" s="1" t="s">
        <v>7</v>
      </c>
    </row>
    <row r="91" spans="1:17" x14ac:dyDescent="0.3">
      <c r="A91" s="8"/>
      <c r="B91" s="9" t="s">
        <v>32</v>
      </c>
      <c r="C91" s="2">
        <v>-0.02</v>
      </c>
      <c r="D91" s="1">
        <v>-2.31</v>
      </c>
      <c r="E91" s="1">
        <v>0</v>
      </c>
      <c r="F91" s="1">
        <v>0</v>
      </c>
      <c r="G91" s="1">
        <v>0</v>
      </c>
      <c r="I91" s="10">
        <f>($C91*1000/$B$3)/$B94/$B$1</f>
        <v>-2.6996862862129078E-6</v>
      </c>
      <c r="J91" s="10">
        <f>(ABS(($F91+0.1)*1000)/$C91)*($I91/$B93)</f>
        <v>1.9283473472949342E-5</v>
      </c>
      <c r="K91" s="10">
        <f>(ABS(($G91+0.1)*1000)/$C91)*($I91/IF(B92="",$B93,$B92))</f>
        <v>1.9283473472949342E-5</v>
      </c>
      <c r="N91" s="11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3" t="s">
        <v>22</v>
      </c>
      <c r="C92" s="2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0">
        <f>($C92*1000/$B$3)/$B94/$B$1</f>
        <v>0.34131728763646868</v>
      </c>
      <c r="J92" s="10">
        <f>(ABS(($F92+0.1)*1000)/$C92)*($I92/$B93)</f>
        <v>1.9283473472949342E-5</v>
      </c>
      <c r="K92" s="10">
        <f>(ABS(($G92+0.1)*1000)/$C92)*($I92/IF(B92="",$B93,$B92))</f>
        <v>1.9283473472949342E-5</v>
      </c>
      <c r="N92" s="11">
        <f>O92/Q91</f>
        <v>0</v>
      </c>
      <c r="O92" s="1">
        <f>B94*M92</f>
        <v>0</v>
      </c>
      <c r="P92" s="1" t="str">
        <f>IF(Q91=490, "D25",IF(Q91=314,"D20","D16"))</f>
        <v>D25</v>
      </c>
      <c r="Q92" s="9" t="s">
        <v>23</v>
      </c>
    </row>
    <row r="93" spans="1:17" x14ac:dyDescent="0.3">
      <c r="A93" s="3" t="s">
        <v>24</v>
      </c>
      <c r="B93" s="5">
        <v>700</v>
      </c>
      <c r="C93" s="1">
        <v>560.98</v>
      </c>
      <c r="D93" s="2">
        <v>-571.91</v>
      </c>
      <c r="E93" s="1">
        <v>125.68</v>
      </c>
      <c r="F93" s="1">
        <v>20.420000000000002</v>
      </c>
      <c r="G93" s="1">
        <v>396.37</v>
      </c>
      <c r="I93" s="10">
        <f>($C93*1000/$B$3)/$B94/$B$1</f>
        <v>7.5723500641985853E-2</v>
      </c>
      <c r="J93" s="10">
        <f>(ABS(($F93+0.1)*1000)/$C93)*($I93/$B93)</f>
        <v>3.956968756649205E-3</v>
      </c>
      <c r="K93" s="10">
        <f>(ABS(($G93+0.1)*1000)/$C93)*($I93/IF(B92="",$B93,$B92))</f>
        <v>7.6453187278202245E-2</v>
      </c>
      <c r="N93" s="11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3" t="s">
        <v>25</v>
      </c>
      <c r="B94" s="12">
        <f>IF(B92="",(0.25*PI()*B93^2),B92*B93)</f>
        <v>384845.10006474965</v>
      </c>
      <c r="C94" s="1">
        <v>288.51</v>
      </c>
      <c r="D94" s="2">
        <v>238.02</v>
      </c>
      <c r="E94" s="1">
        <v>224.8</v>
      </c>
      <c r="F94" s="1">
        <v>103.27</v>
      </c>
      <c r="G94" s="1">
        <v>105.34</v>
      </c>
      <c r="I94" s="10">
        <f>($C94*1000/$B$3)/$B94/$B$1</f>
        <v>3.8944324521764308E-2</v>
      </c>
      <c r="J94" s="10">
        <f>(ABS(($F94+0.1)*1000)/$C94)*($I94/$B93)</f>
        <v>1.9933326528987737E-2</v>
      </c>
      <c r="K94" s="10">
        <f>(ABS(($G94+0.1)*1000)/$C94)*($I94/IF(B92="",$B93,$B92))</f>
        <v>2.0332494429877793E-2</v>
      </c>
      <c r="N94" s="11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2">
        <v>-253.7</v>
      </c>
      <c r="F95" s="1">
        <v>-617.57000000000005</v>
      </c>
      <c r="G95" s="1">
        <v>77.64</v>
      </c>
      <c r="I95" s="10">
        <f>($C95*1000/$B$3)/$B94/$B$1</f>
        <v>5.3156822975532161E-2</v>
      </c>
      <c r="J95" s="10">
        <f>(ABS(($F95+0.1)*1000)/$C95)*($I95/$B93)</f>
        <v>0.11906966365342031</v>
      </c>
      <c r="K95" s="10">
        <f>(ABS(($G95+0.1)*1000)/$C95)*($I95/IF(B92="",$B93,$B92))</f>
        <v>1.499097227787082E-2</v>
      </c>
      <c r="N95" s="11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2">
        <v>463.5</v>
      </c>
      <c r="F96" s="1">
        <v>416.28</v>
      </c>
      <c r="G96" s="1">
        <v>-24.54</v>
      </c>
      <c r="I96" s="10">
        <f>($C96*1000/$B$3)/$B94/$B$1</f>
        <v>4.9707973744895176E-2</v>
      </c>
      <c r="J96" s="10">
        <f>(ABS(($F96+0.1)*1000)/$C96)*($I96/$B93)</f>
        <v>8.029252684666649E-2</v>
      </c>
      <c r="K96" s="10">
        <f>(ABS(($G96+0.1)*1000)/$C96)*($I96/IF(B92="",$B93,$B92))</f>
        <v>4.7128809167888194E-3</v>
      </c>
      <c r="N96" s="11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2">
        <v>-617.57000000000005</v>
      </c>
      <c r="G97" s="1">
        <v>77.64</v>
      </c>
      <c r="I97" s="10">
        <f>($C97*1000/$B$3)/$B94/$B$1</f>
        <v>5.3156822975532161E-2</v>
      </c>
      <c r="J97" s="10">
        <f>(ABS(($F97+0.1)*1000)/$C97)*($I97/$B93)</f>
        <v>0.11906966365342031</v>
      </c>
      <c r="K97" s="10">
        <f>(ABS(($G97+0.1)*1000)/$C97)*($I97/IF(B92="",$B93,$B92))</f>
        <v>1.499097227787082E-2</v>
      </c>
      <c r="N97" s="11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2">
        <v>416.28</v>
      </c>
      <c r="G98" s="1">
        <v>-24.54</v>
      </c>
      <c r="I98" s="10">
        <f>($C98*1000/$B$3)/$B94/$B$1</f>
        <v>4.9707973744895176E-2</v>
      </c>
      <c r="J98" s="10">
        <f>(ABS(($F98+0.1)*1000)/$C98)*($I98/$B93)</f>
        <v>8.029252684666649E-2</v>
      </c>
      <c r="K98" s="10">
        <f>(ABS(($G98+0.1)*1000)/$C98)*($I98/IF(B92="",$B93,$B92))</f>
        <v>4.7128809167888194E-3</v>
      </c>
      <c r="N98" s="11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2">
        <v>-596.54999999999995</v>
      </c>
      <c r="I99" s="10">
        <f>($C99*1000/$B$3)/$B94/$B$1</f>
        <v>8.3251575851090567E-2</v>
      </c>
      <c r="J99" s="10">
        <f>(ABS(($F99+0.1)*1000)/$C99)*($I99/$B93)</f>
        <v>2.1117331800226825E-2</v>
      </c>
      <c r="K99" s="10">
        <f>(ABS(($G99+0.1)*1000)/$C99)*($I99/IF(B92="",$B93,$B92))</f>
        <v>0.11501627752940635</v>
      </c>
      <c r="N99" s="11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2">
        <v>602.20000000000005</v>
      </c>
      <c r="I100" s="10">
        <f>($C100*1000/$B$3)/$B94/$B$1</f>
        <v>4.4934928390870758E-2</v>
      </c>
      <c r="J100" s="10">
        <f>(ABS(($F100+0.1)*1000)/$C100)*($I100/$B93)</f>
        <v>3.5666712535567115E-2</v>
      </c>
      <c r="K100" s="10">
        <f>(ABS(($G100+0.1)*1000)/$C100)*($I100/IF(B92="",$B93,$B92))</f>
        <v>0.11614436072757395</v>
      </c>
      <c r="M100" s="1">
        <v>2.5000000000000001E-2</v>
      </c>
      <c r="N100" s="11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2</v>
      </c>
      <c r="C102" s="1" t="s">
        <v>3</v>
      </c>
      <c r="D102" s="1" t="s">
        <v>16</v>
      </c>
      <c r="E102" s="1" t="s">
        <v>17</v>
      </c>
      <c r="F102" s="1" t="s">
        <v>6</v>
      </c>
      <c r="G102" s="1" t="s">
        <v>7</v>
      </c>
    </row>
    <row r="103" spans="1:17" x14ac:dyDescent="0.3">
      <c r="A103" s="8"/>
      <c r="B103" s="9" t="s">
        <v>33</v>
      </c>
      <c r="C103" s="2">
        <v>-48.25</v>
      </c>
      <c r="D103" s="1">
        <v>6.04</v>
      </c>
      <c r="E103" s="1">
        <v>0</v>
      </c>
      <c r="F103" s="1">
        <v>-114.65</v>
      </c>
      <c r="G103" s="1">
        <v>0</v>
      </c>
      <c r="I103" s="10">
        <f>($C103*1000/$B$3)/$B106/$B$1</f>
        <v>-8.8649073641373175E-3</v>
      </c>
      <c r="J103" s="10">
        <f>(ABS(($F103+0.1)*1000)/$C103)*($I103/$B105)</f>
        <v>3.507686143564525E-2</v>
      </c>
      <c r="K103" s="10">
        <f>(ABS(($G103+0.1)*1000)/$C103)*($I103/IF(B104="",$B105,$B104))</f>
        <v>3.0621441672322336E-5</v>
      </c>
      <c r="N103" s="11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3" t="s">
        <v>22</v>
      </c>
      <c r="C104" s="2">
        <v>2448.1</v>
      </c>
      <c r="D104" s="1">
        <v>0</v>
      </c>
      <c r="E104" s="1">
        <v>-37.01</v>
      </c>
      <c r="F104" s="1">
        <v>0</v>
      </c>
      <c r="G104" s="1">
        <v>0</v>
      </c>
      <c r="I104" s="10">
        <f>($C104*1000/$B$3)/$B106/$B$1</f>
        <v>0.44978610814807385</v>
      </c>
      <c r="J104" s="10">
        <f>(ABS(($F104+0.1)*1000)/$C104)*($I104/$B105)</f>
        <v>3.0621441672322336E-5</v>
      </c>
      <c r="K104" s="10">
        <f>(ABS(($G104+0.1)*1000)/$C104)*($I104/IF(B104="",$B105,$B104))</f>
        <v>3.0621441672322336E-5</v>
      </c>
      <c r="N104" s="11">
        <f>O104/Q103</f>
        <v>0</v>
      </c>
      <c r="O104" s="1">
        <f>B106*M104</f>
        <v>0</v>
      </c>
      <c r="P104" s="1" t="str">
        <f>IF(Q103=490, "D25",IF(Q103=314,"D20","D16"))</f>
        <v>D20</v>
      </c>
      <c r="Q104" s="9" t="s">
        <v>23</v>
      </c>
    </row>
    <row r="105" spans="1:17" x14ac:dyDescent="0.3">
      <c r="A105" s="3" t="s">
        <v>24</v>
      </c>
      <c r="B105" s="5">
        <v>600</v>
      </c>
      <c r="C105" s="1">
        <v>150.47999999999999</v>
      </c>
      <c r="D105" s="2">
        <v>-214.7</v>
      </c>
      <c r="E105" s="1">
        <v>96.54</v>
      </c>
      <c r="F105" s="1">
        <v>67.290000000000006</v>
      </c>
      <c r="G105" s="1">
        <v>53.95</v>
      </c>
      <c r="I105" s="10">
        <f>($C105*1000/$B$3)/$B106/$B$1</f>
        <v>2.764748725710639E-2</v>
      </c>
      <c r="J105" s="10">
        <f>(ABS(($F105+0.1)*1000)/$C105)*($I105/$B105)</f>
        <v>2.0635789542978022E-2</v>
      </c>
      <c r="K105" s="10">
        <f>(ABS(($G105+0.1)*1000)/$C105)*($I105/IF(B104="",$B105,$B104))</f>
        <v>1.6550889223890225E-2</v>
      </c>
      <c r="N105" s="11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3" t="s">
        <v>25</v>
      </c>
      <c r="B106" s="12">
        <f>IF(B104="",(0.25*PI()*B105^2),B104*B105)</f>
        <v>282743.3388230814</v>
      </c>
      <c r="C106" s="1">
        <v>1094.06</v>
      </c>
      <c r="D106" s="2">
        <v>314.06</v>
      </c>
      <c r="E106" s="1">
        <v>-126.82</v>
      </c>
      <c r="F106" s="1">
        <v>-126.38</v>
      </c>
      <c r="G106" s="1">
        <v>-276.13</v>
      </c>
      <c r="I106" s="10">
        <f>($C106*1000/$B$3)/$B106/$B$1</f>
        <v>0.20101016685612585</v>
      </c>
      <c r="J106" s="10">
        <f>(ABS(($F106+0.1)*1000)/$C106)*($I106/$B105)</f>
        <v>3.8668756543808649E-2</v>
      </c>
      <c r="K106" s="10">
        <f>(ABS(($G106+0.1)*1000)/$C106)*($I106/IF(B104="",$B105,$B104))</f>
        <v>8.4524365448111358E-2</v>
      </c>
      <c r="N106" s="11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2">
        <v>-446.44</v>
      </c>
      <c r="F107" s="1">
        <v>-370.98</v>
      </c>
      <c r="G107" s="1">
        <v>-214.86</v>
      </c>
      <c r="I107" s="10">
        <f>($C107*1000/$B$3)/$B106/$B$1</f>
        <v>0.2433632952619483</v>
      </c>
      <c r="J107" s="10">
        <f>(ABS(($F107+0.1)*1000)/$C107)*($I107/$B105)</f>
        <v>0.11356880287430908</v>
      </c>
      <c r="K107" s="10">
        <f>(ABS(($G107+0.1)*1000)/$C107)*($I107/IF(B104="",$B105,$B104))</f>
        <v>6.5762608135479447E-2</v>
      </c>
      <c r="N107" s="11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2">
        <v>530.16</v>
      </c>
      <c r="F108" s="1">
        <v>262.39</v>
      </c>
      <c r="G108" s="1">
        <v>-134.09</v>
      </c>
      <c r="I108" s="10">
        <f>($C108*1000/$B$3)/$B106/$B$1</f>
        <v>0.19678073333234467</v>
      </c>
      <c r="J108" s="10">
        <f>(ABS(($F108+0.1)*1000)/$C108)*($I108/$B105)</f>
        <v>8.0378222245678893E-2</v>
      </c>
      <c r="K108" s="10">
        <f>(ABS(($G108+0.1)*1000)/$C108)*($I108/IF(B104="",$B105,$B104))</f>
        <v>4.1029669696744694E-2</v>
      </c>
      <c r="N108" s="11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2">
        <v>-370.98</v>
      </c>
      <c r="G109" s="1">
        <v>-214.86</v>
      </c>
      <c r="I109" s="10">
        <f>($C109*1000/$B$3)/$B106/$B$1</f>
        <v>0.2433632952619483</v>
      </c>
      <c r="J109" s="10">
        <f>(ABS(($F109+0.1)*1000)/$C109)*($I109/$B105)</f>
        <v>0.11356880287430908</v>
      </c>
      <c r="K109" s="10">
        <f>(ABS(($G109+0.1)*1000)/$C109)*($I109/IF(B104="",$B105,$B104))</f>
        <v>6.5762608135479447E-2</v>
      </c>
      <c r="N109" s="11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2">
        <v>302.17</v>
      </c>
      <c r="G110" s="1">
        <v>-36.58</v>
      </c>
      <c r="I110" s="10">
        <f>($C110*1000/$B$3)/$B106/$B$1</f>
        <v>1.052397707394374E-2</v>
      </c>
      <c r="J110" s="10">
        <f>(ABS(($F110+0.1)*1000)/$C110)*($I110/$B105)</f>
        <v>9.2559431742928744E-2</v>
      </c>
      <c r="K110" s="10">
        <f>(ABS(($G110+0.1)*1000)/$C110)*($I110/IF(B104="",$B105,$B104))</f>
        <v>1.1170701922063188E-2</v>
      </c>
      <c r="N110" s="11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2">
        <v>-345.19</v>
      </c>
      <c r="I111" s="10">
        <f>($C111*1000/$B$3)/$B106/$B$1</f>
        <v>1.7364194714707102E-2</v>
      </c>
      <c r="J111" s="10">
        <f>(ABS(($F111+0.1)*1000)/$C111)*($I111/$B105)</f>
        <v>2.21821723474303E-2</v>
      </c>
      <c r="K111" s="10">
        <f>(ABS(($G111+0.1)*1000)/$C111)*($I111/IF(B104="",$B105,$B104))</f>
        <v>0.10567153306701713</v>
      </c>
      <c r="M111" s="1">
        <v>0.02</v>
      </c>
      <c r="N111" s="11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2">
        <v>324.94</v>
      </c>
      <c r="I112" s="10">
        <f>($C112*1000/$B$3)/$B106/$B$1</f>
        <v>1.5740033448407128E-2</v>
      </c>
      <c r="J112" s="10">
        <f>(ABS(($F112+0.1)*1000)/$C112)*($I112/$B105)</f>
        <v>8.7607944624514197E-3</v>
      </c>
      <c r="K112" s="10">
        <f>(ABS(($G112+0.1)*1000)/$C112)*($I112/IF(B104="",$B105,$B104))</f>
        <v>9.9531934011716519E-2</v>
      </c>
      <c r="N112" s="11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6" t="s">
        <v>2</v>
      </c>
      <c r="C114" s="1" t="s">
        <v>3</v>
      </c>
      <c r="D114" s="1" t="s">
        <v>16</v>
      </c>
      <c r="E114" s="1" t="s">
        <v>17</v>
      </c>
      <c r="F114" s="1" t="s">
        <v>6</v>
      </c>
      <c r="G114" s="1" t="s">
        <v>7</v>
      </c>
    </row>
    <row r="115" spans="1:11" x14ac:dyDescent="0.3">
      <c r="A115" s="17"/>
      <c r="B115" s="15" t="s">
        <v>34</v>
      </c>
      <c r="C115" s="2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0">
        <f>($C115*1000/$B$3)/$B118/$B$1</f>
        <v>8.5454545454545453E-3</v>
      </c>
      <c r="J115" s="10">
        <f>(ABS(($F115+0.1)*1000)/$C115)*($I115/$B117)</f>
        <v>1.7307900432900435E-2</v>
      </c>
      <c r="K115" s="10">
        <f>(ABS(($G115+0.1)*1000)/$C115)*($I115/IF(B116="",$B117,$B116))</f>
        <v>1.8037518037518038E-5</v>
      </c>
    </row>
    <row r="116" spans="1:11" x14ac:dyDescent="0.3">
      <c r="A116" s="3" t="s">
        <v>22</v>
      </c>
      <c r="B116" s="18">
        <v>600</v>
      </c>
      <c r="C116" s="2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0">
        <f>($C116*1000/$B$3)/$B118/$B$1</f>
        <v>0.54663311688311689</v>
      </c>
      <c r="J116" s="10">
        <f>(ABS(($F116+0.1)*1000)/$C116)*($I116/$B117)</f>
        <v>1.3528138528138528E-5</v>
      </c>
      <c r="K116" s="10">
        <f>(ABS(($G116+0.1)*1000)/$C116)*($I116/IF(B116="",$B117,$B116))</f>
        <v>1.8037518037518038E-5</v>
      </c>
    </row>
    <row r="117" spans="1:11" x14ac:dyDescent="0.3">
      <c r="A117" s="3" t="s">
        <v>24</v>
      </c>
      <c r="B117" s="18">
        <v>800</v>
      </c>
      <c r="C117" s="1">
        <v>1449.27</v>
      </c>
      <c r="D117" s="2">
        <v>-215.59</v>
      </c>
      <c r="E117" s="1">
        <v>-166.74</v>
      </c>
      <c r="F117" s="1">
        <v>-340.77</v>
      </c>
      <c r="G117" s="1">
        <v>-333.6</v>
      </c>
      <c r="I117" s="10">
        <f>($C117*1000/$B$3)/$B118/$B$1</f>
        <v>0.1568474025974026</v>
      </c>
      <c r="J117" s="10">
        <f>(ABS(($F117+0.1)*1000)/$C117)*($I117/$B117)</f>
        <v>4.6086309523809516E-2</v>
      </c>
      <c r="K117" s="10">
        <f>(ABS(($G117+0.1)*1000)/$C117)*($I117/IF(B116="",$B117,$B116))</f>
        <v>6.0155122655122656E-2</v>
      </c>
    </row>
    <row r="118" spans="1:11" x14ac:dyDescent="0.3">
      <c r="A118" s="3" t="s">
        <v>25</v>
      </c>
      <c r="B118" s="19">
        <f>IF(B116="",(0.25*PI()*B117^2),B116*B117)</f>
        <v>480000</v>
      </c>
      <c r="C118" s="1">
        <v>2066.16</v>
      </c>
      <c r="D118" s="2">
        <v>163.29</v>
      </c>
      <c r="E118" s="1">
        <v>74.14</v>
      </c>
      <c r="F118" s="1">
        <v>159.13999999999999</v>
      </c>
      <c r="G118" s="1">
        <v>435.96</v>
      </c>
      <c r="I118" s="10">
        <f>($C118*1000/$B$3)/$B118/$B$1</f>
        <v>0.22361038961038959</v>
      </c>
      <c r="J118" s="10">
        <f>(ABS(($F118+0.1)*1000)/$C118)*($I118/$B117)</f>
        <v>2.154220779220779E-2</v>
      </c>
      <c r="K118" s="10">
        <f>(ABS(($G118+0.1)*1000)/$C118)*($I118/IF(B116="",$B117,$B116))</f>
        <v>7.8654401154401157E-2</v>
      </c>
    </row>
    <row r="119" spans="1:11" x14ac:dyDescent="0.3">
      <c r="B119" s="16"/>
      <c r="C119" s="1">
        <v>778.66</v>
      </c>
      <c r="D119" s="1">
        <v>-204.85</v>
      </c>
      <c r="E119" s="2">
        <v>-179.64</v>
      </c>
      <c r="F119" s="1">
        <v>-337.69</v>
      </c>
      <c r="G119" s="1">
        <v>-307.56</v>
      </c>
      <c r="I119" s="10">
        <f>($C119*1000/$B$3)/$B118/$B$1</f>
        <v>8.4270562770562774E-2</v>
      </c>
      <c r="J119" s="10">
        <f>(ABS(($F119+0.1)*1000)/$C119)*($I119/$B117)</f>
        <v>4.566964285714286E-2</v>
      </c>
      <c r="K119" s="10">
        <f>(ABS(($G119+0.1)*1000)/$C119)*($I119/IF(B116="",$B117,$B116))</f>
        <v>5.5458152958152956E-2</v>
      </c>
    </row>
    <row r="120" spans="1:11" x14ac:dyDescent="0.3">
      <c r="B120" s="16"/>
      <c r="C120" s="1">
        <v>976.82</v>
      </c>
      <c r="D120" s="1">
        <v>92.11</v>
      </c>
      <c r="E120" s="2">
        <v>98.31</v>
      </c>
      <c r="F120" s="1">
        <v>196.9</v>
      </c>
      <c r="G120" s="1">
        <v>239.98</v>
      </c>
      <c r="I120" s="10">
        <f>($C120*1000/$B$3)/$B118/$B$1</f>
        <v>0.10571645021645022</v>
      </c>
      <c r="J120" s="10">
        <f>(ABS(($F120+0.1)*1000)/$C120)*($I120/$B117)</f>
        <v>2.6650432900432904E-2</v>
      </c>
      <c r="K120" s="10">
        <f>(ABS(($G120+0.1)*1000)/$C120)*($I120/IF(B116="",$B117,$B116))</f>
        <v>4.3304473304473304E-2</v>
      </c>
    </row>
    <row r="121" spans="1:11" x14ac:dyDescent="0.3">
      <c r="B121" s="16"/>
      <c r="C121" s="1">
        <v>2132.27</v>
      </c>
      <c r="D121" s="1">
        <v>-145.62</v>
      </c>
      <c r="E121" s="1">
        <v>-128.81</v>
      </c>
      <c r="F121" s="2">
        <v>-343.44</v>
      </c>
      <c r="G121" s="1">
        <v>-278.19</v>
      </c>
      <c r="I121" s="10">
        <f>($C121*1000/$B$3)/$B118/$B$1</f>
        <v>0.23076515151515151</v>
      </c>
      <c r="J121" s="10">
        <f>(ABS(($F121+0.1)*1000)/$C121)*($I121/$B117)</f>
        <v>4.6447510822510828E-2</v>
      </c>
      <c r="K121" s="10">
        <f>(ABS(($G121+0.1)*1000)/$C121)*($I121/IF(B116="",$B117,$B116))</f>
        <v>5.0160533910533905E-2</v>
      </c>
    </row>
    <row r="122" spans="1:11" x14ac:dyDescent="0.3">
      <c r="B122" s="16"/>
      <c r="C122" s="1">
        <v>1249.01</v>
      </c>
      <c r="D122" s="1">
        <v>116.44</v>
      </c>
      <c r="E122" s="1">
        <v>-0.51</v>
      </c>
      <c r="F122" s="2">
        <v>401.15</v>
      </c>
      <c r="G122" s="1">
        <v>254.8</v>
      </c>
      <c r="I122" s="10">
        <f>($C122*1000/$B$3)/$B118/$B$1</f>
        <v>0.13517424242424242</v>
      </c>
      <c r="J122" s="10">
        <f>(ABS(($F122+0.1)*1000)/$C122)*($I122/$B117)</f>
        <v>5.4281655844155841E-2</v>
      </c>
      <c r="K122" s="10">
        <f>(ABS(($G122+0.1)*1000)/$C122)*($I122/IF(B116="",$B117,$B116))</f>
        <v>4.5977633477633478E-2</v>
      </c>
    </row>
    <row r="123" spans="1:11" x14ac:dyDescent="0.3">
      <c r="B123" s="16"/>
      <c r="C123" s="1">
        <v>1408.47</v>
      </c>
      <c r="D123" s="1">
        <v>-215.59</v>
      </c>
      <c r="E123" s="1">
        <v>-166.74</v>
      </c>
      <c r="F123" s="1">
        <v>-137.57</v>
      </c>
      <c r="G123" s="2">
        <v>-426.6</v>
      </c>
      <c r="I123" s="10">
        <f>($C123*1000/$B$3)/$B118/$B$1</f>
        <v>0.1524318181818182</v>
      </c>
      <c r="J123" s="10">
        <f>(ABS(($F123+0.1)*1000)/$C123)*($I123/$B117)</f>
        <v>1.8597132034632036E-2</v>
      </c>
      <c r="K123" s="10">
        <f>(ABS(($G123+0.1)*1000)/$C123)*($I123/IF(B116="",$B117,$B116))</f>
        <v>7.6930014430014446E-2</v>
      </c>
    </row>
    <row r="124" spans="1:11" x14ac:dyDescent="0.3">
      <c r="B124" s="16"/>
      <c r="C124" s="1">
        <v>2066.16</v>
      </c>
      <c r="D124" s="1">
        <v>163.29</v>
      </c>
      <c r="E124" s="1">
        <v>74.14</v>
      </c>
      <c r="F124" s="1">
        <v>159.13999999999999</v>
      </c>
      <c r="G124" s="2">
        <v>435.96</v>
      </c>
      <c r="I124" s="10">
        <f>($C124*1000/$B$3)/$B118/$B$1</f>
        <v>0.22361038961038959</v>
      </c>
      <c r="J124" s="10">
        <f>(ABS(($F124+0.1)*1000)/$C124)*($I124/$B117)</f>
        <v>2.154220779220779E-2</v>
      </c>
      <c r="K124" s="10">
        <f>(ABS(($G124+0.1)*1000)/$C124)*($I124/IF(B116="",$B117,$B116))</f>
        <v>7.8654401154401157E-2</v>
      </c>
    </row>
    <row r="125" spans="1:11" x14ac:dyDescent="0.3">
      <c r="B125" s="16"/>
    </row>
    <row r="126" spans="1:11" x14ac:dyDescent="0.3">
      <c r="B126" s="16" t="s">
        <v>2</v>
      </c>
      <c r="C126" s="1" t="s">
        <v>3</v>
      </c>
      <c r="D126" s="1" t="s">
        <v>16</v>
      </c>
      <c r="E126" s="1" t="s">
        <v>17</v>
      </c>
      <c r="F126" s="1" t="s">
        <v>6</v>
      </c>
      <c r="G126" s="1" t="s">
        <v>7</v>
      </c>
    </row>
    <row r="127" spans="1:11" x14ac:dyDescent="0.3">
      <c r="A127" s="17"/>
      <c r="B127" s="15" t="s">
        <v>35</v>
      </c>
      <c r="C127" s="2">
        <v>60.84</v>
      </c>
      <c r="D127" s="1">
        <v>-50.22</v>
      </c>
      <c r="E127" s="1">
        <v>0</v>
      </c>
      <c r="F127" s="1">
        <v>-92.82</v>
      </c>
      <c r="G127" s="1">
        <v>0</v>
      </c>
      <c r="I127" s="10">
        <f>($C127*1000/$B$3)/$B130/$B$1</f>
        <v>6.5844155844155859E-3</v>
      </c>
      <c r="J127" s="10">
        <f>(ABS(($F127+0.1)*1000)/$C127)*($I127/$B129)</f>
        <v>1.2543290043290046E-2</v>
      </c>
      <c r="K127" s="10">
        <f>(ABS(($G127+0.1)*1000)/$C127)*($I127/IF(B128="",$B129,$B128))</f>
        <v>1.8037518037518041E-5</v>
      </c>
    </row>
    <row r="128" spans="1:11" x14ac:dyDescent="0.3">
      <c r="A128" s="3" t="s">
        <v>22</v>
      </c>
      <c r="B128" s="18">
        <v>600</v>
      </c>
      <c r="C128" s="2">
        <v>3991.53</v>
      </c>
      <c r="D128" s="1">
        <v>0</v>
      </c>
      <c r="E128" s="1">
        <v>2.06</v>
      </c>
      <c r="F128" s="1">
        <v>0</v>
      </c>
      <c r="G128" s="1">
        <v>0</v>
      </c>
      <c r="I128" s="10">
        <f>($C128*1000/$B$3)/$B130/$B$1</f>
        <v>0.43198376623376622</v>
      </c>
      <c r="J128" s="10">
        <f>(ABS(($F128+0.1)*1000)/$C128)*($I128/$B129)</f>
        <v>1.3528138528138526E-5</v>
      </c>
      <c r="K128" s="10">
        <f>(ABS(($G128+0.1)*1000)/$C128)*($I128/IF(B128="",$B129,$B128))</f>
        <v>1.8037518037518034E-5</v>
      </c>
    </row>
    <row r="129" spans="1:11" x14ac:dyDescent="0.3">
      <c r="A129" s="3" t="s">
        <v>24</v>
      </c>
      <c r="B129" s="18">
        <v>800</v>
      </c>
      <c r="C129" s="1">
        <v>960.44</v>
      </c>
      <c r="D129" s="2">
        <v>-127.82</v>
      </c>
      <c r="E129" s="1">
        <v>-75.83</v>
      </c>
      <c r="F129" s="1">
        <v>-157.97999999999999</v>
      </c>
      <c r="G129" s="1">
        <v>-206.47</v>
      </c>
      <c r="I129" s="10">
        <f>($C129*1000/$B$3)/$B130/$B$1</f>
        <v>0.10394372294372295</v>
      </c>
      <c r="J129" s="10">
        <f>(ABS(($F129+0.1)*1000)/$C129)*($I129/$B129)</f>
        <v>2.1358225108225107E-2</v>
      </c>
      <c r="K129" s="10">
        <f>(ABS(($G129+0.1)*1000)/$C129)*($I129/IF(B128="",$B129,$B128))</f>
        <v>3.7224025974025979E-2</v>
      </c>
    </row>
    <row r="130" spans="1:11" x14ac:dyDescent="0.3">
      <c r="A130" s="3" t="s">
        <v>25</v>
      </c>
      <c r="B130" s="19">
        <f>IF(B128="",(0.25*PI()*B129^2),B128*B129)</f>
        <v>480000</v>
      </c>
      <c r="C130" s="1">
        <v>1641.16</v>
      </c>
      <c r="D130" s="2">
        <v>117.88</v>
      </c>
      <c r="E130" s="1">
        <v>40.299999999999997</v>
      </c>
      <c r="F130" s="1">
        <v>78.489999999999995</v>
      </c>
      <c r="G130" s="1">
        <v>223.17</v>
      </c>
      <c r="I130" s="10">
        <f>($C130*1000/$B$3)/$B130/$B$1</f>
        <v>0.17761471861471864</v>
      </c>
      <c r="J130" s="10">
        <f>(ABS(($F130+0.1)*1000)/$C130)*($I130/$B129)</f>
        <v>1.0631764069264069E-2</v>
      </c>
      <c r="K130" s="10">
        <f>(ABS(($G130+0.1)*1000)/$C130)*($I130/IF(B128="",$B129,$B128))</f>
        <v>4.0272366522366522E-2</v>
      </c>
    </row>
    <row r="131" spans="1:11" x14ac:dyDescent="0.3">
      <c r="B131" s="16"/>
      <c r="C131" s="1">
        <v>530.76</v>
      </c>
      <c r="D131" s="1">
        <v>-94.73</v>
      </c>
      <c r="E131" s="2">
        <v>-97.42</v>
      </c>
      <c r="F131" s="1">
        <v>-145.72999999999999</v>
      </c>
      <c r="G131" s="1">
        <v>-202.73</v>
      </c>
      <c r="I131" s="10">
        <f>($C131*1000/$B$3)/$B130/$B$1</f>
        <v>5.7441558441558446E-2</v>
      </c>
      <c r="J131" s="10">
        <f>(ABS(($F131+0.1)*1000)/$C131)*($I131/$B129)</f>
        <v>1.9701028138528143E-2</v>
      </c>
      <c r="K131" s="10">
        <f>(ABS(($G131+0.1)*1000)/$C131)*($I131/IF(B128="",$B129,$B128))</f>
        <v>3.6549422799422804E-2</v>
      </c>
    </row>
    <row r="132" spans="1:11" x14ac:dyDescent="0.3">
      <c r="B132" s="16"/>
      <c r="C132" s="1">
        <v>185.46</v>
      </c>
      <c r="D132" s="1">
        <v>46.26</v>
      </c>
      <c r="E132" s="2">
        <v>102.17</v>
      </c>
      <c r="F132" s="1">
        <v>317.52</v>
      </c>
      <c r="G132" s="1">
        <v>114.04</v>
      </c>
      <c r="I132" s="10">
        <f>($C132*1000/$B$3)/$B130/$B$1</f>
        <v>2.0071428571428573E-2</v>
      </c>
      <c r="J132" s="10">
        <f>(ABS(($F132+0.1)*1000)/$C132)*($I132/$B129)</f>
        <v>4.2968073593073593E-2</v>
      </c>
      <c r="K132" s="10">
        <f>(ABS(($G132+0.1)*1000)/$C132)*($I132/IF(B128="",$B129,$B128))</f>
        <v>2.0588023088023086E-2</v>
      </c>
    </row>
    <row r="133" spans="1:11" x14ac:dyDescent="0.3">
      <c r="B133" s="16"/>
      <c r="C133" s="1">
        <v>1489.73</v>
      </c>
      <c r="D133" s="1">
        <v>-71.45</v>
      </c>
      <c r="E133" s="1">
        <v>-67.989999999999995</v>
      </c>
      <c r="F133" s="2">
        <v>-196.15</v>
      </c>
      <c r="G133" s="1">
        <v>-191.68</v>
      </c>
      <c r="I133" s="10">
        <f>($C133*1000/$B$3)/$B130/$B$1</f>
        <v>0.1612261904761905</v>
      </c>
      <c r="J133" s="10">
        <f>(ABS(($F133+0.1)*1000)/$C133)*($I133/$B129)</f>
        <v>2.6521915584415589E-2</v>
      </c>
      <c r="K133" s="10">
        <f>(ABS(($G133+0.1)*1000)/$C133)*($I133/IF(B128="",$B129,$B128))</f>
        <v>3.4556277056277063E-2</v>
      </c>
    </row>
    <row r="134" spans="1:11" x14ac:dyDescent="0.3">
      <c r="B134" s="16"/>
      <c r="C134" s="1">
        <v>185.46</v>
      </c>
      <c r="D134" s="1">
        <v>46.26</v>
      </c>
      <c r="E134" s="1">
        <v>102.17</v>
      </c>
      <c r="F134" s="2">
        <v>317.52</v>
      </c>
      <c r="G134" s="1">
        <v>114.04</v>
      </c>
      <c r="I134" s="10">
        <f>($C134*1000/$B$3)/$B130/$B$1</f>
        <v>2.0071428571428573E-2</v>
      </c>
      <c r="J134" s="10">
        <f>(ABS(($F134+0.1)*1000)/$C134)*($I134/$B129)</f>
        <v>4.2968073593073593E-2</v>
      </c>
      <c r="K134" s="10">
        <f>(ABS(($G134+0.1)*1000)/$C134)*($I134/IF(B128="",$B129,$B128))</f>
        <v>2.0588023088023086E-2</v>
      </c>
    </row>
    <row r="135" spans="1:11" x14ac:dyDescent="0.3">
      <c r="B135" s="16"/>
      <c r="C135" s="1">
        <v>500.73</v>
      </c>
      <c r="D135" s="1">
        <v>-119.84</v>
      </c>
      <c r="E135" s="1">
        <v>-88.83</v>
      </c>
      <c r="F135" s="1">
        <v>-105.72</v>
      </c>
      <c r="G135" s="2">
        <v>-259.79000000000002</v>
      </c>
      <c r="I135" s="10">
        <f>($C135*1000/$B$3)/$B130/$B$1</f>
        <v>5.4191558441558443E-2</v>
      </c>
      <c r="J135" s="10">
        <f>(ABS(($F135+0.1)*1000)/$C135)*($I135/$B129)</f>
        <v>1.4288419913419913E-2</v>
      </c>
      <c r="K135" s="10">
        <f>(ABS(($G135+0.1)*1000)/$C135)*($I135/IF(B128="",$B129,$B128))</f>
        <v>4.6841630591630587E-2</v>
      </c>
    </row>
    <row r="136" spans="1:11" x14ac:dyDescent="0.3">
      <c r="B136" s="16"/>
      <c r="C136" s="1">
        <v>1692.43</v>
      </c>
      <c r="D136" s="1">
        <v>99.99</v>
      </c>
      <c r="E136" s="1">
        <v>25.85</v>
      </c>
      <c r="F136" s="1">
        <v>60.7</v>
      </c>
      <c r="G136" s="2">
        <v>257.92</v>
      </c>
      <c r="I136" s="10">
        <f>($C136*1000/$B$3)/$B130/$B$1</f>
        <v>0.18316341991341994</v>
      </c>
      <c r="J136" s="10">
        <f>(ABS(($F136+0.1)*1000)/$C136)*($I136/$B129)</f>
        <v>8.225108225108229E-3</v>
      </c>
      <c r="K136" s="10">
        <f>(ABS(($G136+0.1)*1000)/$C136)*($I136/IF(B128="",$B129,$B128))</f>
        <v>4.6540404040404056E-2</v>
      </c>
    </row>
    <row r="137" spans="1:11" x14ac:dyDescent="0.3">
      <c r="B137" s="16"/>
    </row>
    <row r="138" spans="1:11" x14ac:dyDescent="0.3">
      <c r="B138" s="16" t="s">
        <v>2</v>
      </c>
      <c r="C138" s="1" t="s">
        <v>3</v>
      </c>
      <c r="D138" s="1" t="s">
        <v>16</v>
      </c>
      <c r="E138" s="1" t="s">
        <v>17</v>
      </c>
      <c r="F138" s="1" t="s">
        <v>6</v>
      </c>
      <c r="G138" s="1" t="s">
        <v>7</v>
      </c>
    </row>
    <row r="139" spans="1:11" x14ac:dyDescent="0.3">
      <c r="A139" s="17"/>
      <c r="B139" s="15" t="s">
        <v>36</v>
      </c>
      <c r="C139" s="2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0">
        <f>($C139*1000/$B$3)/$B142/$B$1</f>
        <v>-0.36059848484848483</v>
      </c>
      <c r="J139" s="10">
        <f>(ABS(($F139+0.1)*1000)/$C139)*($I139/$B141)</f>
        <v>6.0917207792207792E-3</v>
      </c>
      <c r="K139" s="10">
        <f>(ABS(($G139+0.1)*1000)/$C139)*($I139/IF(B140="",$B141,$B140))</f>
        <v>1.8037518037518041E-5</v>
      </c>
    </row>
    <row r="140" spans="1:11" x14ac:dyDescent="0.3">
      <c r="A140" s="3" t="s">
        <v>22</v>
      </c>
      <c r="B140" s="18">
        <v>600</v>
      </c>
      <c r="C140" s="2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0">
        <f>($C140*1000/$B$3)/$B142/$B$1</f>
        <v>0.48651406926406926</v>
      </c>
      <c r="J140" s="10">
        <f>(ABS(($F140+0.1)*1000)/$C140)*($I140/$B141)</f>
        <v>1.3528138528138526E-5</v>
      </c>
      <c r="K140" s="10">
        <f>(ABS(($G140+0.1)*1000)/$C140)*($I140/IF(B140="",$B141,$B140))</f>
        <v>7.2456709956709954E-3</v>
      </c>
    </row>
    <row r="141" spans="1:11" x14ac:dyDescent="0.3">
      <c r="A141" s="3" t="s">
        <v>24</v>
      </c>
      <c r="B141" s="18">
        <v>800</v>
      </c>
      <c r="C141" s="1">
        <v>-247.45</v>
      </c>
      <c r="D141" s="2">
        <v>-497.84</v>
      </c>
      <c r="E141" s="1">
        <v>-27.68</v>
      </c>
      <c r="F141" s="1">
        <v>-160.19999999999999</v>
      </c>
      <c r="G141" s="1">
        <v>-241.58</v>
      </c>
      <c r="I141" s="10">
        <f>($C141*1000/$B$3)/$B142/$B$1</f>
        <v>-2.6780303030303029E-2</v>
      </c>
      <c r="J141" s="10">
        <f>(ABS(($F141+0.1)*1000)/$C141)*($I141/$B141)</f>
        <v>2.1658549783549787E-2</v>
      </c>
      <c r="K141" s="10">
        <f>(ABS(($G141+0.1)*1000)/$C141)*($I141/IF(B140="",$B141,$B140))</f>
        <v>4.3556998556998565E-2</v>
      </c>
    </row>
    <row r="142" spans="1:11" x14ac:dyDescent="0.3">
      <c r="A142" s="3" t="s">
        <v>25</v>
      </c>
      <c r="B142" s="19">
        <f>IF(B140="",(0.25*PI()*B141^2),B140*B141)</f>
        <v>480000</v>
      </c>
      <c r="C142" s="1">
        <v>1229.5</v>
      </c>
      <c r="D142" s="2">
        <v>336.25</v>
      </c>
      <c r="E142" s="1">
        <v>19.47</v>
      </c>
      <c r="F142" s="1">
        <v>26.52</v>
      </c>
      <c r="G142" s="1">
        <v>-39.68</v>
      </c>
      <c r="I142" s="10">
        <f>($C142*1000/$B$3)/$B142/$B$1</f>
        <v>0.13306277056277058</v>
      </c>
      <c r="J142" s="10">
        <f>(ABS(($F142+0.1)*1000)/$C142)*($I142/$B141)</f>
        <v>3.6011904761904766E-3</v>
      </c>
      <c r="K142" s="10">
        <f>(ABS(($G142+0.1)*1000)/$C142)*($I142/IF(B140="",$B141,$B140))</f>
        <v>7.1392496392496405E-3</v>
      </c>
    </row>
    <row r="143" spans="1:11" x14ac:dyDescent="0.3">
      <c r="B143" s="16"/>
      <c r="C143" s="1">
        <v>-301.31</v>
      </c>
      <c r="D143" s="1">
        <v>-43.87</v>
      </c>
      <c r="E143" s="2">
        <v>-816.88</v>
      </c>
      <c r="F143" s="1">
        <v>-186.64</v>
      </c>
      <c r="G143" s="1">
        <v>-5.0999999999999996</v>
      </c>
      <c r="I143" s="10">
        <f>($C143*1000/$B$3)/$B142/$B$1</f>
        <v>-3.2609307359307359E-2</v>
      </c>
      <c r="J143" s="10">
        <f>(ABS(($F143+0.1)*1000)/$C143)*($I143/$B141)</f>
        <v>2.5235389610389607E-2</v>
      </c>
      <c r="K143" s="10">
        <f>(ABS(($G143+0.1)*1000)/$C143)*($I143/IF(B140="",$B141,$B140))</f>
        <v>9.0187590187590188E-4</v>
      </c>
    </row>
    <row r="144" spans="1:11" x14ac:dyDescent="0.3">
      <c r="B144" s="16"/>
      <c r="C144" s="1">
        <v>1089.1400000000001</v>
      </c>
      <c r="D144" s="1">
        <v>31.06</v>
      </c>
      <c r="E144" s="2">
        <v>624.41</v>
      </c>
      <c r="F144" s="1">
        <v>9.5500000000000007</v>
      </c>
      <c r="G144" s="1">
        <v>13.96</v>
      </c>
      <c r="I144" s="10">
        <f>($C144*1000/$B$3)/$B142/$B$1</f>
        <v>0.11787229437229438</v>
      </c>
      <c r="J144" s="10">
        <f>(ABS(($F144+0.1)*1000)/$C144)*($I144/$B141)</f>
        <v>1.305465367965368E-3</v>
      </c>
      <c r="K144" s="10">
        <f>(ABS(($G144+0.1)*1000)/$C144)*($I144/IF(B140="",$B141,$B140))</f>
        <v>2.5360750360750362E-3</v>
      </c>
    </row>
    <row r="145" spans="1:14" x14ac:dyDescent="0.3">
      <c r="B145" s="16"/>
      <c r="C145" s="1">
        <v>-20.68</v>
      </c>
      <c r="D145" s="1">
        <v>-36.880000000000003</v>
      </c>
      <c r="E145" s="1">
        <v>-571.54</v>
      </c>
      <c r="F145" s="2">
        <v>-266.88</v>
      </c>
      <c r="G145" s="1">
        <v>-11.8</v>
      </c>
      <c r="I145" s="10">
        <f>($C145*1000/$B$3)/$B142/$B$1</f>
        <v>-2.2380952380952382E-3</v>
      </c>
      <c r="J145" s="10">
        <f>(ABS(($F145+0.1)*1000)/$C145)*($I145/$B141)</f>
        <v>3.6090367965367971E-2</v>
      </c>
      <c r="K145" s="10">
        <f>(ABS(($G145+0.1)*1000)/$C145)*($I145/IF(B140="",$B141,$B140))</f>
        <v>2.1103896103896111E-3</v>
      </c>
    </row>
    <row r="146" spans="1:14" x14ac:dyDescent="0.3">
      <c r="B146" s="16"/>
      <c r="C146" s="1">
        <v>406.41</v>
      </c>
      <c r="D146" s="1">
        <v>0.31</v>
      </c>
      <c r="E146" s="1">
        <v>-88.82</v>
      </c>
      <c r="F146" s="2">
        <v>232.8</v>
      </c>
      <c r="G146" s="1">
        <v>-2.41</v>
      </c>
      <c r="I146" s="10">
        <f>($C146*1000/$B$3)/$B142/$B$1</f>
        <v>4.3983766233766236E-2</v>
      </c>
      <c r="J146" s="10">
        <f>(ABS(($F146+0.1)*1000)/$C146)*($I146/$B141)</f>
        <v>3.1507034632034629E-2</v>
      </c>
      <c r="K146" s="10">
        <f>(ABS(($G146+0.1)*1000)/$C146)*($I146/IF(B140="",$B141,$B140))</f>
        <v>4.1666666666666664E-4</v>
      </c>
    </row>
    <row r="147" spans="1:14" x14ac:dyDescent="0.3">
      <c r="B147" s="16"/>
      <c r="C147" s="1">
        <v>-84.9</v>
      </c>
      <c r="D147" s="1">
        <v>-441.72</v>
      </c>
      <c r="E147" s="1">
        <v>-18.059999999999999</v>
      </c>
      <c r="F147" s="1">
        <v>-169.06</v>
      </c>
      <c r="G147" s="2">
        <v>-268.08</v>
      </c>
      <c r="I147" s="10">
        <f>($C147*1000/$B$3)/$B142/$B$1</f>
        <v>-9.1883116883116882E-3</v>
      </c>
      <c r="J147" s="10">
        <f>(ABS(($F147+0.1)*1000)/$C147)*($I147/$B141)</f>
        <v>2.2857142857142857E-2</v>
      </c>
      <c r="K147" s="10">
        <f>(ABS(($G147+0.1)*1000)/$C147)*($I147/IF(B140="",$B141,$B140))</f>
        <v>4.8336940836940831E-2</v>
      </c>
    </row>
    <row r="148" spans="1:14" x14ac:dyDescent="0.3">
      <c r="B148" s="16"/>
      <c r="C148" s="1">
        <v>2061.56</v>
      </c>
      <c r="D148" s="1">
        <v>135.43</v>
      </c>
      <c r="E148" s="1">
        <v>150.47</v>
      </c>
      <c r="F148" s="1">
        <v>146.31</v>
      </c>
      <c r="G148" s="2">
        <v>175.29</v>
      </c>
      <c r="I148" s="10">
        <f>($C148*1000/$B$3)/$B142/$B$1</f>
        <v>0.22311255411255415</v>
      </c>
      <c r="J148" s="10">
        <f>(ABS(($F148+0.1)*1000)/$C148)*($I148/$B141)</f>
        <v>1.9806547619047623E-2</v>
      </c>
      <c r="K148" s="10">
        <f>(ABS(($G148+0.1)*1000)/$C148)*($I148/IF(B140="",$B141,$B140))</f>
        <v>3.1636002886002892E-2</v>
      </c>
    </row>
    <row r="149" spans="1:14" x14ac:dyDescent="0.3">
      <c r="B149" s="16"/>
    </row>
    <row r="150" spans="1:14" x14ac:dyDescent="0.3">
      <c r="B150" s="16" t="s">
        <v>2</v>
      </c>
      <c r="C150" s="20" t="s">
        <v>3</v>
      </c>
      <c r="D150" s="20" t="s">
        <v>16</v>
      </c>
      <c r="E150" s="20" t="s">
        <v>17</v>
      </c>
      <c r="F150" s="20" t="s">
        <v>6</v>
      </c>
      <c r="G150" s="20" t="s">
        <v>7</v>
      </c>
    </row>
    <row r="151" spans="1:14" x14ac:dyDescent="0.3">
      <c r="A151" s="17"/>
      <c r="B151" s="15" t="s">
        <v>37</v>
      </c>
      <c r="C151" s="21">
        <v>54.92</v>
      </c>
      <c r="D151" s="22">
        <v>-114.21</v>
      </c>
      <c r="E151" s="22">
        <v>0</v>
      </c>
      <c r="F151" s="22">
        <v>244.66</v>
      </c>
      <c r="G151" s="22">
        <v>0</v>
      </c>
      <c r="I151" s="10">
        <f>($C151*1000/$B$3)/$B154/$B$1</f>
        <v>5.9437229437229438E-3</v>
      </c>
      <c r="J151" s="10">
        <f>(ABS(($F151+0.1)*1000)/$C151)*($I151/$B153)</f>
        <v>3.3111471861471856E-2</v>
      </c>
      <c r="K151" s="10">
        <f>(ABS(($G151+0.1)*1000)/$C151)*($I151/IF(B152="",$B153,$B152))</f>
        <v>1.8037518037518038E-5</v>
      </c>
    </row>
    <row r="152" spans="1:14" x14ac:dyDescent="0.3">
      <c r="A152" s="3" t="s">
        <v>22</v>
      </c>
      <c r="B152" s="18">
        <v>600</v>
      </c>
      <c r="C152" s="21">
        <v>8581.99</v>
      </c>
      <c r="D152" s="22">
        <v>0</v>
      </c>
      <c r="E152" s="22">
        <v>-19.86</v>
      </c>
      <c r="F152" s="22">
        <v>0</v>
      </c>
      <c r="G152" s="22">
        <v>0</v>
      </c>
      <c r="I152" s="10">
        <f>($C152*1000/$B$3)/$B154/$B$1</f>
        <v>0.92878679653679652</v>
      </c>
      <c r="J152" s="10">
        <f>(ABS(($F152+0.1)*1000)/$C152)*($I152/$B153)</f>
        <v>1.3528138528138526E-5</v>
      </c>
      <c r="K152" s="10">
        <f>(ABS(($G152+0.1)*1000)/$C152)*($I152/IF(B152="",$B153,$B152))</f>
        <v>1.8037518037518038E-5</v>
      </c>
      <c r="M152" s="1">
        <v>0.01</v>
      </c>
    </row>
    <row r="153" spans="1:14" x14ac:dyDescent="0.3">
      <c r="A153" s="3" t="s">
        <v>24</v>
      </c>
      <c r="B153" s="18">
        <v>800</v>
      </c>
      <c r="C153" s="22">
        <v>1474.73</v>
      </c>
      <c r="D153" s="21">
        <v>-154.47999999999999</v>
      </c>
      <c r="E153" s="22">
        <v>-195.82</v>
      </c>
      <c r="F153" s="22">
        <v>220.16</v>
      </c>
      <c r="G153" s="22">
        <v>-661.63</v>
      </c>
      <c r="I153" s="10">
        <f>($C153*1000/$B$3)/$B154/$B$1</f>
        <v>0.15960281385281389</v>
      </c>
      <c r="J153" s="10">
        <f>(ABS(($F153+0.1)*1000)/$C153)*($I153/$B153)</f>
        <v>2.979707792207793E-2</v>
      </c>
      <c r="K153" s="10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3" t="s">
        <v>25</v>
      </c>
      <c r="B154" s="19">
        <f>IF(B152="",(0.25*PI()*B153^2),B152*B153)</f>
        <v>480000</v>
      </c>
      <c r="C154" s="22">
        <v>1611.15</v>
      </c>
      <c r="D154" s="21">
        <v>410.29</v>
      </c>
      <c r="E154" s="22">
        <v>79.19</v>
      </c>
      <c r="F154" s="22">
        <v>-493.38</v>
      </c>
      <c r="G154" s="22">
        <v>113.38</v>
      </c>
      <c r="I154" s="10">
        <f>($C154*1000/$B$3)/$B154/$B$1</f>
        <v>0.17436688311688311</v>
      </c>
      <c r="J154" s="10">
        <f>(ABS(($F154+0.1)*1000)/$C154)*($I154/$B153)</f>
        <v>6.6731601731601725E-2</v>
      </c>
      <c r="K154" s="10">
        <f>(ABS(($G154+0.1)*1000)/$C154)*($I154/IF(B152="",$B153,$B152))</f>
        <v>2.0468975468975466E-2</v>
      </c>
      <c r="M154" s="1">
        <v>0.01</v>
      </c>
    </row>
    <row r="155" spans="1:14" x14ac:dyDescent="0.3">
      <c r="B155" s="16"/>
      <c r="C155" s="22">
        <v>1109.54</v>
      </c>
      <c r="D155" s="22">
        <v>-99.84</v>
      </c>
      <c r="E155" s="21">
        <v>-229.7</v>
      </c>
      <c r="F155" s="22">
        <v>191.35</v>
      </c>
      <c r="G155" s="22">
        <v>-708.71</v>
      </c>
      <c r="I155" s="10">
        <f>($C155*1000/$B$3)/$B154/$B$1</f>
        <v>0.12008008658008658</v>
      </c>
      <c r="J155" s="10">
        <f>(ABS(($F155+0.1)*1000)/$C155)*($I155/$B153)</f>
        <v>2.5899621212121211E-2</v>
      </c>
      <c r="K155" s="10">
        <f>(ABS(($G155+0.1)*1000)/$C155)*($I155/IF(B152="",$B153,$B152))</f>
        <v>0.12781565656565658</v>
      </c>
    </row>
    <row r="156" spans="1:14" x14ac:dyDescent="0.3">
      <c r="B156" s="16"/>
      <c r="C156" s="22">
        <v>1331.95</v>
      </c>
      <c r="D156" s="22">
        <v>380.31</v>
      </c>
      <c r="E156" s="21">
        <v>97.69</v>
      </c>
      <c r="F156" s="22">
        <v>-456.93</v>
      </c>
      <c r="G156" s="22">
        <v>171.25</v>
      </c>
      <c r="I156" s="10">
        <f>($C156*1000/$B$3)/$B154/$B$1</f>
        <v>0.14415043290043289</v>
      </c>
      <c r="J156" s="10">
        <f>(ABS(($F156+0.1)*1000)/$C156)*($I156/$B153)</f>
        <v>6.1800595238095231E-2</v>
      </c>
      <c r="K156" s="10">
        <f>(ABS(($G156+0.1)*1000)/$C156)*($I156/IF(B152="",$B153,$B152))</f>
        <v>3.0907287157287151E-2</v>
      </c>
    </row>
    <row r="157" spans="1:14" x14ac:dyDescent="0.3">
      <c r="B157" s="16"/>
      <c r="C157" s="22">
        <v>4234.74</v>
      </c>
      <c r="D157" s="22">
        <v>308.07</v>
      </c>
      <c r="E157" s="22">
        <v>49.94</v>
      </c>
      <c r="F157" s="21">
        <v>-545.14</v>
      </c>
      <c r="G157" s="22">
        <v>128.65</v>
      </c>
      <c r="I157" s="10">
        <f>($C157*1000/$B$3)/$B154/$B$1</f>
        <v>0.45830519480519483</v>
      </c>
      <c r="J157" s="10">
        <f>(ABS(($F157+0.1)*1000)/$C157)*($I157/$B153)</f>
        <v>7.3733766233766235E-2</v>
      </c>
      <c r="K157" s="10">
        <f>(ABS(($G157+0.1)*1000)/$C157)*($I157/IF(B152="",$B153,$B152))</f>
        <v>2.3223304473304476E-2</v>
      </c>
    </row>
    <row r="158" spans="1:14" x14ac:dyDescent="0.3">
      <c r="B158" s="16"/>
      <c r="C158" s="22">
        <v>1064.21</v>
      </c>
      <c r="D158" s="22">
        <v>-99.84</v>
      </c>
      <c r="E158" s="22">
        <v>-229.7</v>
      </c>
      <c r="F158" s="21">
        <v>478.99</v>
      </c>
      <c r="G158" s="22">
        <v>-203.47</v>
      </c>
      <c r="I158" s="10">
        <f>($C158*1000/$B$3)/$B154/$B$1</f>
        <v>0.11517424242424243</v>
      </c>
      <c r="J158" s="10">
        <f>(ABS(($F158+0.1)*1000)/$C158)*($I158/$B153)</f>
        <v>6.4811958874458883E-2</v>
      </c>
      <c r="K158" s="10">
        <f>(ABS(($G158+0.1)*1000)/$C158)*($I158/IF(B152="",$B153,$B152))</f>
        <v>3.6682900432900435E-2</v>
      </c>
    </row>
    <row r="159" spans="1:14" x14ac:dyDescent="0.3">
      <c r="B159" s="16"/>
      <c r="C159" s="22">
        <v>3012.84</v>
      </c>
      <c r="D159" s="22">
        <v>-80.77</v>
      </c>
      <c r="E159" s="22">
        <v>-182.38</v>
      </c>
      <c r="F159" s="22">
        <v>192.54</v>
      </c>
      <c r="G159" s="21">
        <v>-736.44</v>
      </c>
      <c r="I159" s="10">
        <f>($C159*1000/$B$3)/$B154/$B$1</f>
        <v>0.32606493506493506</v>
      </c>
      <c r="J159" s="10">
        <f>(ABS(($F159+0.1)*1000)/$C159)*($I159/$B153)</f>
        <v>2.6060606060606058E-2</v>
      </c>
      <c r="K159" s="10">
        <f>(ABS(($G159+0.1)*1000)/$C159)*($I159/IF(B152="",$B153,$B152))</f>
        <v>0.13281746031746031</v>
      </c>
    </row>
    <row r="160" spans="1:14" x14ac:dyDescent="0.3">
      <c r="B160" s="16"/>
      <c r="C160" s="22">
        <v>1547.69</v>
      </c>
      <c r="D160" s="22">
        <v>410.29</v>
      </c>
      <c r="E160" s="22">
        <v>79.19</v>
      </c>
      <c r="F160" s="22">
        <v>-178.96</v>
      </c>
      <c r="G160" s="21">
        <v>849.92</v>
      </c>
      <c r="I160" s="10">
        <f>($C160*1000/$B$3)/$B154/$B$1</f>
        <v>0.16749891774891779</v>
      </c>
      <c r="J160" s="10">
        <f>(ABS(($F160+0.1)*1000)/$C160)*($I160/$B153)</f>
        <v>2.4196428571428577E-2</v>
      </c>
      <c r="K160" s="10">
        <f>(ABS(($G160+0.1)*1000)/$C160)*($I160/IF(B152="",$B153,$B152))</f>
        <v>0.15332251082251086</v>
      </c>
      <c r="M160" s="1">
        <v>0.02</v>
      </c>
      <c r="N160" s="23">
        <v>0.04</v>
      </c>
    </row>
    <row r="161" spans="1:13" x14ac:dyDescent="0.3">
      <c r="B161" s="16"/>
      <c r="G161" s="13"/>
    </row>
    <row r="162" spans="1:13" x14ac:dyDescent="0.3">
      <c r="B162" s="16" t="s">
        <v>2</v>
      </c>
      <c r="C162" s="1" t="s">
        <v>3</v>
      </c>
      <c r="D162" s="1" t="s">
        <v>4</v>
      </c>
      <c r="E162" s="1" t="s">
        <v>5</v>
      </c>
      <c r="F162" s="1" t="s">
        <v>38</v>
      </c>
      <c r="G162" s="1" t="s">
        <v>39</v>
      </c>
    </row>
    <row r="163" spans="1:13" x14ac:dyDescent="0.3">
      <c r="A163" s="17"/>
      <c r="B163" s="15" t="s">
        <v>40</v>
      </c>
      <c r="C163" s="2">
        <v>-26.97</v>
      </c>
      <c r="D163" s="1">
        <v>0</v>
      </c>
      <c r="E163" s="1">
        <v>0</v>
      </c>
      <c r="F163" s="1">
        <v>0</v>
      </c>
      <c r="G163" s="1">
        <v>0</v>
      </c>
      <c r="I163" s="10">
        <f>($C163*1000/$B$3)/$B166/$B$1</f>
        <v>-2.9188311688311689E-3</v>
      </c>
      <c r="J163" s="10">
        <f>(ABS(($F163+0.1)*1000)/$C163)*($I163/$B165)</f>
        <v>1.3528138528138528E-5</v>
      </c>
      <c r="K163" s="10">
        <f>(ABS(($G163+0.1)*1000)/$C163)*($I163/IF(B164="",$B165,$B164))</f>
        <v>1.8037518037518038E-5</v>
      </c>
    </row>
    <row r="164" spans="1:13" x14ac:dyDescent="0.3">
      <c r="A164" s="3" t="s">
        <v>22</v>
      </c>
      <c r="B164" s="18">
        <v>600</v>
      </c>
      <c r="C164" s="2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0">
        <f>($C164*1000/$B$3)/$B166/$B$1</f>
        <v>0.87665151515151518</v>
      </c>
      <c r="J164" s="10">
        <f>(ABS(($F164+0.1)*1000)/$C164)*($I164/$B165)</f>
        <v>1.3528138528138528E-5</v>
      </c>
      <c r="K164" s="10">
        <f>(ABS(($G164+0.1)*1000)/$C164)*($I164/IF(B164="",$B165,$B164))</f>
        <v>2.0046897546897546E-2</v>
      </c>
      <c r="M164" s="1">
        <v>0.01</v>
      </c>
    </row>
    <row r="165" spans="1:13" x14ac:dyDescent="0.3">
      <c r="A165" s="3" t="s">
        <v>24</v>
      </c>
      <c r="B165" s="18">
        <v>800</v>
      </c>
      <c r="C165" s="1">
        <v>105.23</v>
      </c>
      <c r="D165" s="2">
        <v>-133.9</v>
      </c>
      <c r="E165" s="1">
        <v>-108.17</v>
      </c>
      <c r="F165" s="1">
        <v>95.22</v>
      </c>
      <c r="G165" s="1">
        <v>-98.4</v>
      </c>
      <c r="I165" s="10">
        <f>($C165*1000/$B$3)/$B166/$B$1</f>
        <v>1.1388528138528139E-2</v>
      </c>
      <c r="J165" s="10">
        <f>(ABS(($F165+0.1)*1000)/$C165)*($I165/$B165)</f>
        <v>1.2895021645021645E-2</v>
      </c>
      <c r="K165" s="10">
        <f>(ABS(($G165+0.1)*1000)/$C165)*($I165/IF(B164="",$B165,$B164))</f>
        <v>1.7730880230880233E-2</v>
      </c>
    </row>
    <row r="166" spans="1:13" x14ac:dyDescent="0.3">
      <c r="A166" s="3" t="s">
        <v>25</v>
      </c>
      <c r="B166" s="19">
        <f>IF(B164="",(0.25*PI()*B165^2),B164*B165)</f>
        <v>480000</v>
      </c>
      <c r="C166" s="1">
        <v>190.22</v>
      </c>
      <c r="D166" s="2">
        <v>457.46</v>
      </c>
      <c r="E166" s="1">
        <v>159.36000000000001</v>
      </c>
      <c r="F166" s="1">
        <v>71.69</v>
      </c>
      <c r="G166" s="1">
        <v>-435.29</v>
      </c>
      <c r="I166" s="10">
        <f>($C166*1000/$B$3)/$B166/$B$1</f>
        <v>2.058658008658009E-2</v>
      </c>
      <c r="J166" s="10">
        <f>(ABS(($F166+0.1)*1000)/$C166)*($I166/$B165)</f>
        <v>9.7118506493506507E-3</v>
      </c>
      <c r="K166" s="10">
        <f>(ABS(($G166+0.1)*1000)/$C166)*($I166/IF(B164="",$B165,$B164))</f>
        <v>7.849747474747476E-2</v>
      </c>
    </row>
    <row r="167" spans="1:13" x14ac:dyDescent="0.3">
      <c r="B167" s="16"/>
      <c r="C167" s="1">
        <v>318.89</v>
      </c>
      <c r="D167" s="1">
        <v>85.52</v>
      </c>
      <c r="E167" s="2">
        <v>-221</v>
      </c>
      <c r="F167" s="1">
        <v>-186.38</v>
      </c>
      <c r="G167" s="1">
        <v>-17.82</v>
      </c>
      <c r="I167" s="10">
        <f>($C167*1000/$B$3)/$B166/$B$1</f>
        <v>3.4511904761904764E-2</v>
      </c>
      <c r="J167" s="10">
        <f>(ABS(($F167+0.1)*1000)/$C167)*($I167/$B165)</f>
        <v>2.5200216450216455E-2</v>
      </c>
      <c r="K167" s="10">
        <f>(ABS(($G167+0.1)*1000)/$C167)*($I167/IF(B164="",$B165,$B164))</f>
        <v>3.1962481962481966E-3</v>
      </c>
    </row>
    <row r="168" spans="1:13" x14ac:dyDescent="0.3">
      <c r="B168" s="16"/>
      <c r="C168" s="1">
        <v>124.27</v>
      </c>
      <c r="D168" s="1">
        <v>370.13</v>
      </c>
      <c r="E168" s="2">
        <v>191.95</v>
      </c>
      <c r="F168" s="1">
        <v>-44.89</v>
      </c>
      <c r="G168" s="1">
        <v>-209.93</v>
      </c>
      <c r="I168" s="10">
        <f>($C168*1000/$B$3)/$B166/$B$1</f>
        <v>1.34491341991342E-2</v>
      </c>
      <c r="J168" s="10">
        <f>(ABS(($F168+0.1)*1000)/$C168)*($I168/$B165)</f>
        <v>6.0592532467532477E-3</v>
      </c>
      <c r="K168" s="10">
        <f>(ABS(($G168+0.1)*1000)/$C168)*($I168/IF(B164="",$B165,$B164))</f>
        <v>3.7848124098124103E-2</v>
      </c>
    </row>
    <row r="169" spans="1:13" x14ac:dyDescent="0.3">
      <c r="B169" s="16"/>
      <c r="C169" s="1">
        <v>4234.74</v>
      </c>
      <c r="D169" s="1">
        <v>308.07</v>
      </c>
      <c r="E169" s="1">
        <v>49.94</v>
      </c>
      <c r="F169" s="2">
        <v>-545.14</v>
      </c>
      <c r="G169" s="1">
        <v>128.65</v>
      </c>
      <c r="I169" s="10">
        <f>($C169*1000/$B$3)/$B166/$B$1</f>
        <v>0.45830519480519483</v>
      </c>
      <c r="J169" s="10">
        <f>(ABS(($F169+0.1)*1000)/$C169)*($I169/$B165)</f>
        <v>7.3733766233766235E-2</v>
      </c>
      <c r="K169" s="10">
        <f>(ABS(($G169+0.1)*1000)/$C169)*($I169/IF(B164="",$B165,$B164))</f>
        <v>2.3223304473304476E-2</v>
      </c>
    </row>
    <row r="170" spans="1:13" x14ac:dyDescent="0.3">
      <c r="B170" s="16"/>
      <c r="C170" s="1">
        <v>363.31</v>
      </c>
      <c r="D170" s="1">
        <v>85.52</v>
      </c>
      <c r="E170" s="1">
        <v>-221</v>
      </c>
      <c r="F170" s="2">
        <v>432.43</v>
      </c>
      <c r="G170" s="1">
        <v>221.64</v>
      </c>
      <c r="I170" s="10">
        <f>($C170*1000/$B$3)/$B166/$B$1</f>
        <v>3.9319264069264073E-2</v>
      </c>
      <c r="J170" s="10">
        <f>(ABS(($F170+0.1)*1000)/$C170)*($I170/$B165)</f>
        <v>5.8513257575757593E-2</v>
      </c>
      <c r="K170" s="10">
        <f>(ABS(($G170+0.1)*1000)/$C170)*($I170/IF(B164="",$B165,$B164))</f>
        <v>3.9996392496392495E-2</v>
      </c>
    </row>
    <row r="171" spans="1:13" x14ac:dyDescent="0.3">
      <c r="B171" s="16"/>
      <c r="C171" s="1">
        <v>3012.84</v>
      </c>
      <c r="D171" s="1">
        <v>-80.77</v>
      </c>
      <c r="E171" s="1">
        <v>-182.38</v>
      </c>
      <c r="F171" s="1">
        <v>192.54</v>
      </c>
      <c r="G171" s="2">
        <v>-736.44</v>
      </c>
      <c r="I171" s="10">
        <f>($C171*1000/$B$3)/$B166/$B$1</f>
        <v>0.32606493506493506</v>
      </c>
      <c r="J171" s="10">
        <f>(ABS(($F171+0.1)*1000)/$C171)*($I171/$B165)</f>
        <v>2.6060606060606058E-2</v>
      </c>
      <c r="K171" s="10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6"/>
      <c r="C172" s="1">
        <v>255.38</v>
      </c>
      <c r="D172" s="1">
        <v>145.71</v>
      </c>
      <c r="E172" s="1">
        <v>-131.04</v>
      </c>
      <c r="F172" s="1">
        <v>270.67</v>
      </c>
      <c r="G172" s="2">
        <v>309.52</v>
      </c>
      <c r="I172" s="10">
        <f>($C172*1000/$B$3)/$B166/$B$1</f>
        <v>2.7638528138528143E-2</v>
      </c>
      <c r="J172" s="10">
        <f>(ABS(($F172+0.1)*1000)/$C172)*($I172/$B165)</f>
        <v>3.6630140692640707E-2</v>
      </c>
      <c r="K172" s="10">
        <f>(ABS(($G172+0.1)*1000)/$C172)*($I172/IF(B164="",$B165,$B164))</f>
        <v>5.5847763347763361E-2</v>
      </c>
    </row>
    <row r="173" spans="1:13" x14ac:dyDescent="0.3">
      <c r="B173" s="16"/>
    </row>
    <row r="174" spans="1:13" x14ac:dyDescent="0.3">
      <c r="B174" s="16" t="s">
        <v>2</v>
      </c>
      <c r="C174" s="1" t="s">
        <v>3</v>
      </c>
      <c r="D174" s="1" t="s">
        <v>16</v>
      </c>
      <c r="E174" s="1" t="s">
        <v>17</v>
      </c>
      <c r="F174" s="1" t="s">
        <v>6</v>
      </c>
      <c r="G174" s="1" t="s">
        <v>7</v>
      </c>
    </row>
    <row r="175" spans="1:13" x14ac:dyDescent="0.3">
      <c r="A175" s="17"/>
      <c r="B175" s="15" t="s">
        <v>41</v>
      </c>
      <c r="C175" s="2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0">
        <f>($C175*1000/$B$3)/$B178/$B$1</f>
        <v>7.1439393939393943E-3</v>
      </c>
      <c r="J175" s="10">
        <f>(ABS(($F175+0.1)*1000)/$C175)*($I175/$B177)</f>
        <v>1.1478625541125541E-2</v>
      </c>
      <c r="K175" s="10">
        <f>(ABS(($G175+0.1)*1000)/$C175)*($I175/IF(B176="",$B177,$B176))</f>
        <v>1.8037518037518038E-5</v>
      </c>
    </row>
    <row r="176" spans="1:13" x14ac:dyDescent="0.3">
      <c r="A176" s="3" t="s">
        <v>22</v>
      </c>
      <c r="B176" s="18">
        <v>600</v>
      </c>
      <c r="C176" s="2">
        <v>3127.17</v>
      </c>
      <c r="D176" s="1">
        <v>0</v>
      </c>
      <c r="E176" s="1">
        <v>27.05</v>
      </c>
      <c r="F176" s="1">
        <v>0</v>
      </c>
      <c r="G176" s="1">
        <v>0</v>
      </c>
      <c r="I176" s="10">
        <f>($C176*1000/$B$3)/$B178/$B$1</f>
        <v>0.33843831168831168</v>
      </c>
      <c r="J176" s="10">
        <f>(ABS(($F176+0.1)*1000)/$C176)*($I176/$B177)</f>
        <v>1.3528138528138528E-5</v>
      </c>
      <c r="K176" s="10">
        <f>(ABS(($G176+0.1)*1000)/$C176)*($I176/IF(B176="",$B177,$B176))</f>
        <v>1.8037518037518038E-5</v>
      </c>
    </row>
    <row r="177" spans="1:11" x14ac:dyDescent="0.3">
      <c r="A177" s="3" t="s">
        <v>24</v>
      </c>
      <c r="B177" s="18">
        <v>800</v>
      </c>
      <c r="C177" s="1">
        <v>414.82</v>
      </c>
      <c r="D177" s="2">
        <v>-135.44</v>
      </c>
      <c r="E177" s="1">
        <v>-15.19</v>
      </c>
      <c r="F177" s="1">
        <v>-24.23</v>
      </c>
      <c r="G177" s="1">
        <v>-73.62</v>
      </c>
      <c r="I177" s="10">
        <f>($C177*1000/$B$3)/$B178/$B$1</f>
        <v>4.4893939393939396E-2</v>
      </c>
      <c r="J177" s="10">
        <f>(ABS(($F177+0.1)*1000)/$C177)*($I177/$B177)</f>
        <v>3.2643398268398269E-3</v>
      </c>
      <c r="K177" s="10">
        <f>(ABS(($G177+0.1)*1000)/$C177)*($I177/IF(B176="",$B177,$B176))</f>
        <v>1.3261183261183267E-2</v>
      </c>
    </row>
    <row r="178" spans="1:11" x14ac:dyDescent="0.3">
      <c r="A178" s="3" t="s">
        <v>25</v>
      </c>
      <c r="B178" s="19">
        <f>IF(B176="",(0.25*PI()*B177^2),B176*B177)</f>
        <v>480000</v>
      </c>
      <c r="C178" s="1">
        <v>1372.3</v>
      </c>
      <c r="D178" s="2">
        <v>40.56</v>
      </c>
      <c r="E178" s="1">
        <v>108.78</v>
      </c>
      <c r="F178" s="1">
        <v>231.81</v>
      </c>
      <c r="G178" s="1">
        <v>269.37</v>
      </c>
      <c r="I178" s="10">
        <f>($C178*1000/$B$3)/$B178/$B$1</f>
        <v>0.14851731601731602</v>
      </c>
      <c r="J178" s="10">
        <f>(ABS(($F178+0.1)*1000)/$C178)*($I178/$B177)</f>
        <v>3.137310606060606E-2</v>
      </c>
      <c r="K178" s="10">
        <f>(ABS(($G178+0.1)*1000)/$C178)*($I178/IF(B176="",$B177,$B176))</f>
        <v>4.860569985569986E-2</v>
      </c>
    </row>
    <row r="179" spans="1:11" x14ac:dyDescent="0.3">
      <c r="B179" s="16"/>
      <c r="C179" s="1">
        <v>414.82</v>
      </c>
      <c r="D179" s="1">
        <v>-135.44</v>
      </c>
      <c r="E179" s="2">
        <v>-15.19</v>
      </c>
      <c r="F179" s="1">
        <v>-24.23</v>
      </c>
      <c r="G179" s="1">
        <v>-73.62</v>
      </c>
      <c r="I179" s="10">
        <f>($C179*1000/$B$3)/$B178/$B$1</f>
        <v>4.4893939393939396E-2</v>
      </c>
      <c r="J179" s="10">
        <f>(ABS(($F179+0.1)*1000)/$C179)*($I179/$B177)</f>
        <v>3.2643398268398269E-3</v>
      </c>
      <c r="K179" s="10">
        <f>(ABS(($G179+0.1)*1000)/$C179)*($I179/IF(B176="",$B177,$B176))</f>
        <v>1.3261183261183267E-2</v>
      </c>
    </row>
    <row r="180" spans="1:11" x14ac:dyDescent="0.3">
      <c r="B180" s="16"/>
      <c r="C180" s="1">
        <v>803.9</v>
      </c>
      <c r="D180" s="1">
        <v>39.020000000000003</v>
      </c>
      <c r="E180" s="2">
        <v>135.55000000000001</v>
      </c>
      <c r="F180" s="1">
        <v>244.01</v>
      </c>
      <c r="G180" s="1">
        <v>246.3</v>
      </c>
      <c r="I180" s="10">
        <f>($C180*1000/$B$3)/$B178/$B$1</f>
        <v>8.7002164502164511E-2</v>
      </c>
      <c r="J180" s="10">
        <f>(ABS(($F180+0.1)*1000)/$C180)*($I180/$B177)</f>
        <v>3.3023538961038962E-2</v>
      </c>
      <c r="K180" s="10">
        <f>(ABS(($G180+0.1)*1000)/$C180)*($I180/IF(B176="",$B177,$B176))</f>
        <v>4.4444444444444453E-2</v>
      </c>
    </row>
    <row r="181" spans="1:11" x14ac:dyDescent="0.3">
      <c r="B181" s="16"/>
      <c r="C181" s="1">
        <v>374.03</v>
      </c>
      <c r="D181" s="1">
        <v>-135.44</v>
      </c>
      <c r="E181" s="1">
        <v>-15.19</v>
      </c>
      <c r="F181" s="2">
        <v>-298.37</v>
      </c>
      <c r="G181" s="1">
        <v>-295.62</v>
      </c>
      <c r="I181" s="10">
        <f>($C181*1000/$B$3)/$B178/$B$1</f>
        <v>4.0479437229437233E-2</v>
      </c>
      <c r="J181" s="10">
        <f>(ABS(($F181+0.1)*1000)/$C181)*($I181/$B177)</f>
        <v>4.0350378787878796E-2</v>
      </c>
      <c r="K181" s="10">
        <f>(ABS(($G181+0.1)*1000)/$C181)*($I181/IF(B176="",$B177,$B176))</f>
        <v>5.3304473304473306E-2</v>
      </c>
    </row>
    <row r="182" spans="1:11" x14ac:dyDescent="0.3">
      <c r="B182" s="16"/>
      <c r="C182" s="1">
        <v>803.9</v>
      </c>
      <c r="D182" s="1">
        <v>39.020000000000003</v>
      </c>
      <c r="E182" s="1">
        <v>135.55000000000001</v>
      </c>
      <c r="F182" s="2">
        <v>244.01</v>
      </c>
      <c r="G182" s="1">
        <v>246.3</v>
      </c>
      <c r="I182" s="10">
        <f>($C182*1000/$B$3)/$B178/$B$1</f>
        <v>8.7002164502164511E-2</v>
      </c>
      <c r="J182" s="10">
        <f>(ABS(($F182+0.1)*1000)/$C182)*($I182/$B177)</f>
        <v>3.3023538961038962E-2</v>
      </c>
      <c r="K182" s="10">
        <f>(ABS(($G182+0.1)*1000)/$C182)*($I182/IF(B176="",$B177,$B176))</f>
        <v>4.4444444444444453E-2</v>
      </c>
    </row>
    <row r="183" spans="1:11" x14ac:dyDescent="0.3">
      <c r="B183" s="16"/>
      <c r="C183" s="1">
        <v>374.03</v>
      </c>
      <c r="D183" s="1">
        <v>-135.44</v>
      </c>
      <c r="E183" s="1">
        <v>-15.19</v>
      </c>
      <c r="F183" s="1">
        <v>-298.37</v>
      </c>
      <c r="G183" s="2">
        <v>-295.62</v>
      </c>
      <c r="I183" s="10">
        <f>($C183*1000/$B$3)/$B178/$B$1</f>
        <v>4.0479437229437233E-2</v>
      </c>
      <c r="J183" s="10">
        <f>(ABS(($F183+0.1)*1000)/$C183)*($I183/$B177)</f>
        <v>4.0350378787878796E-2</v>
      </c>
      <c r="K183" s="10">
        <f>(ABS(($G183+0.1)*1000)/$C183)*($I183/IF(B176="",$B177,$B176))</f>
        <v>5.3304473304473306E-2</v>
      </c>
    </row>
    <row r="184" spans="1:11" x14ac:dyDescent="0.3">
      <c r="B184" s="16"/>
      <c r="C184" s="1">
        <v>1372.3</v>
      </c>
      <c r="D184" s="1">
        <v>40.56</v>
      </c>
      <c r="E184" s="1">
        <v>108.78</v>
      </c>
      <c r="F184" s="1">
        <v>231.81</v>
      </c>
      <c r="G184" s="2">
        <v>269.37</v>
      </c>
      <c r="I184" s="10">
        <f>($C184*1000/$B$3)/$B178/$B$1</f>
        <v>0.14851731601731602</v>
      </c>
      <c r="J184" s="10">
        <f>(ABS(($F184+0.1)*1000)/$C184)*($I184/$B177)</f>
        <v>3.137310606060606E-2</v>
      </c>
      <c r="K184" s="10">
        <f>(ABS(($G184+0.1)*1000)/$C184)*($I184/IF(B176="",$B177,$B176))</f>
        <v>4.860569985569986E-2</v>
      </c>
    </row>
    <row r="185" spans="1:11" x14ac:dyDescent="0.3">
      <c r="B185" s="16"/>
    </row>
    <row r="186" spans="1:11" x14ac:dyDescent="0.3">
      <c r="B186" s="16" t="s">
        <v>2</v>
      </c>
      <c r="C186" s="1" t="s">
        <v>3</v>
      </c>
      <c r="D186" s="1" t="s">
        <v>16</v>
      </c>
      <c r="E186" s="1" t="s">
        <v>17</v>
      </c>
      <c r="F186" s="1" t="s">
        <v>6</v>
      </c>
      <c r="G186" s="1" t="s">
        <v>7</v>
      </c>
    </row>
    <row r="187" spans="1:11" x14ac:dyDescent="0.3">
      <c r="A187" s="17"/>
      <c r="B187" s="15" t="s">
        <v>42</v>
      </c>
      <c r="C187" s="2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0">
        <f>($C187*1000/$B$3)/$B190/$B$1</f>
        <v>-2.5108225108225109E-4</v>
      </c>
      <c r="J187" s="10">
        <f>(ABS(($F187+0.1)*1000)/$C187)*($I187/$B189)</f>
        <v>9.0192099567099563E-3</v>
      </c>
      <c r="K187" s="10">
        <f>(ABS(($G187+0.1)*1000)/$C187)*($I187/IF(B188="",$B189,$B188))</f>
        <v>1.8037518037518038E-5</v>
      </c>
    </row>
    <row r="188" spans="1:11" x14ac:dyDescent="0.3">
      <c r="A188" s="3" t="s">
        <v>22</v>
      </c>
      <c r="B188" s="5">
        <v>600</v>
      </c>
      <c r="C188" s="2">
        <v>2757.76</v>
      </c>
      <c r="D188" s="1">
        <v>0</v>
      </c>
      <c r="E188" s="1">
        <v>25.23</v>
      </c>
      <c r="F188" s="1">
        <v>0</v>
      </c>
      <c r="G188" s="1">
        <v>0</v>
      </c>
      <c r="I188" s="10">
        <f>($C188*1000/$B$3)/$B190/$B$1</f>
        <v>0.29845887445887448</v>
      </c>
      <c r="J188" s="10">
        <f>(ABS(($F188+0.1)*1000)/$C188)*($I188/$B189)</f>
        <v>1.3528138528138528E-5</v>
      </c>
      <c r="K188" s="10">
        <f>(ABS(($G188+0.1)*1000)/$C188)*($I188/IF(B188="",$B189,$B188))</f>
        <v>1.8037518037518038E-5</v>
      </c>
    </row>
    <row r="189" spans="1:11" x14ac:dyDescent="0.3">
      <c r="A189" s="3" t="s">
        <v>24</v>
      </c>
      <c r="B189" s="5">
        <v>800</v>
      </c>
      <c r="C189" s="1">
        <v>38.47</v>
      </c>
      <c r="D189" s="2">
        <v>-5.86</v>
      </c>
      <c r="E189" s="1">
        <v>-17.91</v>
      </c>
      <c r="F189" s="1">
        <v>-27.13</v>
      </c>
      <c r="G189" s="1">
        <v>-312.56</v>
      </c>
      <c r="I189" s="10">
        <f>($C189*1000/$B$3)/$B190/$B$1</f>
        <v>4.1634199134199142E-3</v>
      </c>
      <c r="J189" s="10">
        <f>(ABS(($F189+0.1)*1000)/$C189)*($I189/$B189)</f>
        <v>3.6566558441558442E-3</v>
      </c>
      <c r="K189" s="10">
        <f>(ABS(($G189+0.1)*1000)/$C189)*($I189/IF(B188="",$B189,$B188))</f>
        <v>5.6360028860028874E-2</v>
      </c>
    </row>
    <row r="190" spans="1:11" x14ac:dyDescent="0.3">
      <c r="A190" s="3" t="s">
        <v>25</v>
      </c>
      <c r="B190" s="12">
        <f>IF(B188="",(0.25*PI()*B189^2),B188*B189)</f>
        <v>480000</v>
      </c>
      <c r="C190" s="1">
        <v>2266.67</v>
      </c>
      <c r="D190" s="2">
        <v>197.88</v>
      </c>
      <c r="E190" s="1">
        <v>19.11</v>
      </c>
      <c r="F190" s="1">
        <v>56.63</v>
      </c>
      <c r="G190" s="1">
        <v>45.44</v>
      </c>
      <c r="I190" s="10">
        <f>($C190*1000/$B$3)/$B190/$B$1</f>
        <v>0.24531060606060606</v>
      </c>
      <c r="J190" s="10">
        <f>(ABS(($F190+0.1)*1000)/$C190)*($I190/$B189)</f>
        <v>7.6745129870129875E-3</v>
      </c>
      <c r="K190" s="10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2">
        <v>-42.29</v>
      </c>
      <c r="F191" s="1">
        <v>-81.290000000000006</v>
      </c>
      <c r="G191" s="1">
        <v>-377.38</v>
      </c>
      <c r="I191" s="10">
        <f>($C191*1000/$B$3)/$B190/$B$1</f>
        <v>3.0734848484848486E-2</v>
      </c>
      <c r="J191" s="10">
        <f>(ABS(($F191+0.1)*1000)/$C191)*($I191/$B189)</f>
        <v>1.0983495670995673E-2</v>
      </c>
      <c r="K191" s="10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2">
        <v>36.200000000000003</v>
      </c>
      <c r="F192" s="1">
        <v>66.97</v>
      </c>
      <c r="G192" s="1">
        <v>-60.68</v>
      </c>
      <c r="I192" s="10">
        <f>($C192*1000/$B$3)/$B190/$B$1</f>
        <v>7.7991341991342E-2</v>
      </c>
      <c r="J192" s="10">
        <f>(ABS(($F192+0.1)*1000)/$C192)*($I192/$B189)</f>
        <v>9.0733225108225127E-3</v>
      </c>
      <c r="K192" s="10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2">
        <v>-106.72</v>
      </c>
      <c r="G193" s="1">
        <v>-363.07</v>
      </c>
      <c r="I193" s="10">
        <f>($C193*1000/$B$3)/$B190/$B$1</f>
        <v>8.5035714285714284E-2</v>
      </c>
      <c r="J193" s="10">
        <f>(ABS(($F193+0.1)*1000)/$C193)*($I193/$B189)</f>
        <v>1.4423701298701299E-2</v>
      </c>
      <c r="K193" s="10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2">
        <v>101.64</v>
      </c>
      <c r="G194" s="1">
        <v>3.23</v>
      </c>
      <c r="I194" s="10">
        <f>($C194*1000/$B$3)/$B190/$B$1</f>
        <v>0.19174350649350652</v>
      </c>
      <c r="J194" s="10">
        <f>(ABS(($F194+0.1)*1000)/$C194)*($I194/$B189)</f>
        <v>1.3763528138528139E-2</v>
      </c>
      <c r="K194" s="10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2">
        <v>-397.88</v>
      </c>
      <c r="I195" s="10">
        <f>($C195*1000/$B$3)/$B190/$B$1</f>
        <v>5.6989177489177499E-2</v>
      </c>
      <c r="J195" s="10">
        <f>(ABS(($F195+0.1)*1000)/$C195)*($I195/$B189)</f>
        <v>1.0332792207792209E-2</v>
      </c>
      <c r="K195" s="10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2">
        <v>414.01</v>
      </c>
      <c r="I196" s="10">
        <f>($C196*1000/$B$3)/$B190/$B$1</f>
        <v>7.2104978354978352E-2</v>
      </c>
      <c r="J196" s="10">
        <f>(ABS(($F196+0.1)*1000)/$C196)*($I196/$B189)</f>
        <v>1.3386093073593071E-2</v>
      </c>
      <c r="K196" s="10">
        <f>(ABS(($G196+0.1)*1000)/$C196)*($I196/IF(B188="",$B189,$B188))</f>
        <v>7.4695165945165939E-2</v>
      </c>
    </row>
    <row r="198" spans="1:13" x14ac:dyDescent="0.3">
      <c r="A198" s="16"/>
      <c r="B198" s="1" t="s">
        <v>2</v>
      </c>
      <c r="C198" s="1" t="s">
        <v>3</v>
      </c>
      <c r="D198" s="1" t="s">
        <v>16</v>
      </c>
      <c r="E198" s="1" t="s">
        <v>17</v>
      </c>
      <c r="F198" s="1" t="s">
        <v>6</v>
      </c>
      <c r="G198" s="1" t="s">
        <v>7</v>
      </c>
    </row>
    <row r="199" spans="1:13" x14ac:dyDescent="0.3">
      <c r="A199" s="8"/>
      <c r="B199" s="9" t="s">
        <v>43</v>
      </c>
      <c r="C199" s="2">
        <v>46.95</v>
      </c>
      <c r="D199" s="1">
        <v>-6.52</v>
      </c>
      <c r="E199" s="1">
        <v>0</v>
      </c>
      <c r="F199" s="1">
        <v>49.19</v>
      </c>
      <c r="G199" s="1">
        <v>0</v>
      </c>
      <c r="I199" s="10">
        <f>($C199*1000/$B$3)/$B202/$B$1</f>
        <v>6.3375135568848025E-3</v>
      </c>
      <c r="J199" s="10">
        <f>(ABS(($F199+0.1)*1000)/$C199)*($I199/$B201)</f>
        <v>9.5048240748167312E-3</v>
      </c>
      <c r="K199" s="10">
        <f>(ABS(($G199+0.1)*1000)/$C199)*($I199/IF(B200="",$B201,$B200))</f>
        <v>1.9283473472949346E-5</v>
      </c>
    </row>
    <row r="200" spans="1:13" x14ac:dyDescent="0.3">
      <c r="A200" s="3" t="s">
        <v>22</v>
      </c>
      <c r="C200" s="2">
        <v>4115.51</v>
      </c>
      <c r="D200" s="1">
        <v>0</v>
      </c>
      <c r="E200" s="1">
        <v>9.61</v>
      </c>
      <c r="F200" s="1">
        <v>0</v>
      </c>
      <c r="G200" s="1">
        <v>0</v>
      </c>
      <c r="I200" s="10">
        <f>($C200*1000/$B$3)/$B202/$B$1</f>
        <v>0.55552929538860429</v>
      </c>
      <c r="J200" s="10">
        <f>(ABS(($F200+0.1)*1000)/$C200)*($I200/$B201)</f>
        <v>1.9283473472949342E-5</v>
      </c>
      <c r="K200" s="10">
        <f>(ABS(($G200+0.1)*1000)/$C200)*($I200/IF(B200="",$B201,$B200))</f>
        <v>1.9283473472949342E-5</v>
      </c>
    </row>
    <row r="201" spans="1:13" x14ac:dyDescent="0.3">
      <c r="A201" s="3" t="s">
        <v>24</v>
      </c>
      <c r="B201" s="5">
        <v>700</v>
      </c>
      <c r="C201" s="1">
        <v>1679.77</v>
      </c>
      <c r="D201" s="2">
        <v>-168.53</v>
      </c>
      <c r="E201" s="1">
        <v>58.4</v>
      </c>
      <c r="F201" s="1">
        <v>72.08</v>
      </c>
      <c r="G201" s="1">
        <v>309.52</v>
      </c>
      <c r="I201" s="10">
        <f>($C201*1000/$B$3)/$B202/$B$1</f>
        <v>0.22674260164959281</v>
      </c>
      <c r="J201" s="10">
        <f>(ABS(($F201+0.1)*1000)/$C201)*($I201/$B201)</f>
        <v>1.3918811152774832E-2</v>
      </c>
      <c r="K201" s="10">
        <f>(ABS(($G201+0.1)*1000)/$C201)*($I201/IF(B200="",$B201,$B200))</f>
        <v>5.9705490566945747E-2</v>
      </c>
    </row>
    <row r="202" spans="1:13" x14ac:dyDescent="0.3">
      <c r="A202" s="3" t="s">
        <v>25</v>
      </c>
      <c r="B202" s="12">
        <f>IF(B200="",(0.25*PI()*B201^2),B200*B201)</f>
        <v>384845.10006474965</v>
      </c>
      <c r="C202" s="1">
        <v>2301.31</v>
      </c>
      <c r="D202" s="2">
        <v>289.27</v>
      </c>
      <c r="E202" s="1">
        <v>3.17</v>
      </c>
      <c r="F202" s="1">
        <v>4.49</v>
      </c>
      <c r="G202" s="1">
        <v>-490.31</v>
      </c>
      <c r="I202" s="10">
        <f>($C202*1000/$B$3)/$B202/$B$1</f>
        <v>0.3106407523662314</v>
      </c>
      <c r="J202" s="10">
        <f>(ABS(($F202+0.1)*1000)/$C202)*($I202/$B201)</f>
        <v>8.8511143240837501E-4</v>
      </c>
      <c r="K202" s="10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2">
        <v>-208.55</v>
      </c>
      <c r="F203" s="1">
        <v>-364.45</v>
      </c>
      <c r="G203" s="1">
        <v>-170.25</v>
      </c>
      <c r="I203" s="10">
        <f>($C203*1000/$B$3)/$B202/$B$1</f>
        <v>0.11417648225965941</v>
      </c>
      <c r="J203" s="10">
        <f>(ABS(($F203+0.1)*1000)/$C203)*($I203/$B201)</f>
        <v>7.0259335598690922E-2</v>
      </c>
      <c r="K203" s="10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2">
        <v>247.54</v>
      </c>
      <c r="F204" s="1">
        <v>429</v>
      </c>
      <c r="G204" s="1">
        <v>-41.85</v>
      </c>
      <c r="I204" s="10">
        <f>($C204*1000/$B$3)/$B202/$B$1</f>
        <v>0.25912533865271664</v>
      </c>
      <c r="J204" s="10">
        <f>(ABS(($F204+0.1)*1000)/$C204)*($I204/$B201)</f>
        <v>8.274538467242562E-2</v>
      </c>
      <c r="K204" s="10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2">
        <v>-374.91</v>
      </c>
      <c r="G205" s="1">
        <v>11.14</v>
      </c>
      <c r="I205" s="10">
        <f>($C205*1000/$B$3)/$B202/$B$1</f>
        <v>7.5310448640195288E-2</v>
      </c>
      <c r="J205" s="10">
        <f>(ABS(($F205+0.1)*1000)/$C205)*($I205/$B201)</f>
        <v>7.2276386923961433E-2</v>
      </c>
      <c r="K205" s="10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2">
        <v>429</v>
      </c>
      <c r="G206" s="1">
        <v>-41.85</v>
      </c>
      <c r="I206" s="10">
        <f>($C206*1000/$B$3)/$B202/$B$1</f>
        <v>0.25912533865271664</v>
      </c>
      <c r="J206" s="10">
        <f>(ABS(($F206+0.1)*1000)/$C206)*($I206/$B201)</f>
        <v>8.274538467242562E-2</v>
      </c>
      <c r="K206" s="10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2">
        <v>-490.31</v>
      </c>
      <c r="I207" s="10">
        <f>($C207*1000/$B$3)/$B202/$B$1</f>
        <v>0.3106407523662314</v>
      </c>
      <c r="J207" s="10">
        <f>(ABS(($F207+0.1)*1000)/$C207)*($I207/$B201)</f>
        <v>8.8511143240837501E-4</v>
      </c>
      <c r="K207" s="10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2">
        <v>446.7</v>
      </c>
      <c r="I208" s="10">
        <f>($C208*1000/$B$3)/$B202/$B$1</f>
        <v>9.4286543545985826E-2</v>
      </c>
      <c r="J208" s="10">
        <f>(ABS(($F208+0.1)*1000)/$C208)*($I208/$B201)</f>
        <v>1.8165032011518286E-3</v>
      </c>
      <c r="K208" s="10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2</v>
      </c>
      <c r="C210" s="1" t="s">
        <v>3</v>
      </c>
      <c r="D210" s="1" t="s">
        <v>16</v>
      </c>
      <c r="E210" s="1" t="s">
        <v>17</v>
      </c>
      <c r="F210" s="1" t="s">
        <v>6</v>
      </c>
      <c r="G210" s="1" t="s">
        <v>7</v>
      </c>
    </row>
    <row r="211" spans="1:17" x14ac:dyDescent="0.3">
      <c r="A211" s="8"/>
      <c r="B211" s="15" t="s">
        <v>44</v>
      </c>
      <c r="C211" s="2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0">
        <f>($C211*1000/$B$3)/$B214/$B$1</f>
        <v>2.6634508348794064E-2</v>
      </c>
      <c r="J211" s="10">
        <f>(ABS(($F211+0.1)*1000)/$C211)*($I211/$B213)</f>
        <v>5.2429366551815536E-2</v>
      </c>
      <c r="K211" s="10">
        <f>(ABS(($G211+0.1)*1000)/$C211)*($I211/IF(B212="",$B213,$B212))</f>
        <v>2.9684601113172546E-5</v>
      </c>
      <c r="N211" s="11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3" t="s">
        <v>22</v>
      </c>
      <c r="B212" s="5">
        <v>500</v>
      </c>
      <c r="C212" s="2">
        <v>5777.31</v>
      </c>
      <c r="D212" s="1">
        <v>0</v>
      </c>
      <c r="E212" s="1">
        <v>32.31</v>
      </c>
      <c r="F212" s="1">
        <v>0</v>
      </c>
      <c r="G212" s="1">
        <v>0</v>
      </c>
      <c r="I212" s="10">
        <f>($C212*1000/$B$3)/$B214/$B$1</f>
        <v>0.85748571428571441</v>
      </c>
      <c r="J212" s="10">
        <f>(ABS(($F212+0.1)*1000)/$C212)*($I212/$B213)</f>
        <v>2.1203286509408964E-5</v>
      </c>
      <c r="K212" s="10">
        <f>(ABS(($G212+0.1)*1000)/$C212)*($I212/IF(B212="",$B213,$B212))</f>
        <v>2.9684601113172546E-5</v>
      </c>
      <c r="N212" s="11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3" t="s">
        <v>24</v>
      </c>
      <c r="B213" s="5">
        <v>700</v>
      </c>
      <c r="C213" s="1">
        <v>685.22</v>
      </c>
      <c r="D213" s="2">
        <v>-387.29</v>
      </c>
      <c r="E213" s="1">
        <v>-65.010000000000005</v>
      </c>
      <c r="F213" s="1">
        <v>-132.47999999999999</v>
      </c>
      <c r="G213" s="1">
        <v>732.08</v>
      </c>
      <c r="I213" s="10">
        <f>($C213*1000/$B$3)/$B214/$B$1</f>
        <v>0.10170241187384045</v>
      </c>
      <c r="J213" s="10">
        <f>(ABS(($F213+0.1)*1000)/$C213)*($I213/$B213)</f>
        <v>2.8068910681155582E-2</v>
      </c>
      <c r="K213" s="10">
        <f>(ABS(($G213+0.1)*1000)/$C213)*($I213/IF(B212="",$B213,$B212))</f>
        <v>0.21734471243042675</v>
      </c>
      <c r="N213" s="11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3" t="s">
        <v>25</v>
      </c>
      <c r="B214" s="12">
        <f>IF(B212="",(0.25*PI()*B213^2),B212*B213)</f>
        <v>350000</v>
      </c>
      <c r="C214" s="1">
        <v>1027.1099999999999</v>
      </c>
      <c r="D214" s="2">
        <v>427.7</v>
      </c>
      <c r="E214" s="1">
        <v>4.29</v>
      </c>
      <c r="F214" s="1">
        <v>25.06</v>
      </c>
      <c r="G214" s="1">
        <v>-806.89</v>
      </c>
      <c r="I214" s="10">
        <f>($C214*1000/$B$3)/$B214/$B$1</f>
        <v>0.15244675324675325</v>
      </c>
      <c r="J214" s="10">
        <f>(ABS(($F214+0.1)*1000)/$C214)*($I214/$B213)</f>
        <v>5.3347468857672942E-3</v>
      </c>
      <c r="K214" s="10">
        <f>(ABS(($G214+0.1)*1000)/$C214)*($I214/IF(B212="",$B213,$B212))</f>
        <v>0.23949239332096481</v>
      </c>
      <c r="N214" s="11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2">
        <v>-298.41000000000003</v>
      </c>
      <c r="F215" s="1">
        <v>-535.79999999999995</v>
      </c>
      <c r="G215" s="1">
        <v>17.850000000000001</v>
      </c>
      <c r="I215" s="10">
        <f>($C215*1000/$B$3)/$B214/$B$1</f>
        <v>0.16683784786641931</v>
      </c>
      <c r="J215" s="10">
        <f>(ABS(($F215+0.1)*1000)/$C215)*($I215/$B213)</f>
        <v>0.11358600583090378</v>
      </c>
      <c r="K215" s="10">
        <f>(ABS(($G215+0.1)*1000)/$C215)*($I215/IF(B212="",$B213,$B212))</f>
        <v>5.3283858998144727E-3</v>
      </c>
      <c r="N215" s="11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2">
        <v>288.20999999999998</v>
      </c>
      <c r="F216" s="1">
        <v>491.29</v>
      </c>
      <c r="G216" s="1">
        <v>-96.31</v>
      </c>
      <c r="I216" s="10">
        <f>($C216*1000/$B$3)/$B214/$B$1</f>
        <v>8.8454174397031543E-2</v>
      </c>
      <c r="J216" s="10">
        <f>(ABS(($F216+0.1)*1000)/$C216)*($I216/$B213)</f>
        <v>0.10419082957858469</v>
      </c>
      <c r="K216" s="10">
        <f>(ABS(($G216+0.1)*1000)/$C216)*($I216/IF(B212="",$B213,$B212))</f>
        <v>2.8559554730983303E-2</v>
      </c>
      <c r="N216" s="11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2">
        <v>-661.54</v>
      </c>
      <c r="G217" s="1">
        <v>125.87</v>
      </c>
      <c r="I217" s="10">
        <f>($C217*1000/$B$3)/$B214/$B$1</f>
        <v>8.2567717996289439E-2</v>
      </c>
      <c r="J217" s="10">
        <f>(ABS(($F217+0.1)*1000)/$C217)*($I217/$B213)</f>
        <v>0.14024701828783462</v>
      </c>
      <c r="K217" s="10">
        <f>(ABS(($G217+0.1)*1000)/$C217)*($I217/IF(B212="",$B213,$B212))</f>
        <v>3.7393692022263461E-2</v>
      </c>
      <c r="M217" s="1">
        <v>1.4999999999999999E-2</v>
      </c>
      <c r="N217" s="11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2">
        <v>657.84</v>
      </c>
      <c r="G218" s="1">
        <v>-2.02</v>
      </c>
      <c r="I218" s="10">
        <f>($C218*1000/$B$3)/$B214/$B$1</f>
        <v>0.16095139146567719</v>
      </c>
      <c r="J218" s="10">
        <f>(ABS(($F218+0.1)*1000)/$C218)*($I218/$B213)</f>
        <v>0.13950490326000531</v>
      </c>
      <c r="K218" s="10">
        <f>(ABS(($G218+0.1)*1000)/$C218)*($I218/IF(B212="",$B213,$B212))</f>
        <v>5.6994434137291286E-4</v>
      </c>
      <c r="N218" s="11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2">
        <v>-817.07</v>
      </c>
      <c r="I219" s="10">
        <f>($C219*1000/$B$3)/$B214/$B$1</f>
        <v>9.7288311688311702E-2</v>
      </c>
      <c r="J219" s="10">
        <f>(ABS(($F219+0.1)*1000)/$C219)*($I219/$B213)</f>
        <v>2.7070235886562415E-2</v>
      </c>
      <c r="K219" s="10">
        <f>(ABS(($G219+0.1)*1000)/$C219)*($I219/IF(B212="",$B213,$B212))</f>
        <v>0.24251428571428574</v>
      </c>
      <c r="N219" s="11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2">
        <v>903.9</v>
      </c>
      <c r="I220" s="10">
        <f>($C220*1000/$B$3)/$B214/$B$1</f>
        <v>0.14656029684601116</v>
      </c>
      <c r="J220" s="10">
        <f>(ABS(($F220+0.1)*1000)/$C220)*($I220/$B213)</f>
        <v>1.7005035780545989E-3</v>
      </c>
      <c r="K220" s="10">
        <f>(ABS(($G220+0.1)*1000)/$C220)*($I220/IF(B212="",$B213,$B212))</f>
        <v>0.26834879406307982</v>
      </c>
      <c r="M220" s="1">
        <v>0.02</v>
      </c>
      <c r="N220" s="11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9"/>
    </row>
    <row r="222" spans="1:17" x14ac:dyDescent="0.3">
      <c r="B222" s="1" t="s">
        <v>2</v>
      </c>
      <c r="C222" s="1" t="s">
        <v>3</v>
      </c>
      <c r="D222" s="1" t="s">
        <v>16</v>
      </c>
      <c r="E222" s="1" t="s">
        <v>17</v>
      </c>
      <c r="F222" s="1" t="s">
        <v>6</v>
      </c>
      <c r="G222" s="1" t="s">
        <v>7</v>
      </c>
    </row>
    <row r="223" spans="1:17" x14ac:dyDescent="0.3">
      <c r="A223" s="8"/>
      <c r="B223" s="15" t="s">
        <v>45</v>
      </c>
      <c r="C223" s="2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0">
        <f>($C223*1000/$B$3)/$B226/$B$1</f>
        <v>4.1764069264069274E-3</v>
      </c>
      <c r="J223" s="10">
        <f>(ABS(($F223+0.1)*1000)/$C223)*($I223/$B225)</f>
        <v>1.6524621212121213E-2</v>
      </c>
      <c r="K223" s="10">
        <f>(ABS(($G223+0.1)*1000)/$C223)*($I223/IF(B224="",$B225,$B224))</f>
        <v>1.8037518037518041E-5</v>
      </c>
      <c r="N223" s="11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3" t="s">
        <v>22</v>
      </c>
      <c r="B224" s="5">
        <v>600</v>
      </c>
      <c r="C224" s="2">
        <v>7728.73</v>
      </c>
      <c r="D224" s="1">
        <v>0</v>
      </c>
      <c r="E224" s="1">
        <v>12.32</v>
      </c>
      <c r="F224" s="1">
        <v>0</v>
      </c>
      <c r="G224" s="1">
        <v>0</v>
      </c>
      <c r="I224" s="10">
        <f>($C224*1000/$B$3)/$B226/$B$1</f>
        <v>0.83644264069264074</v>
      </c>
      <c r="J224" s="10">
        <f>(ABS(($F224+0.1)*1000)/$C224)*($I224/$B225)</f>
        <v>1.3528138528138528E-5</v>
      </c>
      <c r="K224" s="10">
        <f>(ABS(($G224+0.1)*1000)/$C224)*($I224/IF(B224="",$B225,$B224))</f>
        <v>1.8037518037518041E-5</v>
      </c>
      <c r="N224" s="11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3" t="s">
        <v>24</v>
      </c>
      <c r="B225" s="5">
        <v>800</v>
      </c>
      <c r="C225" s="1">
        <v>1755.1</v>
      </c>
      <c r="D225" s="2">
        <v>-506.16</v>
      </c>
      <c r="E225" s="1">
        <v>-42.23</v>
      </c>
      <c r="F225" s="1">
        <v>-84.93</v>
      </c>
      <c r="G225" s="1">
        <v>1010.69</v>
      </c>
      <c r="I225" s="10">
        <f>($C225*1000/$B$3)/$B226/$B$1</f>
        <v>0.18994588744588747</v>
      </c>
      <c r="J225" s="10">
        <f>(ABS(($F225+0.1)*1000)/$C225)*($I225/$B225)</f>
        <v>1.1475919913419919E-2</v>
      </c>
      <c r="K225" s="10">
        <f>(ABS(($G225+0.1)*1000)/$C225)*($I225/IF(B224="",$B225,$B224))</f>
        <v>0.18232142857142861</v>
      </c>
      <c r="N225" s="11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3" t="s">
        <v>25</v>
      </c>
      <c r="B226" s="12">
        <f>IF(B224="",(0.25*PI()*B225^2),B224*B225)</f>
        <v>480000</v>
      </c>
      <c r="C226" s="1">
        <v>1839.22</v>
      </c>
      <c r="D226" s="2">
        <v>429.94</v>
      </c>
      <c r="E226" s="1">
        <v>106.59</v>
      </c>
      <c r="F226" s="1">
        <v>222.2</v>
      </c>
      <c r="G226" s="1">
        <v>-851.63</v>
      </c>
      <c r="I226" s="10">
        <f>($C226*1000/$B$3)/$B226/$B$1</f>
        <v>0.19904978354978356</v>
      </c>
      <c r="J226" s="10">
        <f>(ABS(($F226+0.1)*1000)/$C226)*($I226/$B225)</f>
        <v>3.0073051948051949E-2</v>
      </c>
      <c r="K226" s="10">
        <f>(ABS(($G226+0.1)*1000)/$C226)*($I226/IF(B224="",$B225,$B224))</f>
        <v>0.15359487734487737</v>
      </c>
      <c r="N226" s="11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2">
        <v>-287.27</v>
      </c>
      <c r="F227" s="1">
        <v>-490.23</v>
      </c>
      <c r="G227" s="1">
        <v>150.57</v>
      </c>
      <c r="I227" s="10">
        <f>($C227*1000/$B$3)/$B226/$B$1</f>
        <v>7.9398268398268398E-2</v>
      </c>
      <c r="J227" s="10">
        <f>(ABS(($F227+0.1)*1000)/$C227)*($I227/$B225)</f>
        <v>6.6305465367965374E-2</v>
      </c>
      <c r="K227" s="10">
        <f>(ABS(($G227+0.1)*1000)/$C227)*($I227/IF(B224="",$B225,$B224))</f>
        <v>2.7177128427128432E-2</v>
      </c>
      <c r="N227" s="11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2">
        <v>373.67</v>
      </c>
      <c r="F228" s="1">
        <v>665.89</v>
      </c>
      <c r="G228" s="1">
        <v>-11.73</v>
      </c>
      <c r="I228" s="10">
        <f>($C228*1000/$B$3)/$B226/$B$1</f>
        <v>0.13432142857142859</v>
      </c>
      <c r="J228" s="10">
        <f>(ABS(($F228+0.1)*1000)/$C228)*($I228/$B225)</f>
        <v>9.0096049783549792E-2</v>
      </c>
      <c r="K228" s="10">
        <f>(ABS(($G228+0.1)*1000)/$C228)*($I228/IF(B224="",$B225,$B224))</f>
        <v>2.0977633477633475E-3</v>
      </c>
      <c r="N228" s="11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2">
        <v>-828.77</v>
      </c>
      <c r="G229" s="1">
        <v>-3.58</v>
      </c>
      <c r="I229" s="10">
        <f>($C229*1000/$B$3)/$B226/$B$1</f>
        <v>0.12843398268398271</v>
      </c>
      <c r="J229" s="10">
        <f>(ABS(($F229+0.1)*1000)/$C229)*($I229/$B225)</f>
        <v>0.11210362554112556</v>
      </c>
      <c r="K229" s="10">
        <f>(ABS(($G229+0.1)*1000)/$C229)*($I229/IF(B224="",$B225,$B224))</f>
        <v>6.2770562770562781E-4</v>
      </c>
      <c r="M229" s="1">
        <v>0.02</v>
      </c>
      <c r="N229" s="11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2">
        <v>741.01</v>
      </c>
      <c r="G230" s="1">
        <v>-31.37</v>
      </c>
      <c r="I230" s="10">
        <f>($C230*1000/$B$3)/$B226/$B$1</f>
        <v>0.36219047619047623</v>
      </c>
      <c r="J230" s="10">
        <f>(ABS(($F230+0.1)*1000)/$C230)*($I230/$B225)</f>
        <v>0.10025838744588746</v>
      </c>
      <c r="K230" s="10">
        <f>(ABS(($G230+0.1)*1000)/$C230)*($I230/IF(B224="",$B225,$B224))</f>
        <v>5.6403318903318908E-3</v>
      </c>
      <c r="N230" s="11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2">
        <v>-1013.95</v>
      </c>
      <c r="I231" s="10">
        <f>($C231*1000/$B$3)/$B226/$B$1</f>
        <v>0.18405952380952384</v>
      </c>
      <c r="J231" s="10">
        <f>(ABS(($F231+0.1)*1000)/$C231)*($I231/$B225)</f>
        <v>1.1377164502164505E-2</v>
      </c>
      <c r="K231" s="10">
        <f>(ABS(($G231+0.1)*1000)/$C231)*($I231/IF(B224="",$B225,$B224))</f>
        <v>0.18287337662337663</v>
      </c>
      <c r="M231" s="1">
        <v>0.03</v>
      </c>
      <c r="N231" s="11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2">
        <v>1020.62</v>
      </c>
      <c r="I232" s="10">
        <f>($C232*1000/$B$3)/$B226/$B$1</f>
        <v>0.28097402597402599</v>
      </c>
      <c r="J232" s="10">
        <f>(ABS(($F232+0.1)*1000)/$C232)*($I232/$B225)</f>
        <v>6.8668831168831185E-3</v>
      </c>
      <c r="K232" s="10">
        <f>(ABS(($G232+0.1)*1000)/$C232)*($I232/IF(B224="",$B225,$B224))</f>
        <v>0.18411255411255414</v>
      </c>
      <c r="N232" s="11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3"/>
      <c r="I233" s="10"/>
      <c r="J233" s="10"/>
      <c r="K233" s="10"/>
      <c r="N233" s="11"/>
    </row>
    <row r="234" spans="1:17" x14ac:dyDescent="0.3">
      <c r="B234" s="1" t="s">
        <v>2</v>
      </c>
      <c r="C234" s="1" t="s">
        <v>3</v>
      </c>
      <c r="D234" s="1" t="s">
        <v>16</v>
      </c>
      <c r="E234" s="1" t="s">
        <v>17</v>
      </c>
      <c r="F234" s="1" t="s">
        <v>6</v>
      </c>
      <c r="G234" s="1" t="s">
        <v>7</v>
      </c>
    </row>
    <row r="235" spans="1:17" x14ac:dyDescent="0.3">
      <c r="A235" s="8"/>
      <c r="B235" s="15" t="s">
        <v>46</v>
      </c>
      <c r="C235" s="2">
        <v>108.78</v>
      </c>
      <c r="D235" s="1">
        <v>74.7</v>
      </c>
      <c r="E235" s="1">
        <v>0</v>
      </c>
      <c r="F235" s="1">
        <v>36.53</v>
      </c>
      <c r="G235" s="1">
        <v>0</v>
      </c>
      <c r="I235" s="10">
        <f>($C235*1000/$B$3)/$B238/$B$1</f>
        <v>1.6145454545454546E-2</v>
      </c>
      <c r="J235" s="10">
        <f>(ABS(($F235+0.1)*1000)/$C235)*($I235/$B237)</f>
        <v>7.7667638483965018E-3</v>
      </c>
      <c r="K235" s="10">
        <f>(ABS(($G235+0.1)*1000)/$C235)*($I235/IF(B236="",$B237,$B236))</f>
        <v>2.9684601113172539E-5</v>
      </c>
      <c r="N235" s="11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3" t="s">
        <v>22</v>
      </c>
      <c r="B236" s="5">
        <v>500</v>
      </c>
      <c r="C236" s="2">
        <v>1970.48</v>
      </c>
      <c r="D236" s="1">
        <v>0</v>
      </c>
      <c r="E236" s="1">
        <v>20.97</v>
      </c>
      <c r="F236" s="1">
        <v>0</v>
      </c>
      <c r="G236" s="1">
        <v>0</v>
      </c>
      <c r="I236" s="10">
        <f>($C236*1000/$B$3)/$B238/$B$1</f>
        <v>0.29246456400742116</v>
      </c>
      <c r="J236" s="10">
        <f>(ABS(($F236+0.1)*1000)/$C236)*($I236/$B237)</f>
        <v>2.1203286509408958E-5</v>
      </c>
      <c r="K236" s="10">
        <f>(ABS(($G236+0.1)*1000)/$C236)*($I236/IF(B236="",$B237,$B236))</f>
        <v>2.9684601113172539E-5</v>
      </c>
      <c r="N236" s="11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3" t="s">
        <v>24</v>
      </c>
      <c r="B237" s="5">
        <v>700</v>
      </c>
      <c r="C237" s="1">
        <v>737.13</v>
      </c>
      <c r="D237" s="2">
        <v>-124.68</v>
      </c>
      <c r="E237" s="1">
        <v>-22.98</v>
      </c>
      <c r="F237" s="1">
        <v>0</v>
      </c>
      <c r="G237" s="1">
        <v>0</v>
      </c>
      <c r="I237" s="10">
        <f>($C237*1000/$B$3)/$B238/$B$1</f>
        <v>0.1094070500927644</v>
      </c>
      <c r="J237" s="10">
        <f>(ABS(($F237+0.1)*1000)/$C237)*($I237/$B237)</f>
        <v>2.1203286509408961E-5</v>
      </c>
      <c r="K237" s="10">
        <f>(ABS(($G237+0.1)*1000)/$C237)*($I237/IF(B236="",$B237,$B236))</f>
        <v>2.9684601113172546E-5</v>
      </c>
      <c r="N237" s="11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3" t="s">
        <v>25</v>
      </c>
      <c r="B238" s="12">
        <f>IF(B236="",(0.25*PI()*B237^2),B236*B237)</f>
        <v>350000</v>
      </c>
      <c r="C238" s="1">
        <v>977.3</v>
      </c>
      <c r="D238" s="2">
        <v>121.89</v>
      </c>
      <c r="E238" s="1">
        <v>30.51</v>
      </c>
      <c r="F238" s="1">
        <v>0</v>
      </c>
      <c r="G238" s="1">
        <v>0</v>
      </c>
      <c r="I238" s="10">
        <f>($C238*1000/$B$3)/$B238/$B$1</f>
        <v>0.14505380333951765</v>
      </c>
      <c r="J238" s="10">
        <f>(ABS(($F238+0.1)*1000)/$C238)*($I238/$B237)</f>
        <v>2.1203286509408961E-5</v>
      </c>
      <c r="K238" s="10">
        <f>(ABS(($G238+0.1)*1000)/$C238)*($I238/IF(B236="",$B237,$B236))</f>
        <v>2.968460111317255E-5</v>
      </c>
      <c r="N238" s="11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2">
        <v>-88.64</v>
      </c>
      <c r="F239" s="1">
        <v>-179.11</v>
      </c>
      <c r="G239" s="1">
        <v>38.35</v>
      </c>
      <c r="I239" s="10">
        <f>($C239*1000/$B$3)/$B238/$B$1</f>
        <v>2.4804452690166977E-2</v>
      </c>
      <c r="J239" s="10">
        <f>(ABS(($F239+0.1)*1000)/$C239)*($I239/$B237)</f>
        <v>3.7956003180492984E-2</v>
      </c>
      <c r="K239" s="10">
        <f>(ABS(($G239+0.1)*1000)/$C239)*($I239/IF(B236="",$B237,$B236))</f>
        <v>1.1413729128014841E-2</v>
      </c>
      <c r="N239" s="11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2">
        <v>173.42</v>
      </c>
      <c r="F240" s="1">
        <v>372.88</v>
      </c>
      <c r="G240" s="1">
        <v>-57.99</v>
      </c>
      <c r="I240" s="10">
        <f>($C240*1000/$B$3)/$B238/$B$1</f>
        <v>4.9873098330241186E-2</v>
      </c>
      <c r="J240" s="10">
        <f>(ABS(($F240+0.1)*1000)/$C240)*($I240/$B237)</f>
        <v>7.9084018022793537E-2</v>
      </c>
      <c r="K240" s="10">
        <f>(ABS(($G240+0.1)*1000)/$C240)*($I240/IF(B236="",$B237,$B236))</f>
        <v>1.7184415584415587E-2</v>
      </c>
      <c r="N240" s="11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2">
        <v>-474.41</v>
      </c>
      <c r="G241" s="1">
        <v>-32.94</v>
      </c>
      <c r="I241" s="10">
        <f>($C241*1000/$B$3)/$B238/$B$1</f>
        <v>4.2514285714285713E-2</v>
      </c>
      <c r="J241" s="10">
        <f>(ABS(($F241+0.1)*1000)/$C241)*($I241/$B237)</f>
        <v>0.10056930824277763</v>
      </c>
      <c r="K241" s="10">
        <f>(ABS(($G241+0.1)*1000)/$C241)*($I241/IF(B236="",$B237,$B236))</f>
        <v>9.7484230055658611E-3</v>
      </c>
      <c r="M241" s="1">
        <v>1.4999999999999999E-2</v>
      </c>
      <c r="N241" s="11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2">
        <v>372.88</v>
      </c>
      <c r="G242" s="1">
        <v>-57.99</v>
      </c>
      <c r="I242" s="10">
        <f>($C242*1000/$B$3)/$B238/$B$1</f>
        <v>4.9873098330241186E-2</v>
      </c>
      <c r="J242" s="10">
        <f>(ABS(($F242+0.1)*1000)/$C242)*($I242/$B237)</f>
        <v>7.9084018022793537E-2</v>
      </c>
      <c r="K242" s="10">
        <f>(ABS(($G242+0.1)*1000)/$C242)*($I242/IF(B236="",$B237,$B236))</f>
        <v>1.7184415584415587E-2</v>
      </c>
      <c r="N242" s="11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2">
        <v>-368.44</v>
      </c>
      <c r="I243" s="10">
        <f>($C243*1000/$B$3)/$B238/$B$1</f>
        <v>0.10550946196660484</v>
      </c>
      <c r="J243" s="10">
        <f>(ABS(($F243+0.1)*1000)/$C243)*($I243/$B237)</f>
        <v>3.486244367877022E-2</v>
      </c>
      <c r="K243" s="10">
        <f>(ABS(($G243+0.1)*1000)/$C243)*($I243/IF(B236="",$B237,$B236))</f>
        <v>0.10934025974025975</v>
      </c>
      <c r="N243" s="11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2">
        <v>370.69</v>
      </c>
      <c r="I244" s="10">
        <f>($C244*1000/$B$3)/$B238/$B$1</f>
        <v>4.7284601113172543E-2</v>
      </c>
      <c r="J244" s="10">
        <f>(ABS(($F244+0.1)*1000)/$C244)*($I244/$B237)</f>
        <v>1.469175722236947E-2</v>
      </c>
      <c r="K244" s="10">
        <f>(ABS(($G244+0.1)*1000)/$C244)*($I244/IF(B236="",$B237,$B236))</f>
        <v>0.11006753246753247</v>
      </c>
      <c r="M244" s="1">
        <v>0.02</v>
      </c>
      <c r="N244" s="11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2</v>
      </c>
      <c r="C246" s="1" t="s">
        <v>3</v>
      </c>
      <c r="D246" s="1" t="s">
        <v>16</v>
      </c>
      <c r="E246" s="1" t="s">
        <v>17</v>
      </c>
      <c r="F246" s="1" t="s">
        <v>6</v>
      </c>
      <c r="G246" s="1" t="s">
        <v>7</v>
      </c>
    </row>
    <row r="247" spans="1:17" x14ac:dyDescent="0.3">
      <c r="A247" s="8"/>
      <c r="B247" s="15" t="s">
        <v>47</v>
      </c>
      <c r="C247" s="2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0">
        <f>($C247*1000/$B$3)/$B250/$B$1</f>
        <v>5.8122448979591838E-3</v>
      </c>
      <c r="J247" s="10">
        <f>(ABS(($F247+0.1)*1000)/$C247)*($I247/$B249)</f>
        <v>1.9084230055658628E-2</v>
      </c>
      <c r="K247" s="10">
        <f>(ABS(($G247+0.1)*1000)/$C247)*($I247/IF(B248="",$B249,$B248))</f>
        <v>2.1203286509408958E-5</v>
      </c>
      <c r="N247" s="11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3" t="s">
        <v>22</v>
      </c>
      <c r="B248" s="5">
        <v>700</v>
      </c>
      <c r="C248" s="2">
        <v>5068.37</v>
      </c>
      <c r="D248" s="1">
        <v>0</v>
      </c>
      <c r="E248" s="1">
        <v>-26.97</v>
      </c>
      <c r="F248" s="1">
        <v>0</v>
      </c>
      <c r="G248" s="1">
        <v>0</v>
      </c>
      <c r="I248" s="10">
        <f>($C248*1000/$B$3)/$B250/$B$1</f>
        <v>0.75226270871985168</v>
      </c>
      <c r="J248" s="10">
        <f>(ABS(($F248+0.1)*1000)/$C248)*($I248/$B249)</f>
        <v>2.9684601113172546E-5</v>
      </c>
      <c r="K248" s="10">
        <f>(ABS(($G248+0.1)*1000)/$C248)*($I248/IF(B248="",$B249,$B248))</f>
        <v>2.1203286509408964E-5</v>
      </c>
      <c r="N248" s="11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3" t="s">
        <v>24</v>
      </c>
      <c r="B249" s="5">
        <v>500</v>
      </c>
      <c r="C249" s="1">
        <v>737.39</v>
      </c>
      <c r="D249" s="2">
        <v>-166.73</v>
      </c>
      <c r="E249" s="1">
        <v>76.56</v>
      </c>
      <c r="F249" s="1">
        <v>232.51</v>
      </c>
      <c r="G249" s="1">
        <v>538.03</v>
      </c>
      <c r="I249" s="10">
        <f>($C249*1000/$B$3)/$B250/$B$1</f>
        <v>0.10944564007421151</v>
      </c>
      <c r="J249" s="10">
        <f>(ABS(($F249+0.1)*1000)/$C249)*($I249/$B249)</f>
        <v>6.9049350649350652E-2</v>
      </c>
      <c r="K249" s="10">
        <f>(ABS(($G249+0.1)*1000)/$C249)*($I249/IF(B248="",$B249,$B248))</f>
        <v>0.11410124569308243</v>
      </c>
      <c r="N249" s="11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3" t="s">
        <v>25</v>
      </c>
      <c r="B250" s="12">
        <f>IF(B248="",(0.25*PI()*B249^2),B248*B249)</f>
        <v>350000</v>
      </c>
      <c r="C250" s="1">
        <v>808.44</v>
      </c>
      <c r="D250" s="2">
        <v>285.58</v>
      </c>
      <c r="E250" s="1">
        <v>-87.88</v>
      </c>
      <c r="F250" s="1">
        <v>-150.22</v>
      </c>
      <c r="G250" s="1">
        <v>-464.88</v>
      </c>
      <c r="I250" s="10">
        <f>($C250*1000/$B$3)/$B250/$B$1</f>
        <v>0.11999109461966603</v>
      </c>
      <c r="J250" s="10">
        <f>(ABS(($F250+0.1)*1000)/$C250)*($I250/$B249)</f>
        <v>4.4562523191094612E-2</v>
      </c>
      <c r="K250" s="10">
        <f>(ABS(($G250+0.1)*1000)/$C250)*($I250/IF(B248="",$B249,$B248))</f>
        <v>9.8548635038430935E-2</v>
      </c>
      <c r="N250" s="11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2">
        <v>-128.61000000000001</v>
      </c>
      <c r="F251" s="1">
        <v>-244.84</v>
      </c>
      <c r="G251" s="1">
        <v>-10.28</v>
      </c>
      <c r="I251" s="10">
        <f>($C251*1000/$B$3)/$B250/$B$1</f>
        <v>0.12535658627087201</v>
      </c>
      <c r="J251" s="10">
        <f>(ABS(($F251+0.1)*1000)/$C251)*($I251/$B249)</f>
        <v>7.2650092764378504E-2</v>
      </c>
      <c r="K251" s="10">
        <f>(ABS(($G251+0.1)*1000)/$C251)*($I251/IF(B248="",$B249,$B248))</f>
        <v>2.1584945666578322E-3</v>
      </c>
      <c r="N251" s="11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2">
        <v>102.75</v>
      </c>
      <c r="F252" s="1">
        <v>105.77</v>
      </c>
      <c r="G252" s="1">
        <v>-99.23</v>
      </c>
      <c r="I252" s="10">
        <f>($C252*1000/$B$3)/$B250/$B$1</f>
        <v>0.36341669758812617</v>
      </c>
      <c r="J252" s="10">
        <f>(ABS(($F252+0.1)*1000)/$C252)*($I252/$B249)</f>
        <v>3.1427087198515773E-2</v>
      </c>
      <c r="K252" s="10">
        <f>(ABS(($G252+0.1)*1000)/$C252)*($I252/IF(B248="",$B249,$B248))</f>
        <v>2.1018817916777104E-2</v>
      </c>
      <c r="N252" s="11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2">
        <v>-258.58999999999997</v>
      </c>
      <c r="G253" s="1">
        <v>18.55</v>
      </c>
      <c r="I253" s="10">
        <f>($C253*1000/$B$3)/$B250/$B$1</f>
        <v>0.22926011131725416</v>
      </c>
      <c r="J253" s="10">
        <f>(ABS(($F253+0.1)*1000)/$C253)*($I253/$B249)</f>
        <v>7.6731725417439667E-2</v>
      </c>
      <c r="K253" s="10">
        <f>(ABS(($G253+0.1)*1000)/$C253)*($I253/IF(B248="",$B249,$B248))</f>
        <v>3.9544129340047711E-3</v>
      </c>
      <c r="N253" s="11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2">
        <v>269.61</v>
      </c>
      <c r="G254" s="1">
        <v>-30.95</v>
      </c>
      <c r="I254" s="10">
        <f>($C254*1000/$B$3)/$B250/$B$1</f>
        <v>0.11947012987012988</v>
      </c>
      <c r="J254" s="10">
        <f>(ABS(($F254+0.1)*1000)/$C254)*($I254/$B249)</f>
        <v>8.0062337662337682E-2</v>
      </c>
      <c r="K254" s="10">
        <f>(ABS(($G254+0.1)*1000)/$C254)*($I254/IF(B248="",$B249,$B248))</f>
        <v>6.541213888152664E-3</v>
      </c>
      <c r="M254" s="1">
        <v>0.01</v>
      </c>
      <c r="N254" s="11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2">
        <v>-513.26</v>
      </c>
      <c r="I255" s="10">
        <f>($C255*1000/$B$3)/$B250/$B$1</f>
        <v>0.23105751391465679</v>
      </c>
      <c r="J255" s="10">
        <f>(ABS(($F255+0.1)*1000)/$C255)*($I255/$B249)</f>
        <v>6.1132467532467538E-2</v>
      </c>
      <c r="K255" s="10">
        <f>(ABS(($G255+0.1)*1000)/$C255)*($I255/IF(B248="",$B249,$B248))</f>
        <v>0.10880678505168301</v>
      </c>
      <c r="N255" s="11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2">
        <v>677.42</v>
      </c>
      <c r="I256" s="10">
        <f>($C256*1000/$B$3)/$B250/$B$1</f>
        <v>0.11410463821892394</v>
      </c>
      <c r="J256" s="10">
        <f>(ABS(($F256+0.1)*1000)/$C256)*($I256/$B249)</f>
        <v>5.9790723562152148E-2</v>
      </c>
      <c r="K256" s="10">
        <f>(ABS(($G256+0.1)*1000)/$C256)*($I256/IF(B248="",$B249,$B248))</f>
        <v>0.1436565067585476</v>
      </c>
      <c r="M256" s="1">
        <v>0.02</v>
      </c>
      <c r="N256" s="11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3"/>
      <c r="I257" s="10"/>
      <c r="J257" s="10"/>
      <c r="K257" s="10"/>
      <c r="N257" s="11"/>
    </row>
    <row r="258" spans="1:17" x14ac:dyDescent="0.3">
      <c r="B258" s="1" t="s">
        <v>2</v>
      </c>
      <c r="C258" s="1" t="s">
        <v>3</v>
      </c>
      <c r="D258" s="1" t="s">
        <v>16</v>
      </c>
      <c r="E258" s="1" t="s">
        <v>17</v>
      </c>
      <c r="F258" s="1" t="s">
        <v>6</v>
      </c>
      <c r="G258" s="1" t="s">
        <v>7</v>
      </c>
    </row>
    <row r="259" spans="1:17" x14ac:dyDescent="0.3">
      <c r="A259" s="8"/>
      <c r="B259" s="9" t="s">
        <v>48</v>
      </c>
      <c r="C259" s="2">
        <v>159.32</v>
      </c>
      <c r="D259" s="1">
        <v>21.28</v>
      </c>
      <c r="E259" s="1">
        <v>0</v>
      </c>
      <c r="F259" s="1">
        <v>-17.47</v>
      </c>
      <c r="G259" s="1">
        <v>0</v>
      </c>
      <c r="I259" s="10">
        <f>($C259*1000/$B$3)/$B262/$B$1</f>
        <v>2.9558441558441558E-2</v>
      </c>
      <c r="J259" s="10">
        <f>(ABS(($F259+0.1)*1000)/$C259)*($I259/$B261)</f>
        <v>4.6037635833554198E-3</v>
      </c>
      <c r="K259" s="10">
        <f>(ABS(($G259+0.1)*1000)/$C259)*($I259/IF(B260="",$B261,$B260))</f>
        <v>4.6382189239332094E-5</v>
      </c>
      <c r="N259" s="11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3" t="s">
        <v>22</v>
      </c>
      <c r="B260" s="5">
        <v>400</v>
      </c>
      <c r="C260" s="2">
        <v>1097.45</v>
      </c>
      <c r="D260" s="1">
        <v>0</v>
      </c>
      <c r="E260" s="1">
        <v>-0.83</v>
      </c>
      <c r="F260" s="1">
        <v>0</v>
      </c>
      <c r="G260" s="1">
        <v>0</v>
      </c>
      <c r="I260" s="10">
        <f>($C260*1000/$B$3)/$B262/$B$1</f>
        <v>0.20360853432282003</v>
      </c>
      <c r="J260" s="10">
        <f>(ABS(($F260+0.1)*1000)/$C260)*($I260/$B261)</f>
        <v>2.6504108136761199E-5</v>
      </c>
      <c r="K260" s="10">
        <f>(ABS(($G260+0.1)*1000)/$C260)*($I260/IF(B260="",$B261,$B260))</f>
        <v>4.6382189239332094E-5</v>
      </c>
      <c r="N260" s="11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3" t="s">
        <v>24</v>
      </c>
      <c r="B261" s="5">
        <v>700</v>
      </c>
      <c r="C261" s="1">
        <v>349.97</v>
      </c>
      <c r="D261" s="2">
        <v>-42.56</v>
      </c>
      <c r="E261" s="1">
        <v>64.59</v>
      </c>
      <c r="F261" s="1">
        <v>0</v>
      </c>
      <c r="G261" s="1">
        <v>0</v>
      </c>
      <c r="I261" s="10">
        <f>($C261*1000/$B$3)/$B262/$B$1</f>
        <v>6.492949907235622E-2</v>
      </c>
      <c r="J261" s="10">
        <f>(ABS(($F261+0.1)*1000)/$C261)*($I261/$B261)</f>
        <v>2.6504108136761199E-5</v>
      </c>
      <c r="K261" s="10">
        <f>(ABS(($G261+0.1)*1000)/$C261)*($I261/IF(B260="",$B261,$B260))</f>
        <v>4.6382189239332101E-5</v>
      </c>
      <c r="N261" s="11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3" t="s">
        <v>25</v>
      </c>
      <c r="B262" s="12">
        <f>IF(B260="",(0.25*PI()*B261^2),B260*B261)</f>
        <v>280000</v>
      </c>
      <c r="C262" s="1">
        <v>730.68</v>
      </c>
      <c r="D262" s="2">
        <v>45.52</v>
      </c>
      <c r="E262" s="1">
        <v>-58.87</v>
      </c>
      <c r="F262" s="1">
        <v>0</v>
      </c>
      <c r="G262" s="1">
        <v>0</v>
      </c>
      <c r="I262" s="10">
        <f>($C262*1000/$B$3)/$B262/$B$1</f>
        <v>0.13556215213358072</v>
      </c>
      <c r="J262" s="10">
        <f>(ABS(($F262+0.1)*1000)/$C262)*($I262/$B261)</f>
        <v>2.6504108136761202E-5</v>
      </c>
      <c r="K262" s="10">
        <f>(ABS(($G262+0.1)*1000)/$C262)*($I262/IF(B260="",$B261,$B260))</f>
        <v>4.6382189239332108E-5</v>
      </c>
      <c r="N262" s="11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2">
        <v>-147.30000000000001</v>
      </c>
      <c r="F263" s="1">
        <v>-95.98</v>
      </c>
      <c r="G263" s="1">
        <v>-21.52</v>
      </c>
      <c r="I263" s="10">
        <f>($C263*1000/$B$3)/$B262/$B$1</f>
        <v>3.3697588126159556E-2</v>
      </c>
      <c r="J263" s="10">
        <f>(ABS(($F263+0.1)*1000)/$C263)*($I263/$B261)</f>
        <v>2.5412138881526644E-2</v>
      </c>
      <c r="K263" s="10">
        <f>(ABS(($G263+0.1)*1000)/$C263)*($I263/IF(B260="",$B261,$B260))</f>
        <v>9.9350649350649321E-3</v>
      </c>
      <c r="N263" s="11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2">
        <v>166.79</v>
      </c>
      <c r="F264" s="1">
        <v>84.8</v>
      </c>
      <c r="G264" s="1">
        <v>25.58</v>
      </c>
      <c r="I264" s="10">
        <f>($C264*1000/$B$3)/$B262/$B$1</f>
        <v>6.8411873840445281E-2</v>
      </c>
      <c r="J264" s="10">
        <f>(ABS(($F264+0.1)*1000)/$C264)*($I264/$B261)</f>
        <v>2.2501987808110257E-2</v>
      </c>
      <c r="K264" s="10">
        <f>(ABS(($G264+0.1)*1000)/$C264)*($I264/IF(B260="",$B261,$B260))</f>
        <v>1.1910946196660483E-2</v>
      </c>
      <c r="N264" s="11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2">
        <v>-413.12</v>
      </c>
      <c r="G265" s="1">
        <v>-36.090000000000003</v>
      </c>
      <c r="I265" s="10">
        <f>($C265*1000/$B$3)/$B262/$B$1</f>
        <v>6.3996289424860853E-2</v>
      </c>
      <c r="J265" s="10">
        <f>(ABS(($F265+0.1)*1000)/$C265)*($I265/$B261)</f>
        <v>0.10946726742645109</v>
      </c>
      <c r="K265" s="10">
        <f>(ABS(($G265+0.1)*1000)/$C265)*($I265/IF(B260="",$B261,$B260))</f>
        <v>1.6692949907235622E-2</v>
      </c>
      <c r="M265" s="1">
        <v>1.4999999999999999E-2</v>
      </c>
      <c r="N265" s="11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2">
        <v>343.47</v>
      </c>
      <c r="G266" s="1">
        <v>11.57</v>
      </c>
      <c r="I266" s="10">
        <f>($C266*1000/$B$3)/$B262/$B$1</f>
        <v>3.0385899814471245E-2</v>
      </c>
      <c r="J266" s="10">
        <f>(ABS(($F266+0.1)*1000)/$C266)*($I266/$B261)</f>
        <v>9.1060164325470455E-2</v>
      </c>
      <c r="K266" s="10">
        <f>(ABS(($G266+0.1)*1000)/$C266)*($I266/IF(B260="",$B261,$B260))</f>
        <v>5.4128014842300554E-3</v>
      </c>
      <c r="N266" s="11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2">
        <v>-103.15</v>
      </c>
      <c r="I267" s="10">
        <f>($C267*1000/$B$3)/$B262/$B$1</f>
        <v>6.4823747680890539E-2</v>
      </c>
      <c r="J267" s="10">
        <f>(ABS(($F267+0.1)*1000)/$C267)*($I267/$B261)</f>
        <v>1.3803339517625234E-2</v>
      </c>
      <c r="K267" s="10">
        <f>(ABS(($G267+0.1)*1000)/$C267)*($I267/IF(B260="",$B261,$B260))</f>
        <v>4.7796846011131731E-2</v>
      </c>
      <c r="N267" s="11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2">
        <v>78.63</v>
      </c>
      <c r="I268" s="10">
        <f>($C268*1000/$B$3)/$B262/$B$1</f>
        <v>2.9558441558441558E-2</v>
      </c>
      <c r="J268" s="10">
        <f>(ABS(($F268+0.1)*1000)/$C268)*($I268/$B261)</f>
        <v>4.6037635833554198E-3</v>
      </c>
      <c r="K268" s="10">
        <f>(ABS(($G268+0.1)*1000)/$C268)*($I268/IF(B260="",$B261,$B260))</f>
        <v>3.6516697588126153E-2</v>
      </c>
      <c r="M268" s="1">
        <v>0.01</v>
      </c>
      <c r="N268" s="11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3"/>
      <c r="I269" s="10"/>
      <c r="J269" s="10"/>
      <c r="K269" s="10"/>
      <c r="N269" s="11"/>
    </row>
    <row r="270" spans="1:17" x14ac:dyDescent="0.3">
      <c r="B270" s="1" t="s">
        <v>2</v>
      </c>
      <c r="C270" s="1" t="s">
        <v>3</v>
      </c>
      <c r="D270" s="1" t="s">
        <v>16</v>
      </c>
      <c r="E270" s="1" t="s">
        <v>17</v>
      </c>
      <c r="F270" s="1" t="s">
        <v>6</v>
      </c>
      <c r="G270" s="1" t="s">
        <v>7</v>
      </c>
    </row>
    <row r="271" spans="1:17" x14ac:dyDescent="0.3">
      <c r="A271" s="8"/>
      <c r="B271" s="9" t="s">
        <v>49</v>
      </c>
      <c r="C271" s="2">
        <v>-5.72</v>
      </c>
      <c r="D271" s="1">
        <v>-7.46</v>
      </c>
      <c r="E271" s="1">
        <v>0</v>
      </c>
      <c r="F271" s="1">
        <v>125.44</v>
      </c>
      <c r="G271" s="1">
        <v>0</v>
      </c>
      <c r="I271" s="10">
        <f>($C271*1000/$B$3)/$B274/$B$1</f>
        <v>-1.0612244897959184E-3</v>
      </c>
      <c r="J271" s="10">
        <f>(ABS(($F271+0.1)*1000)/$C271)*($I271/$B273)</f>
        <v>3.3273257354890007E-2</v>
      </c>
      <c r="K271" s="10">
        <f>(ABS(($G271+0.1)*1000)/$C271)*($I271/IF(B272="",$B273,$B272))</f>
        <v>4.6382189239332101E-5</v>
      </c>
      <c r="N271" s="11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3" t="s">
        <v>22</v>
      </c>
      <c r="B272" s="5">
        <v>400</v>
      </c>
      <c r="C272" s="2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0">
        <f>($C272*1000/$B$3)/$B274/$B$1</f>
        <v>0.81589795918367358</v>
      </c>
      <c r="J272" s="10">
        <f>(ABS(($F272+0.1)*1000)/$C272)*($I272/$B273)</f>
        <v>2.6504108136761202E-5</v>
      </c>
      <c r="K272" s="10">
        <f>(ABS(($G272+0.1)*1000)/$C272)*($I272/IF(B272="",$B273,$B272))</f>
        <v>4.6382189239332108E-5</v>
      </c>
      <c r="N272" s="11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3" t="s">
        <v>24</v>
      </c>
      <c r="B273" s="5">
        <v>700</v>
      </c>
      <c r="C273" s="1">
        <v>3082.32</v>
      </c>
      <c r="D273" s="2">
        <v>-118.36</v>
      </c>
      <c r="E273" s="1">
        <v>-59.16</v>
      </c>
      <c r="F273" s="1">
        <v>0</v>
      </c>
      <c r="G273" s="1">
        <v>0</v>
      </c>
      <c r="I273" s="10">
        <f>($C273*1000/$B$3)/$B274/$B$1</f>
        <v>0.57185899814471253</v>
      </c>
      <c r="J273" s="10">
        <f>(ABS(($F273+0.1)*1000)/$C273)*($I273/$B273)</f>
        <v>2.6504108136761202E-5</v>
      </c>
      <c r="K273" s="10">
        <f>(ABS(($G273+0.1)*1000)/$C273)*($I273/IF(B272="",$B273,$B272))</f>
        <v>4.6382189239332101E-5</v>
      </c>
      <c r="N273" s="11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3" t="s">
        <v>25</v>
      </c>
      <c r="B274" s="12">
        <f>IF(B272="",(0.25*PI()*B273^2),B272*B273)</f>
        <v>280000</v>
      </c>
      <c r="C274" s="1">
        <v>664.59</v>
      </c>
      <c r="D274" s="2">
        <v>79.38</v>
      </c>
      <c r="E274" s="1">
        <v>-86.98</v>
      </c>
      <c r="F274" s="1">
        <v>-155.81</v>
      </c>
      <c r="G274" s="1">
        <v>-136.32</v>
      </c>
      <c r="I274" s="10">
        <f>($C274*1000/$B$3)/$B274/$B$1</f>
        <v>0.12330055658627088</v>
      </c>
      <c r="J274" s="10">
        <f>(ABS(($F274+0.1)*1000)/$C274)*($I274/$B273)</f>
        <v>4.1269546779750865E-2</v>
      </c>
      <c r="K274" s="10">
        <f>(ABS(($G274+0.1)*1000)/$C274)*($I274/IF(B272="",$B273,$B272))</f>
        <v>6.3181818181818186E-2</v>
      </c>
      <c r="N274" s="11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2">
        <v>-178.89</v>
      </c>
      <c r="F275" s="1">
        <v>-353.54</v>
      </c>
      <c r="G275" s="1">
        <v>52</v>
      </c>
      <c r="I275" s="10">
        <f>($C275*1000/$B$3)/$B274/$B$1</f>
        <v>0.17720037105751393</v>
      </c>
      <c r="J275" s="10">
        <f>(ABS(($F275+0.1)*1000)/$C275)*($I275/$B273)</f>
        <v>9.3676119798568783E-2</v>
      </c>
      <c r="K275" s="10">
        <f>(ABS(($G275+0.1)*1000)/$C275)*($I275/IF(B272="",$B273,$B272))</f>
        <v>2.4165120593692024E-2</v>
      </c>
      <c r="N275" s="11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2">
        <v>207.18</v>
      </c>
      <c r="F276" s="1">
        <v>413.24</v>
      </c>
      <c r="G276" s="1">
        <v>-143.28</v>
      </c>
      <c r="I276" s="10">
        <f>($C276*1000/$B$3)/$B274/$B$1</f>
        <v>0.20721150278293135</v>
      </c>
      <c r="J276" s="10">
        <f>(ABS(($F276+0.1)*1000)/$C276)*($I276/$B273)</f>
        <v>0.10955208057248876</v>
      </c>
      <c r="K276" s="10">
        <f>(ABS(($G276+0.1)*1000)/$C276)*($I276/IF(B272="",$B273,$B272))</f>
        <v>6.6410018552875691E-2</v>
      </c>
      <c r="N276" s="11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2">
        <v>-415.47</v>
      </c>
      <c r="G277" s="1">
        <v>147.04</v>
      </c>
      <c r="I277" s="10">
        <f>($C277*1000/$B$3)/$B274/$B$1</f>
        <v>0.20132653061224492</v>
      </c>
      <c r="J277" s="10">
        <f>(ABS(($F277+0.1)*1000)/$C277)*($I277/$B273)</f>
        <v>0.11009011396766498</v>
      </c>
      <c r="K277" s="10">
        <f>(ABS(($G277+0.1)*1000)/$C277)*($I277/IF(B272="",$B273,$B272))</f>
        <v>6.824675324675325E-2</v>
      </c>
      <c r="M277" s="1">
        <v>0.01</v>
      </c>
      <c r="N277" s="11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2">
        <v>415.24</v>
      </c>
      <c r="G278" s="1">
        <v>-154.27000000000001</v>
      </c>
      <c r="I278" s="10">
        <f>($C278*1000/$B$3)/$B274/$B$1</f>
        <v>0.30985343228200368</v>
      </c>
      <c r="J278" s="10">
        <f>(ABS(($F278+0.1)*1000)/$C278)*($I278/$B273)</f>
        <v>0.11008216273522398</v>
      </c>
      <c r="K278" s="10">
        <f>(ABS(($G278+0.1)*1000)/$C278)*($I278/IF(B272="",$B273,$B272))</f>
        <v>7.1507421150278305E-2</v>
      </c>
      <c r="N278" s="11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2">
        <v>-201.2</v>
      </c>
      <c r="I279" s="10">
        <f>($C279*1000/$B$3)/$B274/$B$1</f>
        <v>0.56935621521335811</v>
      </c>
      <c r="J279" s="10">
        <f>(ABS(($F279+0.1)*1000)/$C279)*($I279/$B273)</f>
        <v>2.6681685661277495E-2</v>
      </c>
      <c r="K279" s="10">
        <f>(ABS(($G279+0.1)*1000)/$C279)*($I279/IF(B272="",$B273,$B272))</f>
        <v>9.3274582560296859E-2</v>
      </c>
      <c r="N279" s="11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2">
        <v>181.2</v>
      </c>
      <c r="I280" s="10">
        <f>($C280*1000/$B$3)/$B274/$B$1</f>
        <v>0.11741372912801484</v>
      </c>
      <c r="J280" s="10">
        <f>(ABS(($F280+0.1)*1000)/$C280)*($I280/$B273)</f>
        <v>5.094089583885502E-2</v>
      </c>
      <c r="K280" s="10">
        <f>(ABS(($G280+0.1)*1000)/$C280)*($I280/IF(B272="",$B273,$B272))</f>
        <v>8.4090909090909077E-2</v>
      </c>
      <c r="M280" s="1">
        <v>1.4999999999999999E-2</v>
      </c>
      <c r="N280" s="11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2</v>
      </c>
      <c r="C282" s="1" t="s">
        <v>3</v>
      </c>
      <c r="D282" s="1" t="s">
        <v>16</v>
      </c>
      <c r="E282" s="1" t="s">
        <v>17</v>
      </c>
      <c r="F282" s="1" t="s">
        <v>6</v>
      </c>
      <c r="G282" s="1" t="s">
        <v>7</v>
      </c>
    </row>
    <row r="283" spans="1:17" x14ac:dyDescent="0.3">
      <c r="A283" s="8"/>
      <c r="B283" s="9" t="s">
        <v>50</v>
      </c>
      <c r="C283" s="2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0">
        <f>($C283*1000/$B$3)/$B286/$B$1</f>
        <v>-5.9556277056277057E-2</v>
      </c>
      <c r="J283" s="10">
        <f>(ABS(($F283+0.1)*1000)/$C283)*($I283/$B285)</f>
        <v>1.7153679653679657E-3</v>
      </c>
      <c r="K283" s="10">
        <f>(ABS(($G283+0.1)*1000)/$C283)*($I283/IF(B284="",$B285,$B284))</f>
        <v>3.6075036075036075E-5</v>
      </c>
      <c r="N283" s="11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3" t="s">
        <v>22</v>
      </c>
      <c r="B284" s="5">
        <v>600</v>
      </c>
      <c r="C284" s="2">
        <v>3409.86</v>
      </c>
      <c r="D284" s="1">
        <v>0</v>
      </c>
      <c r="E284" s="1">
        <v>-2.91</v>
      </c>
      <c r="F284" s="1">
        <v>0</v>
      </c>
      <c r="G284" s="1">
        <v>0</v>
      </c>
      <c r="I284" s="10">
        <f>($C284*1000/$B$3)/$B286/$B$1</f>
        <v>0.73806493506493509</v>
      </c>
      <c r="J284" s="10">
        <f>(ABS(($F284+0.1)*1000)/$C284)*($I284/$B285)</f>
        <v>5.4112554112554119E-5</v>
      </c>
      <c r="K284" s="10">
        <f>(ABS(($G284+0.1)*1000)/$C284)*($I284/IF(B284="",$B285,$B284))</f>
        <v>3.6075036075036075E-5</v>
      </c>
      <c r="N284" s="11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3" t="s">
        <v>24</v>
      </c>
      <c r="B285" s="5">
        <v>400</v>
      </c>
      <c r="C285" s="1">
        <v>288.41000000000003</v>
      </c>
      <c r="D285" s="2">
        <v>-167.06</v>
      </c>
      <c r="E285" s="1">
        <v>63.85</v>
      </c>
      <c r="F285" s="1">
        <v>130.44</v>
      </c>
      <c r="G285" s="1">
        <v>331</v>
      </c>
      <c r="I285" s="10">
        <f>($C285*1000/$B$3)/$B286/$B$1</f>
        <v>6.2426406926406927E-2</v>
      </c>
      <c r="J285" s="10">
        <f>(ABS(($F285+0.1)*1000)/$C285)*($I285/$B285)</f>
        <v>7.0638528138528126E-2</v>
      </c>
      <c r="K285" s="10">
        <f>(ABS(($G285+0.1)*1000)/$C285)*($I285/IF(B284="",$B285,$B284))</f>
        <v>0.11944444444444444</v>
      </c>
      <c r="N285" s="11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3" t="s">
        <v>25</v>
      </c>
      <c r="B286" s="12">
        <f>IF(B284="",(0.25*PI()*B285^2),B284*B285)</f>
        <v>240000</v>
      </c>
      <c r="C286" s="1">
        <v>1430.15</v>
      </c>
      <c r="D286" s="2">
        <v>146.62</v>
      </c>
      <c r="E286" s="1">
        <v>-44.62</v>
      </c>
      <c r="F286" s="1">
        <v>-89.01</v>
      </c>
      <c r="G286" s="1">
        <v>-236.02</v>
      </c>
      <c r="I286" s="10">
        <f>($C286*1000/$B$3)/$B286/$B$1</f>
        <v>0.30955627705627708</v>
      </c>
      <c r="J286" s="10">
        <f>(ABS(($F286+0.1)*1000)/$C286)*($I286/$B285)</f>
        <v>4.8111471861471869E-2</v>
      </c>
      <c r="K286" s="10">
        <f>(ABS(($G286+0.1)*1000)/$C286)*($I286/IF(B284="",$B285,$B284))</f>
        <v>8.5108225108225119E-2</v>
      </c>
      <c r="N286" s="11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2">
        <v>-68.55</v>
      </c>
      <c r="F287" s="1">
        <v>-146.88999999999999</v>
      </c>
      <c r="G287" s="1">
        <v>-223.04</v>
      </c>
      <c r="I287" s="10">
        <f>($C287*1000/$B$3)/$B286/$B$1</f>
        <v>0.18920562770562771</v>
      </c>
      <c r="J287" s="10">
        <f>(ABS(($F287+0.1)*1000)/$C287)*($I287/$B285)</f>
        <v>7.9431818181818187E-2</v>
      </c>
      <c r="K287" s="10">
        <f>(ABS(($G287+0.1)*1000)/$C287)*($I287/IF(B284="",$B285,$B284))</f>
        <v>8.0425685425685428E-2</v>
      </c>
      <c r="N287" s="11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2">
        <v>63.85</v>
      </c>
      <c r="F288" s="1">
        <v>130.44</v>
      </c>
      <c r="G288" s="1">
        <v>331</v>
      </c>
      <c r="I288" s="10">
        <f>($C288*1000/$B$3)/$B286/$B$1</f>
        <v>6.2426406926406927E-2</v>
      </c>
      <c r="J288" s="10">
        <f>(ABS(($F288+0.1)*1000)/$C288)*($I288/$B285)</f>
        <v>7.0638528138528126E-2</v>
      </c>
      <c r="K288" s="10">
        <f>(ABS(($G288+0.1)*1000)/$C288)*($I288/IF(B284="",$B285,$B284))</f>
        <v>0.11944444444444444</v>
      </c>
      <c r="N288" s="11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2">
        <v>-146.88999999999999</v>
      </c>
      <c r="G289" s="1">
        <v>-223.04</v>
      </c>
      <c r="I289" s="10">
        <f>($C289*1000/$B$3)/$B286/$B$1</f>
        <v>0.18920562770562771</v>
      </c>
      <c r="J289" s="10">
        <f>(ABS(($F289+0.1)*1000)/$C289)*($I289/$B285)</f>
        <v>7.9431818181818187E-2</v>
      </c>
      <c r="K289" s="10">
        <f>(ABS(($G289+0.1)*1000)/$C289)*($I289/IF(B284="",$B285,$B284))</f>
        <v>8.0425685425685428E-2</v>
      </c>
      <c r="N289" s="11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2">
        <v>148.44999999999999</v>
      </c>
      <c r="G290" s="1">
        <v>162.85</v>
      </c>
      <c r="I290" s="10">
        <f>($C290*1000/$B$3)/$B286/$B$1</f>
        <v>4.4487012987012985E-2</v>
      </c>
      <c r="J290" s="10">
        <f>(ABS(($F290+0.1)*1000)/$C290)*($I290/$B285)</f>
        <v>8.03841991341991E-2</v>
      </c>
      <c r="K290" s="10">
        <f>(ABS(($G290+0.1)*1000)/$C290)*($I290/IF(B284="",$B285,$B284))</f>
        <v>5.8784271284271286E-2</v>
      </c>
      <c r="M290" s="1">
        <v>1.2999999999999999E-2</v>
      </c>
      <c r="N290" s="11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2">
        <v>-360.67</v>
      </c>
      <c r="I291" s="10">
        <f>($C291*1000/$B$3)/$B286/$B$1</f>
        <v>3.4155844155844156E-3</v>
      </c>
      <c r="J291" s="10">
        <f>(ABS(($F291+0.1)*1000)/$C291)*($I291/$B285)</f>
        <v>7.4832251082251097E-2</v>
      </c>
      <c r="K291" s="10">
        <f>(ABS(($G291+0.1)*1000)/$C291)*($I291/IF(B284="",$B285,$B284))</f>
        <v>0.13007575757575759</v>
      </c>
      <c r="M291" s="1">
        <v>0.02</v>
      </c>
      <c r="N291" s="11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2">
        <v>331</v>
      </c>
      <c r="I292" s="10">
        <f>($C292*1000/$B$3)/$B286/$B$1</f>
        <v>6.2426406926406927E-2</v>
      </c>
      <c r="J292" s="10">
        <f>(ABS(($F292+0.1)*1000)/$C292)*($I292/$B285)</f>
        <v>7.0638528138528126E-2</v>
      </c>
      <c r="K292" s="10">
        <f>(ABS(($G292+0.1)*1000)/$C292)*($I292/IF(B284="",$B285,$B284))</f>
        <v>0.11944444444444444</v>
      </c>
      <c r="N292" s="11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3"/>
      <c r="I293" s="10"/>
      <c r="J293" s="10"/>
      <c r="K293" s="10"/>
      <c r="N293" s="11"/>
    </row>
    <row r="294" spans="1:17" x14ac:dyDescent="0.3">
      <c r="B294" s="1" t="s">
        <v>2</v>
      </c>
      <c r="C294" s="1" t="s">
        <v>3</v>
      </c>
      <c r="D294" s="1" t="s">
        <v>16</v>
      </c>
      <c r="E294" s="1" t="s">
        <v>17</v>
      </c>
      <c r="F294" s="1" t="s">
        <v>6</v>
      </c>
      <c r="G294" s="1" t="s">
        <v>7</v>
      </c>
    </row>
    <row r="295" spans="1:17" x14ac:dyDescent="0.3">
      <c r="A295" s="8"/>
      <c r="B295" s="9" t="s">
        <v>51</v>
      </c>
      <c r="C295" s="2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0">
        <f>($C295*1000/$B$3)/$B298/$B$1</f>
        <v>-1.0751706864564008</v>
      </c>
      <c r="J295" s="10">
        <f>(ABS(($F295+0.1)*1000)/$C295)*($I295/$B297)</f>
        <v>5.3803339517625233E-4</v>
      </c>
      <c r="K295" s="10">
        <f>(ABS(($G295+0.1)*1000)/$C295)*($I295/IF(B296="",$B297,$B296))</f>
        <v>2.6504108136761199E-5</v>
      </c>
      <c r="N295" s="11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3" t="s">
        <v>22</v>
      </c>
      <c r="B296" s="5">
        <v>700</v>
      </c>
      <c r="C296" s="2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0">
        <f>($C296*1000/$B$3)/$B298/$B$1</f>
        <v>1.2211243042671613</v>
      </c>
      <c r="J296" s="10">
        <f>(ABS(($F296+0.1)*1000)/$C296)*($I296/$B297)</f>
        <v>4.6382189239332094E-5</v>
      </c>
      <c r="K296" s="10">
        <f>(ABS(($G296+0.1)*1000)/$C296)*($I296/IF(B296="",$B297,$B296))</f>
        <v>3.345613570103366E-2</v>
      </c>
      <c r="M296" s="1">
        <v>0.03</v>
      </c>
      <c r="N296" s="11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3" t="s">
        <v>24</v>
      </c>
      <c r="B297" s="5">
        <v>400</v>
      </c>
      <c r="C297" s="1">
        <v>217.52</v>
      </c>
      <c r="D297" s="2">
        <v>-402.3</v>
      </c>
      <c r="E297" s="1">
        <v>74.77</v>
      </c>
      <c r="F297" s="1">
        <v>-76.760000000000005</v>
      </c>
      <c r="G297" s="1">
        <v>-179.86</v>
      </c>
      <c r="I297" s="10">
        <f>($C297*1000/$B$3)/$B298/$B$1</f>
        <v>4.0356215213358068E-2</v>
      </c>
      <c r="J297" s="10">
        <f>(ABS(($F297+0.1)*1000)/$C297)*($I297/$B297)</f>
        <v>3.5556586270871986E-2</v>
      </c>
      <c r="K297" s="10">
        <f>(ABS(($G297+0.1)*1000)/$C297)*($I297/IF(B296="",$B297,$B296))</f>
        <v>4.7643784786641934E-2</v>
      </c>
      <c r="N297" s="11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3" t="s">
        <v>25</v>
      </c>
      <c r="B298" s="12">
        <f>IF(B296="",(0.25*PI()*B297^2),B296*B297)</f>
        <v>280000</v>
      </c>
      <c r="C298" s="1">
        <v>190.31</v>
      </c>
      <c r="D298" s="2">
        <v>296.83999999999997</v>
      </c>
      <c r="E298" s="1">
        <v>-37.020000000000003</v>
      </c>
      <c r="F298" s="1">
        <v>26.29</v>
      </c>
      <c r="G298" s="1">
        <v>117.81</v>
      </c>
      <c r="I298" s="10">
        <f>($C298*1000/$B$3)/$B298/$B$1</f>
        <v>3.5307977736549166E-2</v>
      </c>
      <c r="J298" s="10">
        <f>(ABS(($F298+0.1)*1000)/$C298)*($I298/$B297)</f>
        <v>1.2240259740259741E-2</v>
      </c>
      <c r="K298" s="10">
        <f>(ABS(($G298+0.1)*1000)/$C298)*($I298/IF(B296="",$B297,$B296))</f>
        <v>3.1250993904055127E-2</v>
      </c>
      <c r="N298" s="11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2">
        <v>-37.020000000000003</v>
      </c>
      <c r="F299" s="1">
        <v>26.29</v>
      </c>
      <c r="G299" s="1">
        <v>117.81</v>
      </c>
      <c r="I299" s="10">
        <f>($C299*1000/$B$3)/$B298/$B$1</f>
        <v>3.5307977736549166E-2</v>
      </c>
      <c r="J299" s="10">
        <f>(ABS(($F299+0.1)*1000)/$C299)*($I299/$B297)</f>
        <v>1.2240259740259741E-2</v>
      </c>
      <c r="K299" s="10">
        <f>(ABS(($G299+0.1)*1000)/$C299)*($I299/IF(B296="",$B297,$B296))</f>
        <v>3.1250993904055127E-2</v>
      </c>
      <c r="N299" s="11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2">
        <v>74.77</v>
      </c>
      <c r="F300" s="1">
        <v>-76.760000000000005</v>
      </c>
      <c r="G300" s="1">
        <v>-179.86</v>
      </c>
      <c r="I300" s="10">
        <f>($C300*1000/$B$3)/$B298/$B$1</f>
        <v>4.0356215213358068E-2</v>
      </c>
      <c r="J300" s="10">
        <f>(ABS(($F300+0.1)*1000)/$C300)*($I300/$B297)</f>
        <v>3.5556586270871986E-2</v>
      </c>
      <c r="K300" s="10">
        <f>(ABS(($G300+0.1)*1000)/$C300)*($I300/IF(B296="",$B297,$B296))</f>
        <v>4.7643784786641934E-2</v>
      </c>
      <c r="N300" s="11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2">
        <v>-90.47</v>
      </c>
      <c r="G301" s="1">
        <v>-97.85</v>
      </c>
      <c r="I301" s="10">
        <f>($C301*1000/$B$3)/$B298/$B$1</f>
        <v>3.3846011131725424E-2</v>
      </c>
      <c r="J301" s="10">
        <f>(ABS(($F301+0.1)*1000)/$C301)*($I301/$B297)</f>
        <v>4.1915584415584427E-2</v>
      </c>
      <c r="K301" s="10">
        <f>(ABS(($G301+0.1)*1000)/$C301)*($I301/IF(B296="",$B297,$B296))</f>
        <v>2.5907765703684076E-2</v>
      </c>
      <c r="M301" s="1">
        <v>0.01</v>
      </c>
      <c r="N301" s="11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2">
        <v>75.599999999999994</v>
      </c>
      <c r="G302" s="1">
        <v>110.91</v>
      </c>
      <c r="I302" s="10">
        <f>($C302*1000/$B$3)/$B298/$B$1</f>
        <v>1.6233766233766236E-2</v>
      </c>
      <c r="J302" s="10">
        <f>(ABS(($F302+0.1)*1000)/$C302)*($I302/$B297)</f>
        <v>3.51113172541744E-2</v>
      </c>
      <c r="K302" s="10">
        <f>(ABS(($G302+0.1)*1000)/$C302)*($I302/IF(B296="",$B297,$B296))</f>
        <v>2.9422210442618606E-2</v>
      </c>
      <c r="N302" s="11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2">
        <v>-206.06</v>
      </c>
      <c r="I303" s="10">
        <f>($C303*1000/$B$3)/$B298/$B$1</f>
        <v>4.261781076066791E-2</v>
      </c>
      <c r="J303" s="10">
        <f>(ABS(($F303+0.1)*1000)/$C303)*($I303/$B297)</f>
        <v>3.9823747680890545E-2</v>
      </c>
      <c r="K303" s="10">
        <f>(ABS(($G303+0.1)*1000)/$C303)*($I303/IF(B296="",$B297,$B296))</f>
        <v>5.4587861118473371E-2</v>
      </c>
      <c r="M303" s="1">
        <v>0.01</v>
      </c>
      <c r="N303" s="11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2">
        <v>141.24</v>
      </c>
      <c r="I304" s="10">
        <f>($C304*1000/$B$3)/$B298/$B$1</f>
        <v>-0.59029684601113186</v>
      </c>
      <c r="J304" s="10">
        <f>(ABS(($F304+0.1)*1000)/$C304)*($I304/$B297)</f>
        <v>1.0760667903525051E-2</v>
      </c>
      <c r="K304" s="10">
        <f>(ABS(($G304+0.1)*1000)/$C304)*($I304/IF(B296="",$B297,$B296))</f>
        <v>3.7460906440498286E-2</v>
      </c>
      <c r="N304" s="11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3"/>
      <c r="I305" s="10"/>
      <c r="J305" s="10"/>
      <c r="K305" s="10"/>
      <c r="N305" s="11"/>
    </row>
    <row r="306" spans="1:17" x14ac:dyDescent="0.3">
      <c r="B306" s="1" t="s">
        <v>2</v>
      </c>
      <c r="C306" s="1" t="s">
        <v>3</v>
      </c>
      <c r="D306" s="1" t="s">
        <v>16</v>
      </c>
      <c r="E306" s="1" t="s">
        <v>17</v>
      </c>
      <c r="F306" s="1" t="s">
        <v>6</v>
      </c>
      <c r="G306" s="1" t="s">
        <v>7</v>
      </c>
    </row>
    <row r="307" spans="1:17" x14ac:dyDescent="0.3">
      <c r="A307" s="8"/>
      <c r="B307" s="9" t="s">
        <v>52</v>
      </c>
      <c r="C307" s="2">
        <v>27.04</v>
      </c>
      <c r="D307" s="1">
        <v>-25.38</v>
      </c>
      <c r="E307" s="1">
        <v>0</v>
      </c>
      <c r="F307" s="1">
        <v>114.77</v>
      </c>
      <c r="G307" s="1">
        <v>0</v>
      </c>
      <c r="I307" s="10">
        <f>($C307*1000/$B$3)/$B310/$B$1</f>
        <v>3.6499758589598513E-3</v>
      </c>
      <c r="J307" s="10">
        <f>(ABS(($F307+0.1)*1000)/$C307)*($I307/$B309)</f>
        <v>2.2150925978376902E-2</v>
      </c>
      <c r="K307" s="10">
        <f>(ABS(($G307+0.1)*1000)/$C307)*($I307/IF(B308="",$B309,$B308))</f>
        <v>1.9283473472949339E-5</v>
      </c>
      <c r="N307" s="11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3" t="s">
        <v>22</v>
      </c>
      <c r="B308" s="5"/>
      <c r="C308" s="2">
        <v>2592.06</v>
      </c>
      <c r="D308" s="1">
        <v>0</v>
      </c>
      <c r="E308" s="1">
        <v>-20.81</v>
      </c>
      <c r="F308" s="1">
        <v>0</v>
      </c>
      <c r="G308" s="1">
        <v>0</v>
      </c>
      <c r="I308" s="10">
        <f>($C308*1000/$B$3)/$B310/$B$1</f>
        <v>0.3498874417520515</v>
      </c>
      <c r="J308" s="10">
        <f>(ABS(($F308+0.1)*1000)/$C308)*($I308/$B309)</f>
        <v>1.9283473472949342E-5</v>
      </c>
      <c r="K308" s="10">
        <f>(ABS(($G308+0.1)*1000)/$C308)*($I308/IF(B308="",$B309,$B308))</f>
        <v>1.9283473472949342E-5</v>
      </c>
      <c r="N308" s="11">
        <f>O308/Q307</f>
        <v>0</v>
      </c>
      <c r="O308" s="1">
        <f>B310*M308</f>
        <v>0</v>
      </c>
      <c r="P308" s="1" t="str">
        <f>IF(Q307=490, "D25",IF(Q307=314,"D20","D16"))</f>
        <v>D20</v>
      </c>
      <c r="Q308" s="9" t="s">
        <v>23</v>
      </c>
    </row>
    <row r="309" spans="1:17" x14ac:dyDescent="0.3">
      <c r="A309" s="3" t="s">
        <v>24</v>
      </c>
      <c r="B309" s="5">
        <v>700</v>
      </c>
      <c r="C309" s="1">
        <v>850.18</v>
      </c>
      <c r="D309" s="2">
        <v>-76.22</v>
      </c>
      <c r="E309" s="1">
        <v>13.68</v>
      </c>
      <c r="F309" s="1">
        <v>46.5</v>
      </c>
      <c r="G309" s="1">
        <v>250.16</v>
      </c>
      <c r="I309" s="10">
        <f>($C309*1000/$B$3)/$B310/$B$1</f>
        <v>0.11476096434062452</v>
      </c>
      <c r="J309" s="10">
        <f>(ABS(($F309+0.1)*1000)/$C309)*($I309/$B309)</f>
        <v>8.986098638394396E-3</v>
      </c>
      <c r="K309" s="10">
        <f>(ABS(($G309+0.1)*1000)/$C309)*($I309/IF(B308="",$B309,$B308))</f>
        <v>4.8258820713403039E-2</v>
      </c>
      <c r="N309" s="11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3" t="s">
        <v>25</v>
      </c>
      <c r="B310" s="12">
        <f>IF(B308="",(0.25*PI()*B309^2),B308*B309)</f>
        <v>384845.10006474965</v>
      </c>
      <c r="C310" s="1">
        <v>340.83</v>
      </c>
      <c r="D310" s="2">
        <v>44.49</v>
      </c>
      <c r="E310" s="1">
        <v>-16.71</v>
      </c>
      <c r="F310" s="1">
        <v>-29.4</v>
      </c>
      <c r="G310" s="1">
        <v>-77.91</v>
      </c>
      <c r="I310" s="10">
        <f>($C310*1000/$B$3)/$B310/$B$1</f>
        <v>4.6006703846497278E-2</v>
      </c>
      <c r="J310" s="10">
        <f>(ABS(($F310+0.1)*1000)/$C310)*($I310/$B309)</f>
        <v>5.6500577275741589E-3</v>
      </c>
      <c r="K310" s="10">
        <f>(ABS(($G310+0.1)*1000)/$C310)*($I310/IF(B308="",$B309,$B308))</f>
        <v>1.5004470709301887E-2</v>
      </c>
      <c r="N310" s="11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2">
        <v>-78.540000000000006</v>
      </c>
      <c r="F311" s="1">
        <v>-136.47999999999999</v>
      </c>
      <c r="G311" s="1">
        <v>42.25</v>
      </c>
      <c r="I311" s="10">
        <f>($C311*1000/$B$3)/$B310/$B$1</f>
        <v>9.7819083051495406E-2</v>
      </c>
      <c r="J311" s="10">
        <f>(ABS(($F311+0.1)*1000)/$C311)*($I311/$B309)</f>
        <v>2.6298801122408316E-2</v>
      </c>
      <c r="K311" s="10">
        <f>(ABS(($G311+0.1)*1000)/$C311)*($I311/IF(B308="",$B309,$B308))</f>
        <v>8.1665510157940477E-3</v>
      </c>
      <c r="N311" s="11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2">
        <v>80.83</v>
      </c>
      <c r="F312" s="1">
        <v>252.63</v>
      </c>
      <c r="G312" s="1">
        <v>169.54</v>
      </c>
      <c r="I312" s="10">
        <f>($C312*1000/$B$3)/$B310/$B$1</f>
        <v>7.8199112966443093E-2</v>
      </c>
      <c r="J312" s="10">
        <f>(ABS(($F312+0.1)*1000)/$C312)*($I312/$B309)</f>
        <v>4.8735122508184875E-2</v>
      </c>
      <c r="K312" s="10">
        <f>(ABS(($G312+0.1)*1000)/$C312)*($I312/IF(B308="",$B309,$B308))</f>
        <v>3.2712484399511264E-2</v>
      </c>
      <c r="N312" s="11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2">
        <v>-170.58</v>
      </c>
      <c r="G313" s="1">
        <v>8.23</v>
      </c>
      <c r="I313" s="10">
        <f>($C313*1000/$B$3)/$B310/$B$1</f>
        <v>0.11099760165764372</v>
      </c>
      <c r="J313" s="10">
        <f>(ABS(($F313+0.1)*1000)/$C313)*($I313/$B309)</f>
        <v>3.2874465576684046E-2</v>
      </c>
      <c r="K313" s="10">
        <f>(ABS(($G313+0.1)*1000)/$C313)*($I313/IF(B308="",$B309,$B308))</f>
        <v>1.6063133402966802E-3</v>
      </c>
      <c r="N313" s="11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2">
        <v>252.63</v>
      </c>
      <c r="G314" s="1">
        <v>169.54</v>
      </c>
      <c r="I314" s="10">
        <f>($C314*1000/$B$3)/$B310/$B$1</f>
        <v>7.8199112966443093E-2</v>
      </c>
      <c r="J314" s="10">
        <f>(ABS(($F314+0.1)*1000)/$C314)*($I314/$B309)</f>
        <v>4.8735122508184875E-2</v>
      </c>
      <c r="K314" s="10">
        <f>(ABS(($G314+0.1)*1000)/$C314)*($I314/IF(B308="",$B309,$B308))</f>
        <v>3.2712484399511264E-2</v>
      </c>
      <c r="N314" s="11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2">
        <v>-165.43</v>
      </c>
      <c r="I315" s="10">
        <f>($C315*1000/$B$3)/$B310/$B$1</f>
        <v>0.19244713691268717</v>
      </c>
      <c r="J315" s="10">
        <f>(ABS(($F315+0.1)*1000)/$C315)*($I315/$B309)</f>
        <v>9.5009673801221411E-3</v>
      </c>
      <c r="K315" s="10">
        <f>(ABS(($G315+0.1)*1000)/$C315)*($I315/IF(B308="",$B309,$B308))</f>
        <v>3.1881366692827151E-2</v>
      </c>
      <c r="N315" s="11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2">
        <v>250.16</v>
      </c>
      <c r="I316" s="10">
        <f>($C316*1000/$B$3)/$B310/$B$1</f>
        <v>0.11476096434062452</v>
      </c>
      <c r="J316" s="10">
        <f>(ABS(($F316+0.1)*1000)/$C316)*($I316/$B309)</f>
        <v>8.986098638394396E-3</v>
      </c>
      <c r="K316" s="10">
        <f>(ABS(($G316+0.1)*1000)/$C316)*($I316/IF(B308="",$B309,$B308))</f>
        <v>4.8258820713403039E-2</v>
      </c>
      <c r="M316" s="1">
        <v>0.01</v>
      </c>
      <c r="N316" s="11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2</v>
      </c>
      <c r="C318" s="1" t="s">
        <v>3</v>
      </c>
      <c r="D318" s="1" t="s">
        <v>16</v>
      </c>
      <c r="E318" s="1" t="s">
        <v>17</v>
      </c>
      <c r="F318" s="1" t="s">
        <v>6</v>
      </c>
      <c r="G318" s="1" t="s">
        <v>7</v>
      </c>
    </row>
    <row r="319" spans="1:17" x14ac:dyDescent="0.3">
      <c r="A319" s="16"/>
      <c r="B319" s="9" t="s">
        <v>53</v>
      </c>
      <c r="C319" s="2">
        <v>-10.14</v>
      </c>
      <c r="D319" s="1">
        <v>14.39</v>
      </c>
      <c r="E319" s="1">
        <v>0</v>
      </c>
      <c r="F319" s="1">
        <v>-36.53</v>
      </c>
      <c r="G319" s="1">
        <v>0</v>
      </c>
      <c r="I319" s="10">
        <f>($C319*1000/$B$3)/$B322/$B$1</f>
        <v>-2.1948051948051947E-3</v>
      </c>
      <c r="J319" s="10">
        <f>(ABS(($F319+0.1)*1000)/$C319)*($I319/$B321)</f>
        <v>1.971320346320346E-2</v>
      </c>
      <c r="K319" s="10">
        <f>(ABS(($G319+0.1)*1000)/$C319)*($I319/IF(B320="",$B321,$B320))</f>
        <v>3.6075036075036068E-5</v>
      </c>
      <c r="N319" s="11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3" t="s">
        <v>22</v>
      </c>
      <c r="B320" s="5">
        <v>600</v>
      </c>
      <c r="C320" s="2">
        <v>1111.45</v>
      </c>
      <c r="D320" s="1">
        <v>0</v>
      </c>
      <c r="E320" s="1">
        <v>-13.97</v>
      </c>
      <c r="F320" s="1">
        <v>0</v>
      </c>
      <c r="G320" s="1">
        <v>0</v>
      </c>
      <c r="I320" s="10">
        <f>($C320*1000/$B$3)/$B322/$B$1</f>
        <v>0.24057359307359308</v>
      </c>
      <c r="J320" s="10">
        <f>(ABS(($F320+0.1)*1000)/$C320)*($I320/$B321)</f>
        <v>5.4112554112554106E-5</v>
      </c>
      <c r="K320" s="10">
        <f>(ABS(($G320+0.1)*1000)/$C320)*($I320/IF(B320="",$B321,$B320))</f>
        <v>3.6075036075036075E-5</v>
      </c>
      <c r="N320" s="11">
        <f>O320/Q319</f>
        <v>0</v>
      </c>
      <c r="O320" s="1">
        <f>B322*M320</f>
        <v>0</v>
      </c>
      <c r="P320" s="1" t="str">
        <f>IF(Q319=490, "D25",IF(Q319=314,"D20","D16"))</f>
        <v>D20</v>
      </c>
      <c r="Q320" s="9"/>
    </row>
    <row r="321" spans="1:17" x14ac:dyDescent="0.3">
      <c r="A321" s="3" t="s">
        <v>24</v>
      </c>
      <c r="B321" s="5">
        <v>400</v>
      </c>
      <c r="C321" s="1">
        <v>458.61</v>
      </c>
      <c r="D321" s="2">
        <v>-247.05</v>
      </c>
      <c r="E321" s="1">
        <v>-243.57</v>
      </c>
      <c r="F321" s="1">
        <v>-57.25</v>
      </c>
      <c r="G321" s="1">
        <v>12.84</v>
      </c>
      <c r="I321" s="10">
        <f>($C321*1000/$B$3)/$B322/$B$1</f>
        <v>9.926623376623378E-2</v>
      </c>
      <c r="J321" s="10">
        <f>(ABS(($F321+0.1)*1000)/$C321)*($I321/$B321)</f>
        <v>3.0925324675324679E-2</v>
      </c>
      <c r="K321" s="10">
        <f>(ABS(($G321+0.1)*1000)/$C321)*($I321/IF(B320="",$B321,$B320))</f>
        <v>4.6681096681096684E-3</v>
      </c>
      <c r="N321" s="11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3" t="s">
        <v>25</v>
      </c>
      <c r="B322" s="12">
        <f>IF(B320="",(0.25*PI()*B321^2),B320*B321)</f>
        <v>240000</v>
      </c>
      <c r="C322" s="1">
        <v>26.1</v>
      </c>
      <c r="D322" s="2">
        <v>183.52</v>
      </c>
      <c r="E322" s="1">
        <v>5.42</v>
      </c>
      <c r="F322" s="1">
        <v>15.34</v>
      </c>
      <c r="G322" s="1">
        <v>3.89</v>
      </c>
      <c r="I322" s="10">
        <f>($C322*1000/$B$3)/$B322/$B$1</f>
        <v>5.6493506493506505E-3</v>
      </c>
      <c r="J322" s="10">
        <f>(ABS(($F322+0.1)*1000)/$C322)*($I322/$B321)</f>
        <v>8.3549783549783565E-3</v>
      </c>
      <c r="K322" s="10">
        <f>(ABS(($G322+0.1)*1000)/$C322)*($I322/IF(B320="",$B321,$B320))</f>
        <v>1.4393939393939396E-3</v>
      </c>
      <c r="N322" s="11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2">
        <v>-270.42</v>
      </c>
      <c r="F323" s="1">
        <v>-62.46</v>
      </c>
      <c r="G323" s="1">
        <v>124.89</v>
      </c>
      <c r="I323" s="10">
        <f>($C323*1000/$B$3)/$B322/$B$1</f>
        <v>7.5506493506493508E-2</v>
      </c>
      <c r="J323" s="10">
        <f>(ABS(($F323+0.1)*1000)/$C323)*($I323/$B321)</f>
        <v>3.3744588744588744E-2</v>
      </c>
      <c r="K323" s="10">
        <f>(ABS(($G323+0.1)*1000)/$C323)*($I323/IF(B320="",$B321,$B320))</f>
        <v>4.5090187590187597E-2</v>
      </c>
      <c r="N323" s="11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2">
        <v>49.76</v>
      </c>
      <c r="F324" s="1">
        <v>62.58</v>
      </c>
      <c r="G324" s="1">
        <v>13.35</v>
      </c>
      <c r="I324" s="10">
        <f>($C324*1000/$B$3)/$B322/$B$1</f>
        <v>2.1140692640692644E-2</v>
      </c>
      <c r="J324" s="10">
        <f>(ABS(($F324+0.1)*1000)/$C324)*($I324/$B321)</f>
        <v>3.3917748917748916E-2</v>
      </c>
      <c r="K324" s="10">
        <f>(ABS(($G324+0.1)*1000)/$C324)*($I324/IF(B320="",$B321,$B320))</f>
        <v>4.8520923520923532E-3</v>
      </c>
      <c r="N324" s="11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2">
        <v>-182.06</v>
      </c>
      <c r="G325" s="1">
        <v>129.57</v>
      </c>
      <c r="I325" s="10">
        <f>($C325*1000/$B$3)/$B322/$B$1</f>
        <v>0.10009090909090909</v>
      </c>
      <c r="J325" s="10">
        <f>(ABS(($F325+0.1)*1000)/$C325)*($I325/$B321)</f>
        <v>9.8463203463203461E-2</v>
      </c>
      <c r="K325" s="10">
        <f>(ABS(($G325+0.1)*1000)/$C325)*($I325/IF(B320="",$B321,$B320))</f>
        <v>4.6778499278499273E-2</v>
      </c>
      <c r="N325" s="11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2">
        <v>239.72</v>
      </c>
      <c r="G326" s="1">
        <v>-108.26</v>
      </c>
      <c r="I326" s="10">
        <f>($C326*1000/$B$3)/$B322/$B$1</f>
        <v>9.5677489177489181E-2</v>
      </c>
      <c r="J326" s="10">
        <f>(ABS(($F326+0.1)*1000)/$C326)*($I326/$B321)</f>
        <v>0.12977272727272729</v>
      </c>
      <c r="K326" s="10">
        <f>(ABS(($G326+0.1)*1000)/$C326)*($I326/IF(B320="",$B321,$B320))</f>
        <v>3.9018759018759029E-2</v>
      </c>
      <c r="N326" s="11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2">
        <v>-251.02</v>
      </c>
      <c r="I327" s="10">
        <f>($C327*1000/$B$3)/$B322/$B$1</f>
        <v>3.9097402597402603E-2</v>
      </c>
      <c r="J327" s="10">
        <f>(ABS(($F327+0.1)*1000)/$C327)*($I327/$B321)</f>
        <v>6.6163419913419924E-2</v>
      </c>
      <c r="K327" s="10">
        <f>(ABS(($G327+0.1)*1000)/$C327)*($I327/IF(B320="",$B321,$B320))</f>
        <v>9.0519480519480555E-2</v>
      </c>
      <c r="N327" s="11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2">
        <v>234.96</v>
      </c>
      <c r="I328" s="10">
        <f>($C328*1000/$B$3)/$B322/$B$1</f>
        <v>4.3512987012987017E-2</v>
      </c>
      <c r="J328" s="10">
        <f>(ABS(($F328+0.1)*1000)/$C328)*($I328/$B321)</f>
        <v>5.9913419913419919E-2</v>
      </c>
      <c r="K328" s="10">
        <f>(ABS(($G328+0.1)*1000)/$C328)*($I328/IF(B320="",$B321,$B320))</f>
        <v>8.4797979797979803E-2</v>
      </c>
      <c r="N328" s="11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3"/>
      <c r="I329" s="10"/>
      <c r="J329" s="10"/>
      <c r="K329" s="10"/>
      <c r="N329" s="11"/>
    </row>
    <row r="330" spans="1:17" x14ac:dyDescent="0.3">
      <c r="B330" s="1" t="s">
        <v>2</v>
      </c>
      <c r="C330" s="1" t="s">
        <v>3</v>
      </c>
      <c r="D330" s="1" t="s">
        <v>16</v>
      </c>
      <c r="E330" s="1" t="s">
        <v>17</v>
      </c>
      <c r="F330" s="1" t="s">
        <v>6</v>
      </c>
      <c r="G330" s="1" t="s">
        <v>7</v>
      </c>
    </row>
    <row r="331" spans="1:17" x14ac:dyDescent="0.3">
      <c r="B331" s="1" t="s">
        <v>54</v>
      </c>
      <c r="C331" s="2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0">
        <f>($C331*1000/$B$3)/$B334/$B$1</f>
        <v>7.7597402597402608E-3</v>
      </c>
      <c r="J331" s="10">
        <f>(ABS(($F331+0.1)*1000)/$C331)*($I331/$B333)</f>
        <v>3.3766233766233766E-3</v>
      </c>
      <c r="K331" s="10">
        <f>(ABS(($G331+0.1)*1000)/$C331)*($I331/IF(B332="",$B333,$B332))</f>
        <v>3.6075036075036075E-5</v>
      </c>
      <c r="N331" s="11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3" t="s">
        <v>22</v>
      </c>
      <c r="B332" s="5">
        <v>600</v>
      </c>
      <c r="C332" s="2">
        <v>862.6</v>
      </c>
      <c r="D332" s="1">
        <v>0</v>
      </c>
      <c r="E332" s="1">
        <v>7.29</v>
      </c>
      <c r="F332" s="1">
        <v>0</v>
      </c>
      <c r="G332" s="1">
        <v>0</v>
      </c>
      <c r="I332" s="10">
        <f>($C332*1000/$B$3)/$B334/$B$1</f>
        <v>0.18670995670995671</v>
      </c>
      <c r="J332" s="10">
        <f>(ABS(($F332+0.1)*1000)/$C332)*($I332/$B333)</f>
        <v>5.4112554112554113E-5</v>
      </c>
      <c r="K332" s="10">
        <f>(ABS(($G332+0.1)*1000)/$C332)*($I332/IF(B332="",$B333,$B332))</f>
        <v>3.6075036075036075E-5</v>
      </c>
      <c r="N332" s="11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3" t="s">
        <v>24</v>
      </c>
      <c r="B333" s="5">
        <v>400</v>
      </c>
      <c r="C333" s="1">
        <v>285.63</v>
      </c>
      <c r="D333" s="2">
        <v>-75.849999999999994</v>
      </c>
      <c r="E333" s="1">
        <v>-229.99</v>
      </c>
      <c r="F333" s="1">
        <v>-64.92</v>
      </c>
      <c r="G333" s="1">
        <v>-45.84</v>
      </c>
      <c r="I333" s="10">
        <f>($C333*1000/$B$3)/$B334/$B$1</f>
        <v>6.1824675324675331E-2</v>
      </c>
      <c r="J333" s="10">
        <f>(ABS(($F333+0.1)*1000)/$C333)*($I333/$B333)</f>
        <v>3.5075757575757587E-2</v>
      </c>
      <c r="K333" s="10">
        <f>(ABS(($G333+0.1)*1000)/$C333)*($I333/IF(B332="",$B333,$B332))</f>
        <v>1.6500721500721502E-2</v>
      </c>
      <c r="N333" s="11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3" t="s">
        <v>25</v>
      </c>
      <c r="B334" s="12">
        <f>IF(B332="",(0.25*PI()*B333^2),B332*B333)</f>
        <v>240000</v>
      </c>
      <c r="C334" s="1">
        <v>137.44999999999999</v>
      </c>
      <c r="D334" s="2">
        <v>51.35</v>
      </c>
      <c r="E334" s="1">
        <v>-28.07</v>
      </c>
      <c r="F334" s="1">
        <v>-22.64</v>
      </c>
      <c r="G334" s="1">
        <v>11.06</v>
      </c>
      <c r="I334" s="10">
        <f>($C334*1000/$B$3)/$B334/$B$1</f>
        <v>2.9751082251082254E-2</v>
      </c>
      <c r="J334" s="10">
        <f>(ABS(($F334+0.1)*1000)/$C334)*($I334/$B333)</f>
        <v>1.2196969696969699E-2</v>
      </c>
      <c r="K334" s="10">
        <f>(ABS(($G334+0.1)*1000)/$C334)*($I334/IF(B332="",$B333,$B332))</f>
        <v>4.0259740259740275E-3</v>
      </c>
      <c r="N334" s="11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2">
        <v>-302.69</v>
      </c>
      <c r="F335" s="1">
        <v>-81.99</v>
      </c>
      <c r="G335" s="1">
        <v>-45.05</v>
      </c>
      <c r="I335" s="10">
        <f>($C335*1000/$B$3)/$B334/$B$1</f>
        <v>3.5175324675324679E-2</v>
      </c>
      <c r="J335" s="10">
        <f>(ABS(($F335+0.1)*1000)/$C335)*($I335/$B333)</f>
        <v>4.4312770562770575E-2</v>
      </c>
      <c r="K335" s="10">
        <f>(ABS(($G335+0.1)*1000)/$C335)*($I335/IF(B332="",$B333,$B332))</f>
        <v>1.6215728715728718E-2</v>
      </c>
      <c r="N335" s="11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2">
        <v>14.48</v>
      </c>
      <c r="F336" s="1">
        <v>56.86</v>
      </c>
      <c r="G336" s="1">
        <v>38.49</v>
      </c>
      <c r="I336" s="10">
        <f>($C336*1000/$B$3)/$B334/$B$1</f>
        <v>2.2562770562770559E-2</v>
      </c>
      <c r="J336" s="10">
        <f>(ABS(($F336+0.1)*1000)/$C336)*($I336/$B333)</f>
        <v>3.0822510822510821E-2</v>
      </c>
      <c r="K336" s="10">
        <f>(ABS(($G336+0.1)*1000)/$C336)*($I336/IF(B332="",$B333,$B332))</f>
        <v>1.392135642135642E-2</v>
      </c>
      <c r="N336" s="11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2">
        <v>-112.36</v>
      </c>
      <c r="G337" s="1">
        <v>-81.89</v>
      </c>
      <c r="I337" s="10">
        <f>($C337*1000/$B$3)/$B334/$B$1</f>
        <v>1.1621212121212121E-2</v>
      </c>
      <c r="J337" s="10">
        <f>(ABS(($F337+0.1)*1000)/$C337)*($I337/$B333)</f>
        <v>6.074675324675325E-2</v>
      </c>
      <c r="K337" s="10">
        <f>(ABS(($G337+0.1)*1000)/$C337)*($I337/IF(B332="",$B333,$B332))</f>
        <v>2.9505772005772007E-2</v>
      </c>
      <c r="N337" s="11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2">
        <v>223.74</v>
      </c>
      <c r="G338" s="1">
        <v>43.59</v>
      </c>
      <c r="I338" s="10">
        <f>($C338*1000/$B$3)/$B334/$B$1</f>
        <v>5.8240259740259745E-2</v>
      </c>
      <c r="J338" s="10">
        <f>(ABS(($F338+0.1)*1000)/$C338)*($I338/$B333)</f>
        <v>0.12112554112554114</v>
      </c>
      <c r="K338" s="10">
        <f>(ABS(($G338+0.1)*1000)/$C338)*($I338/IF(B332="",$B333,$B332))</f>
        <v>1.5761183261183264E-2</v>
      </c>
      <c r="M338" s="1">
        <v>0.02</v>
      </c>
      <c r="N338" s="11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2">
        <v>-101.6</v>
      </c>
      <c r="I339" s="10">
        <f>($C339*1000/$B$3)/$B334/$B$1</f>
        <v>6.0720779220779231E-2</v>
      </c>
      <c r="J339" s="10">
        <f>(ABS(($F339+0.1)*1000)/$C339)*($I339/$B333)</f>
        <v>2.3863636363636372E-2</v>
      </c>
      <c r="K339" s="10">
        <f>(ABS(($G339+0.1)*1000)/$C339)*($I339/IF(B332="",$B333,$B332))</f>
        <v>3.6616161616161623E-2</v>
      </c>
      <c r="M339" s="1">
        <v>0.02</v>
      </c>
      <c r="N339" s="11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2">
        <v>74.67</v>
      </c>
      <c r="I340" s="10">
        <f>($C340*1000/$B$3)/$B334/$B$1</f>
        <v>0.10138311688311688</v>
      </c>
      <c r="J340" s="10">
        <f>(ABS(($F340+0.1)*1000)/$C340)*($I340/$B333)</f>
        <v>1.0643939393939395E-2</v>
      </c>
      <c r="K340" s="10">
        <f>(ABS(($G340+0.1)*1000)/$C340)*($I340/IF(B332="",$B333,$B332))</f>
        <v>2.6973304473304476E-2</v>
      </c>
      <c r="N340" s="11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2</v>
      </c>
      <c r="C342" s="1" t="s">
        <v>3</v>
      </c>
      <c r="D342" s="1" t="s">
        <v>16</v>
      </c>
      <c r="E342" s="1" t="s">
        <v>17</v>
      </c>
      <c r="F342" s="1" t="s">
        <v>6</v>
      </c>
      <c r="G342" s="1" t="s">
        <v>7</v>
      </c>
    </row>
    <row r="343" spans="1:16" x14ac:dyDescent="0.3">
      <c r="B343" s="1" t="s">
        <v>55</v>
      </c>
      <c r="C343" s="2">
        <v>49.06</v>
      </c>
      <c r="D343" s="1">
        <v>-17.38</v>
      </c>
      <c r="E343" s="1">
        <v>0</v>
      </c>
      <c r="F343" s="1">
        <v>-88.82</v>
      </c>
      <c r="G343" s="1">
        <v>0</v>
      </c>
      <c r="I343" s="10">
        <f>($C343*1000/$B$3)/$B346/$B$1</f>
        <v>1.0619047619047618E-2</v>
      </c>
      <c r="J343" s="10">
        <f>(ABS(($F343+0.1)*1000)/$C343)*($I343/$B345)</f>
        <v>3.2005772005772003E-2</v>
      </c>
      <c r="K343" s="10">
        <f>(ABS(($G343+0.1)*1000)/$C343)*($I343/IF(B344="",$B345,$B344))</f>
        <v>5.4112554112554106E-5</v>
      </c>
    </row>
    <row r="344" spans="1:16" x14ac:dyDescent="0.3">
      <c r="A344" s="3" t="s">
        <v>22</v>
      </c>
      <c r="B344" s="5">
        <v>400</v>
      </c>
      <c r="C344" s="2">
        <v>1673.28</v>
      </c>
      <c r="D344" s="1">
        <v>0</v>
      </c>
      <c r="E344" s="1">
        <v>20.12</v>
      </c>
      <c r="F344" s="1">
        <v>0</v>
      </c>
      <c r="G344" s="1">
        <v>0</v>
      </c>
      <c r="I344" s="10">
        <f>($C344*1000/$B$3)/$B346/$B$1</f>
        <v>0.36218181818181822</v>
      </c>
      <c r="J344" s="10">
        <f>(ABS(($F344+0.1)*1000)/$C344)*($I344/$B345)</f>
        <v>3.6075036075036075E-5</v>
      </c>
      <c r="K344" s="10">
        <f>(ABS(($G344+0.1)*1000)/$C344)*($I344/IF(B344="",$B345,$B344))</f>
        <v>5.4112554112554119E-5</v>
      </c>
    </row>
    <row r="345" spans="1:16" x14ac:dyDescent="0.3">
      <c r="A345" s="3" t="s">
        <v>24</v>
      </c>
      <c r="B345" s="5">
        <v>600</v>
      </c>
      <c r="C345" s="1">
        <v>340.04</v>
      </c>
      <c r="D345" s="2">
        <v>-105.38</v>
      </c>
      <c r="E345" s="1">
        <v>-86.77</v>
      </c>
      <c r="F345" s="1">
        <v>-122.93</v>
      </c>
      <c r="G345" s="1">
        <v>39.5</v>
      </c>
      <c r="I345" s="10">
        <f>($C345*1000/$B$3)/$B346/$B$1</f>
        <v>7.3601731601731599E-2</v>
      </c>
      <c r="J345" s="10">
        <f>(ABS(($F345+0.1)*1000)/$C345)*($I345/$B345)</f>
        <v>4.4310966810966815E-2</v>
      </c>
      <c r="K345" s="10">
        <f>(ABS(($G345+0.1)*1000)/$C345)*($I345/IF(B344="",$B345,$B344))</f>
        <v>2.1428571428571425E-2</v>
      </c>
    </row>
    <row r="346" spans="1:16" x14ac:dyDescent="0.3">
      <c r="A346" s="3" t="s">
        <v>25</v>
      </c>
      <c r="B346" s="12">
        <f>IF(B344="",(0.25*PI()*B345^2),B344*B345)</f>
        <v>240000</v>
      </c>
      <c r="C346" s="1">
        <v>830.86</v>
      </c>
      <c r="D346" s="2">
        <v>111.18</v>
      </c>
      <c r="E346" s="1">
        <v>78.040000000000006</v>
      </c>
      <c r="F346" s="1">
        <v>107.76</v>
      </c>
      <c r="G346" s="1">
        <v>-33.54</v>
      </c>
      <c r="I346" s="10">
        <f>($C346*1000/$B$3)/$B346/$B$1</f>
        <v>0.17983982683982686</v>
      </c>
      <c r="J346" s="10">
        <f>(ABS(($F346+0.1)*1000)/$C346)*($I346/$B345)</f>
        <v>3.8910533910533916E-2</v>
      </c>
      <c r="K346" s="10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2">
        <v>-86.77</v>
      </c>
      <c r="F347" s="1">
        <v>-122.93</v>
      </c>
      <c r="G347" s="1">
        <v>39.5</v>
      </c>
      <c r="I347" s="10">
        <f>($C347*1000/$B$3)/$B346/$B$1</f>
        <v>7.3601731601731599E-2</v>
      </c>
      <c r="J347" s="10">
        <f>(ABS(($F347+0.1)*1000)/$C347)*($I347/$B345)</f>
        <v>4.4310966810966815E-2</v>
      </c>
      <c r="K347" s="10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2">
        <v>78.040000000000006</v>
      </c>
      <c r="F348" s="1">
        <v>107.76</v>
      </c>
      <c r="G348" s="1">
        <v>-33.54</v>
      </c>
      <c r="I348" s="10">
        <f>($C348*1000/$B$3)/$B346/$B$1</f>
        <v>0.17983982683982686</v>
      </c>
      <c r="J348" s="10">
        <f>(ABS(($F348+0.1)*1000)/$C348)*($I348/$B345)</f>
        <v>3.8910533910533916E-2</v>
      </c>
      <c r="K348" s="10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2">
        <v>-125.79</v>
      </c>
      <c r="G349" s="1">
        <v>54.2</v>
      </c>
      <c r="I349" s="10">
        <f>($C349*1000/$B$3)/$B346/$B$1</f>
        <v>0.12414718614718616</v>
      </c>
      <c r="J349" s="10">
        <f>(ABS(($F349+0.1)*1000)/$C349)*($I349/$B345)</f>
        <v>4.5342712842712858E-2</v>
      </c>
      <c r="K349" s="10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2">
        <v>137.53</v>
      </c>
      <c r="G350" s="1">
        <v>-70.3</v>
      </c>
      <c r="I350" s="10">
        <f>($C350*1000/$B$3)/$B346/$B$1</f>
        <v>0.10976190476190477</v>
      </c>
      <c r="J350" s="10">
        <f>(ABS(($F350+0.1)*1000)/$C350)*($I350/$B345)</f>
        <v>4.965007215007216E-2</v>
      </c>
      <c r="K350" s="10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2">
        <v>-190.67</v>
      </c>
      <c r="I351" s="10">
        <f>($C351*1000/$B$3)/$B346/$B$1</f>
        <v>7.0292207792207795E-2</v>
      </c>
      <c r="J351" s="10">
        <f>(ABS(($F351+0.1)*1000)/$C351)*($I351/$B345)</f>
        <v>1.484848484848485E-2</v>
      </c>
      <c r="K351" s="10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2">
        <v>189.96</v>
      </c>
      <c r="I352" s="10">
        <f>($C352*1000/$B$3)/$B346/$B$1</f>
        <v>0.17542424242424243</v>
      </c>
      <c r="J352" s="10">
        <f>(ABS(($F352+0.1)*1000)/$C352)*($I352/$B345)</f>
        <v>4.4917027417027411E-2</v>
      </c>
      <c r="K352" s="10">
        <f>(ABS(($G352+0.1)*1000)/$C352)*($I352/IF(B344="",$B345,$B344))</f>
        <v>0.10284632034632035</v>
      </c>
    </row>
    <row r="354" spans="1:11" x14ac:dyDescent="0.3">
      <c r="B354" s="1" t="s">
        <v>2</v>
      </c>
      <c r="C354" s="1" t="s">
        <v>3</v>
      </c>
      <c r="D354" s="1" t="s">
        <v>16</v>
      </c>
      <c r="E354" s="1" t="s">
        <v>17</v>
      </c>
      <c r="F354" s="1" t="s">
        <v>6</v>
      </c>
      <c r="G354" s="1" t="s">
        <v>7</v>
      </c>
    </row>
    <row r="355" spans="1:11" x14ac:dyDescent="0.3">
      <c r="B355" s="1" t="s">
        <v>56</v>
      </c>
      <c r="C355" s="2">
        <v>-0.01</v>
      </c>
      <c r="D355" s="1">
        <v>-1.92</v>
      </c>
      <c r="E355" s="1">
        <v>0</v>
      </c>
      <c r="F355" s="1">
        <v>0</v>
      </c>
      <c r="G355" s="1">
        <v>0</v>
      </c>
      <c r="I355" s="10">
        <f>($C355*1000/$B$3)/$B358/$B$1</f>
        <v>-1.3498431431064539E-6</v>
      </c>
      <c r="J355" s="10">
        <f>(ABS(($F355+0.1)*1000)/$C355)*($I355/$B357)</f>
        <v>1.9283473472949342E-5</v>
      </c>
      <c r="K355" s="10">
        <f>(ABS(($G355+0.1)*1000)/$C355)*($I355/IF(B356="",$B357,$B356))</f>
        <v>1.9283473472949342E-5</v>
      </c>
    </row>
    <row r="356" spans="1:11" x14ac:dyDescent="0.3">
      <c r="A356" s="3" t="s">
        <v>22</v>
      </c>
      <c r="C356" s="2">
        <v>1521.7</v>
      </c>
      <c r="D356" s="1">
        <v>0</v>
      </c>
      <c r="E356" s="1">
        <v>18.57</v>
      </c>
      <c r="F356" s="1">
        <v>0</v>
      </c>
      <c r="G356" s="1">
        <v>0</v>
      </c>
      <c r="I356" s="10">
        <f>($C356*1000/$B$3)/$B358/$B$1</f>
        <v>0.20540563108650914</v>
      </c>
      <c r="J356" s="10">
        <f>(ABS(($F356+0.1)*1000)/$C356)*($I356/$B357)</f>
        <v>1.9283473472949342E-5</v>
      </c>
      <c r="K356" s="10">
        <f>(ABS(($G356+0.1)*1000)/$C356)*($I356/IF(B356="",$B357,$B356))</f>
        <v>1.9283473472949342E-5</v>
      </c>
    </row>
    <row r="357" spans="1:11" x14ac:dyDescent="0.3">
      <c r="A357" s="3" t="s">
        <v>24</v>
      </c>
      <c r="B357" s="5">
        <v>700</v>
      </c>
      <c r="C357" s="1">
        <v>996.49</v>
      </c>
      <c r="D357" s="2">
        <v>-33.85</v>
      </c>
      <c r="E357" s="1">
        <v>-56.86</v>
      </c>
      <c r="F357" s="1">
        <v>0</v>
      </c>
      <c r="G357" s="1">
        <v>0</v>
      </c>
      <c r="I357" s="10">
        <f>($C357*1000/$B$3)/$B358/$B$1</f>
        <v>0.13451051936741504</v>
      </c>
      <c r="J357" s="10">
        <f>(ABS(($F357+0.1)*1000)/$C357)*($I357/$B357)</f>
        <v>1.9283473472949342E-5</v>
      </c>
      <c r="K357" s="10">
        <f>(ABS(($G357+0.1)*1000)/$C357)*($I357/IF(B356="",$B357,$B356))</f>
        <v>1.9283473472949342E-5</v>
      </c>
    </row>
    <row r="358" spans="1:11" x14ac:dyDescent="0.3">
      <c r="A358" s="3" t="s">
        <v>25</v>
      </c>
      <c r="B358" s="12">
        <f>IF(B356="",(0.25*PI()*B357^2),B356*B357)</f>
        <v>384845.10006474965</v>
      </c>
      <c r="C358" s="1">
        <v>425.27</v>
      </c>
      <c r="D358" s="2">
        <v>231.44</v>
      </c>
      <c r="E358" s="1">
        <v>136.16999999999999</v>
      </c>
      <c r="F358" s="1">
        <v>344.98</v>
      </c>
      <c r="G358" s="1">
        <v>-183.63</v>
      </c>
      <c r="I358" s="10">
        <f>($C358*1000/$B$3)/$B358/$B$1</f>
        <v>5.7404779346888174E-2</v>
      </c>
      <c r="J358" s="10">
        <f>(ABS(($F358+0.1)*1000)/$C358)*($I358/$B357)</f>
        <v>6.6543410260453614E-2</v>
      </c>
      <c r="K358" s="10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2">
        <v>-60.63</v>
      </c>
      <c r="F359" s="1">
        <v>-133.69</v>
      </c>
      <c r="G359" s="1">
        <v>-364.1</v>
      </c>
      <c r="I359" s="10">
        <f>($C359*1000/$B$3)/$B358/$B$1</f>
        <v>4.990370100064561E-2</v>
      </c>
      <c r="J359" s="10">
        <f>(ABS(($F359+0.1)*1000)/$C359)*($I359/$B357)</f>
        <v>2.5760792212513029E-2</v>
      </c>
      <c r="K359" s="10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2">
        <v>172.91</v>
      </c>
      <c r="F360" s="1">
        <v>409.2</v>
      </c>
      <c r="G360" s="1">
        <v>-0.41</v>
      </c>
      <c r="I360" s="10">
        <f>($C360*1000/$B$3)/$B358/$B$1</f>
        <v>7.1605129212368071E-2</v>
      </c>
      <c r="J360" s="10">
        <f>(ABS(($F360+0.1)*1000)/$C360)*($I360/$B357)</f>
        <v>7.8927256924781669E-2</v>
      </c>
      <c r="K360" s="10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2">
        <v>-449.04</v>
      </c>
      <c r="G361" s="1">
        <v>-18.66</v>
      </c>
      <c r="I361" s="10">
        <f>($C361*1000/$B$3)/$B358/$B$1</f>
        <v>4.19544747308917E-2</v>
      </c>
      <c r="J361" s="10">
        <f>(ABS(($F361+0.1)*1000)/$C361)*($I361/$B357)</f>
        <v>8.6571225809458779E-2</v>
      </c>
      <c r="K361" s="10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2">
        <v>409.2</v>
      </c>
      <c r="G362" s="1">
        <v>-0.41</v>
      </c>
      <c r="I362" s="10">
        <f>($C362*1000/$B$3)/$B358/$B$1</f>
        <v>7.1605129212368071E-2</v>
      </c>
      <c r="J362" s="10">
        <f>(ABS(($F362+0.1)*1000)/$C362)*($I362/$B357)</f>
        <v>7.8927256924781669E-2</v>
      </c>
      <c r="K362" s="10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2">
        <v>-583.55999999999995</v>
      </c>
      <c r="I363" s="10">
        <f>($C363*1000/$B$3)/$B358/$B$1</f>
        <v>3.9551753936162212E-2</v>
      </c>
      <c r="J363" s="10">
        <f>(ABS(($F363+0.1)*1000)/$C363)*($I363/$B357)</f>
        <v>1.3251602970610791E-2</v>
      </c>
      <c r="K363" s="10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2">
        <v>565.1</v>
      </c>
      <c r="I364" s="10">
        <f>($C364*1000/$B$3)/$B358/$B$1</f>
        <v>5.0045434530671784E-2</v>
      </c>
      <c r="J364" s="10">
        <f>(ABS(($F364+0.1)*1000)/$C364)*($I364/$B357)</f>
        <v>1.0521063126841161E-2</v>
      </c>
      <c r="K364" s="10">
        <f>(ABS(($G364+0.1)*1000)/$C364)*($I364/IF(B356="",$B357,$B356))</f>
        <v>0.1089901920691097</v>
      </c>
    </row>
    <row r="366" spans="1:11" x14ac:dyDescent="0.3">
      <c r="B366" s="1" t="s">
        <v>2</v>
      </c>
      <c r="C366" s="1" t="s">
        <v>3</v>
      </c>
      <c r="D366" s="1" t="s">
        <v>16</v>
      </c>
      <c r="E366" s="1" t="s">
        <v>17</v>
      </c>
      <c r="F366" s="1" t="s">
        <v>6</v>
      </c>
      <c r="G366" s="1" t="s">
        <v>7</v>
      </c>
    </row>
    <row r="367" spans="1:11" x14ac:dyDescent="0.3">
      <c r="B367" s="1" t="s">
        <v>57</v>
      </c>
      <c r="C367" s="2">
        <v>-0.01</v>
      </c>
      <c r="D367" s="1">
        <v>-1.67</v>
      </c>
      <c r="E367" s="1">
        <v>0</v>
      </c>
      <c r="F367" s="1">
        <v>0</v>
      </c>
      <c r="G367" s="1">
        <v>0</v>
      </c>
      <c r="I367" s="10">
        <f>($C367*1000/$B$3)/$B370/$B$1</f>
        <v>-1.3498431431064539E-6</v>
      </c>
      <c r="J367" s="10">
        <f>(ABS(($F367+0.1)*1000)/$C367)*($I367/$B369)</f>
        <v>1.9283473472949342E-5</v>
      </c>
      <c r="K367" s="10">
        <f>(ABS(($G367+0.1)*1000)/$C367)*($I367/IF(B368="",$B369,$B368))</f>
        <v>1.9283473472949342E-5</v>
      </c>
    </row>
    <row r="368" spans="1:11" x14ac:dyDescent="0.3">
      <c r="A368" s="3" t="s">
        <v>22</v>
      </c>
      <c r="C368" s="2">
        <v>1504.08</v>
      </c>
      <c r="D368" s="1">
        <v>0</v>
      </c>
      <c r="E368" s="1">
        <v>28.46</v>
      </c>
      <c r="F368" s="1">
        <v>0</v>
      </c>
      <c r="G368" s="1">
        <v>0</v>
      </c>
      <c r="I368" s="10">
        <f>($C368*1000/$B$3)/$B370/$B$1</f>
        <v>0.20302720746835556</v>
      </c>
      <c r="J368" s="10">
        <f>(ABS(($F368+0.1)*1000)/$C368)*($I368/$B369)</f>
        <v>1.9283473472949346E-5</v>
      </c>
      <c r="K368" s="10">
        <f>(ABS(($G368+0.1)*1000)/$C368)*($I368/IF(B368="",$B369,$B368))</f>
        <v>1.9283473472949346E-5</v>
      </c>
    </row>
    <row r="369" spans="1:11" x14ac:dyDescent="0.3">
      <c r="A369" s="3" t="s">
        <v>24</v>
      </c>
      <c r="B369" s="5">
        <v>700</v>
      </c>
      <c r="C369" s="1">
        <v>254.7</v>
      </c>
      <c r="D369" s="2">
        <v>-94.07</v>
      </c>
      <c r="E369" s="1">
        <v>-35.19</v>
      </c>
      <c r="F369" s="1">
        <v>-83.26</v>
      </c>
      <c r="G369" s="1">
        <v>-8.7899999999999991</v>
      </c>
      <c r="I369" s="10">
        <f>($C369*1000/$B$3)/$B370/$B$1</f>
        <v>3.438050485492139E-2</v>
      </c>
      <c r="J369" s="10">
        <f>(ABS(($F369+0.1)*1000)/$C369)*($I369/$B369)</f>
        <v>1.6036136540104679E-2</v>
      </c>
      <c r="K369" s="10">
        <f>(ABS(($G369+0.1)*1000)/$C369)*($I369/IF(B368="",$B369,$B368))</f>
        <v>1.6757338447992982E-3</v>
      </c>
    </row>
    <row r="370" spans="1:11" x14ac:dyDescent="0.3">
      <c r="A370" s="3" t="s">
        <v>25</v>
      </c>
      <c r="B370" s="12">
        <f>IF(B368="",(0.25*PI()*B369^2),B368*B369)</f>
        <v>384845.10006474965</v>
      </c>
      <c r="C370" s="1">
        <v>402.22</v>
      </c>
      <c r="D370" s="2">
        <v>74.25</v>
      </c>
      <c r="E370" s="1">
        <v>25.98</v>
      </c>
      <c r="F370" s="1">
        <v>78.7</v>
      </c>
      <c r="G370" s="1">
        <v>-16.54</v>
      </c>
      <c r="I370" s="10">
        <f>($C370*1000/$B$3)/$B370/$B$1</f>
        <v>5.4293390902027797E-2</v>
      </c>
      <c r="J370" s="10">
        <f>(ABS(($F370+0.1)*1000)/$C370)*($I370/$B369)</f>
        <v>1.5195377096684082E-2</v>
      </c>
      <c r="K370" s="10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2">
        <v>-125.5</v>
      </c>
      <c r="F371" s="1">
        <v>-286.33</v>
      </c>
      <c r="G371" s="1">
        <v>-146.59</v>
      </c>
      <c r="I371" s="10">
        <f>($C371*1000/$B$3)/$B370/$B$1</f>
        <v>4.9042501075343685E-2</v>
      </c>
      <c r="J371" s="10">
        <f>(ABS(($F371+0.1)*1000)/$C371)*($I371/$B369)</f>
        <v>5.519508612162289E-2</v>
      </c>
      <c r="K371" s="10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2">
        <v>85.12</v>
      </c>
      <c r="F372" s="1">
        <v>228.5</v>
      </c>
      <c r="G372" s="1">
        <v>147.46</v>
      </c>
      <c r="I372" s="10">
        <f>($C372*1000/$B$3)/$B370/$B$1</f>
        <v>4.1780344965430968E-2</v>
      </c>
      <c r="J372" s="10">
        <f>(ABS(($F372+0.1)*1000)/$C372)*($I372/$B369)</f>
        <v>4.4082020359162206E-2</v>
      </c>
      <c r="K372" s="10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2">
        <v>-286.33</v>
      </c>
      <c r="G373" s="1">
        <v>-146.59</v>
      </c>
      <c r="I373" s="10">
        <f>($C373*1000/$B$3)/$B370/$B$1</f>
        <v>4.9042501075343685E-2</v>
      </c>
      <c r="J373" s="10">
        <f>(ABS(($F373+0.1)*1000)/$C373)*($I373/$B369)</f>
        <v>5.519508612162289E-2</v>
      </c>
      <c r="K373" s="10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2">
        <v>335.17</v>
      </c>
      <c r="G374" s="1">
        <v>124.39</v>
      </c>
      <c r="I374" s="10">
        <f>($C374*1000/$B$3)/$B370/$B$1</f>
        <v>6.5136680870601954E-2</v>
      </c>
      <c r="J374" s="10">
        <f>(ABS(($F374+0.1)*1000)/$C374)*($I374/$B369)</f>
        <v>6.4651701512757287E-2</v>
      </c>
      <c r="K374" s="10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2">
        <v>-241.24</v>
      </c>
      <c r="I375" s="10">
        <f>($C375*1000/$B$3)/$B370/$B$1</f>
        <v>2.8863695929045308E-2</v>
      </c>
      <c r="J375" s="10">
        <f>(ABS(($F375+0.1)*1000)/$C375)*($I375/$B369)</f>
        <v>3.0228773016195396E-2</v>
      </c>
      <c r="K375" s="10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2">
        <v>220.55</v>
      </c>
      <c r="I376" s="10">
        <f>($C376*1000/$B$3)/$B370/$B$1</f>
        <v>5.2097196108193591E-2</v>
      </c>
      <c r="J376" s="10">
        <f>(ABS(($F376+0.1)*1000)/$C376)*($I376/$B369)</f>
        <v>3.7988442741710204E-2</v>
      </c>
      <c r="K376" s="10">
        <f>(ABS(($G376+0.1)*1000)/$C376)*($I376/IF(B368="",$B369,$B368))</f>
        <v>4.2548984218062719E-2</v>
      </c>
    </row>
    <row r="378" spans="1:11" x14ac:dyDescent="0.3">
      <c r="B378" s="1" t="s">
        <v>2</v>
      </c>
      <c r="C378" s="1" t="s">
        <v>3</v>
      </c>
      <c r="D378" s="1" t="s">
        <v>16</v>
      </c>
      <c r="E378" s="1" t="s">
        <v>17</v>
      </c>
      <c r="F378" s="1" t="s">
        <v>6</v>
      </c>
      <c r="G378" s="1" t="s">
        <v>7</v>
      </c>
    </row>
    <row r="379" spans="1:11" x14ac:dyDescent="0.3">
      <c r="B379" s="1" t="s">
        <v>58</v>
      </c>
      <c r="C379" s="2">
        <v>-0.01</v>
      </c>
      <c r="D379" s="1">
        <v>-1.77</v>
      </c>
      <c r="E379" s="1">
        <v>0</v>
      </c>
      <c r="F379" s="1">
        <v>0</v>
      </c>
      <c r="G379" s="1">
        <v>0</v>
      </c>
      <c r="I379" s="10">
        <f>($C379*1000/$B$3)/$B382/$B$1</f>
        <v>-1.3498431431064539E-6</v>
      </c>
      <c r="J379" s="10">
        <f>(ABS(($F379+0.1)*1000)/$C379)*($I379/$B381)</f>
        <v>1.9283473472949342E-5</v>
      </c>
      <c r="K379" s="10">
        <f>(ABS(($G379+0.1)*1000)/$C379)*($I379/IF(B380="",$B381,$B380))</f>
        <v>1.9283473472949342E-5</v>
      </c>
    </row>
    <row r="380" spans="1:11" x14ac:dyDescent="0.3">
      <c r="A380" s="3" t="s">
        <v>22</v>
      </c>
      <c r="C380" s="2">
        <v>1071.27</v>
      </c>
      <c r="D380" s="1">
        <v>0</v>
      </c>
      <c r="E380" s="1">
        <v>38.53</v>
      </c>
      <c r="F380" s="1">
        <v>0</v>
      </c>
      <c r="G380" s="1">
        <v>0</v>
      </c>
      <c r="I380" s="10">
        <f>($C380*1000/$B$3)/$B382/$B$1</f>
        <v>0.14460464639156509</v>
      </c>
      <c r="J380" s="10">
        <f>(ABS(($F380+0.1)*1000)/$C380)*($I380/$B381)</f>
        <v>1.9283473472949342E-5</v>
      </c>
      <c r="K380" s="10">
        <f>(ABS(($G380+0.1)*1000)/$C380)*($I380/IF(B380="",$B381,$B380))</f>
        <v>1.9283473472949342E-5</v>
      </c>
    </row>
    <row r="381" spans="1:11" x14ac:dyDescent="0.3">
      <c r="A381" s="3" t="s">
        <v>24</v>
      </c>
      <c r="B381" s="5">
        <v>700</v>
      </c>
      <c r="C381" s="1">
        <v>647.41999999999996</v>
      </c>
      <c r="D381" s="2">
        <v>-7.41</v>
      </c>
      <c r="E381" s="1">
        <v>-20.27</v>
      </c>
      <c r="F381" s="1">
        <v>0</v>
      </c>
      <c r="G381" s="1">
        <v>0</v>
      </c>
      <c r="I381" s="10">
        <f>($C381*1000/$B$3)/$B382/$B$1</f>
        <v>8.7391544770998045E-2</v>
      </c>
      <c r="J381" s="10">
        <f>(ABS(($F381+0.1)*1000)/$C381)*($I381/$B381)</f>
        <v>1.9283473472949342E-5</v>
      </c>
      <c r="K381" s="10">
        <f>(ABS(($G381+0.1)*1000)/$C381)*($I381/IF(B380="",$B381,$B380))</f>
        <v>1.9283473472949342E-5</v>
      </c>
    </row>
    <row r="382" spans="1:11" x14ac:dyDescent="0.3">
      <c r="A382" s="3" t="s">
        <v>25</v>
      </c>
      <c r="B382" s="12">
        <f>IF(B380="",(0.25*PI()*B381^2),B380*B381)</f>
        <v>384845.10006474965</v>
      </c>
      <c r="C382" s="1">
        <v>367.79</v>
      </c>
      <c r="D382" s="2">
        <v>99.59</v>
      </c>
      <c r="E382" s="1">
        <v>91.49</v>
      </c>
      <c r="F382" s="1">
        <v>224.82</v>
      </c>
      <c r="G382" s="1">
        <v>-17.64</v>
      </c>
      <c r="I382" s="10">
        <f>($C382*1000/$B$3)/$B382/$B$1</f>
        <v>4.9645880960312284E-2</v>
      </c>
      <c r="J382" s="10">
        <f>(ABS(($F382+0.1)*1000)/$C382)*($I382/$B381)</f>
        <v>4.3372388535357673E-2</v>
      </c>
      <c r="K382" s="10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2">
        <v>-26.19</v>
      </c>
      <c r="F383" s="1">
        <v>-66.48</v>
      </c>
      <c r="G383" s="1">
        <v>-182.45</v>
      </c>
      <c r="I383" s="10">
        <f>($C383*1000/$B$3)/$B382/$B$1</f>
        <v>2.4818216029155266E-2</v>
      </c>
      <c r="J383" s="10">
        <f>(ABS(($F383+0.1)*1000)/$C383)*($I383/$B381)</f>
        <v>1.2800369691343776E-2</v>
      </c>
      <c r="K383" s="10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2">
        <v>109.67</v>
      </c>
      <c r="F384" s="1">
        <v>282.86</v>
      </c>
      <c r="G384" s="1">
        <v>23.54</v>
      </c>
      <c r="I384" s="10">
        <f>($C384*1000/$B$3)/$B382/$B$1</f>
        <v>4.3409605639160451E-2</v>
      </c>
      <c r="J384" s="10">
        <f>(ABS(($F384+0.1)*1000)/$C384)*($I384/$B381)</f>
        <v>5.4564516539057473E-2</v>
      </c>
      <c r="K384" s="10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2">
        <v>-259.39</v>
      </c>
      <c r="G385" s="1">
        <v>12.94</v>
      </c>
      <c r="I385" s="10">
        <f>($C385*1000/$B$3)/$B382/$B$1</f>
        <v>2.3021574805680574E-2</v>
      </c>
      <c r="J385" s="10">
        <f>(ABS(($F385+0.1)*1000)/$C385)*($I385/$B381)</f>
        <v>5.0000118368010348E-2</v>
      </c>
      <c r="K385" s="10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2">
        <v>282.86</v>
      </c>
      <c r="G386" s="1">
        <v>23.54</v>
      </c>
      <c r="I386" s="10">
        <f>($C386*1000/$B$3)/$B382/$B$1</f>
        <v>4.3409605639160451E-2</v>
      </c>
      <c r="J386" s="10">
        <f>(ABS(($F386+0.1)*1000)/$C386)*($I386/$B381)</f>
        <v>5.4564516539057473E-2</v>
      </c>
      <c r="K386" s="10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2">
        <v>-231.23</v>
      </c>
      <c r="I387" s="10">
        <f>($C387*1000/$B$3)/$B382/$B$1</f>
        <v>2.796874992516573E-2</v>
      </c>
      <c r="J387" s="10">
        <f>(ABS(($F387+0.1)*1000)/$C387)*($I387/$B381)</f>
        <v>5.3685190148690977E-3</v>
      </c>
      <c r="K387" s="10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2">
        <v>260.68</v>
      </c>
      <c r="I388" s="10">
        <f>($C388*1000/$B$3)/$B382/$B$1</f>
        <v>4.2285186300952779E-2</v>
      </c>
      <c r="J388" s="10">
        <f>(ABS(($F388+0.1)*1000)/$C388)*($I388/$B381)</f>
        <v>1.5465345725305373E-3</v>
      </c>
      <c r="K388" s="10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dropSum</vt:lpstr>
      <vt:lpstr>PierSum</vt:lpstr>
      <vt:lpstr>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2019-08-27T14:07:32Z</dcterms:modified>
</cp:coreProperties>
</file>