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GiulianoDiEnrico\Documents\001 Anthurium-CD\Outgoing\B Calcs\"/>
    </mc:Choice>
  </mc:AlternateContent>
  <bookViews>
    <workbookView xWindow="0" yWindow="0" windowWidth="23040" windowHeight="9780"/>
  </bookViews>
  <sheets>
    <sheet name="BeamSum" sheetId="2" r:id="rId1"/>
    <sheet name="sched" sheetId="1" r:id="rId2"/>
    <sheet name="forFutureGrouping" sheetId="3" r:id="rId3"/>
  </sheets>
  <functionGroups builtInGroupCount="18"/>
  <definedNames>
    <definedName name="_xlnm._FilterDatabase" localSheetId="2" hidden="1">forFutureGrouping!$A$2:$M$470</definedName>
    <definedName name="clrCover">BeamSum!$B$9</definedName>
    <definedName name="fc">BeamSum!$B$1</definedName>
    <definedName name="fy">BeamSum!$B$2</definedName>
    <definedName name="fys">BeamSum!$B$3</definedName>
    <definedName name="minSpac">BeamSum!$B$8</definedName>
    <definedName name="phi">BeamSum!$B$5</definedName>
    <definedName name="phiV">BeamSum!$C$5</definedName>
    <definedName name="phiVc">BeamSum!$B$4</definedName>
    <definedName name="_xlnm.Print_Area" localSheetId="0">BeamSum!$A$1:$O$1232</definedName>
    <definedName name="rhoMax">BeamSum!$B$7</definedName>
    <definedName name="rhoMin">BeamSum!$B$6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1231" i="2" l="1"/>
  <c r="S1228" i="2"/>
  <c r="S1218" i="2"/>
  <c r="S1215" i="2"/>
  <c r="S1205" i="2"/>
  <c r="S1202" i="2"/>
  <c r="S1192" i="2"/>
  <c r="S1189" i="2"/>
  <c r="S1179" i="2"/>
  <c r="S1176" i="2"/>
  <c r="S1166" i="2"/>
  <c r="S1163" i="2"/>
  <c r="S1153" i="2"/>
  <c r="S1150" i="2"/>
  <c r="S1140" i="2"/>
  <c r="S1137" i="2"/>
  <c r="S1127" i="2"/>
  <c r="S1124" i="2"/>
  <c r="S1114" i="2"/>
  <c r="S1111" i="2"/>
  <c r="S1101" i="2"/>
  <c r="S1098" i="2"/>
  <c r="S1088" i="2"/>
  <c r="S1085" i="2"/>
  <c r="S1075" i="2"/>
  <c r="S1072" i="2"/>
  <c r="S1062" i="2"/>
  <c r="S1059" i="2"/>
  <c r="S1049" i="2"/>
  <c r="S1046" i="2"/>
  <c r="S1036" i="2"/>
  <c r="S1033" i="2"/>
  <c r="S1023" i="2"/>
  <c r="S1020" i="2"/>
  <c r="S1010" i="2"/>
  <c r="S1007" i="2"/>
  <c r="S997" i="2"/>
  <c r="S994" i="2"/>
  <c r="S984" i="2"/>
  <c r="S981" i="2"/>
  <c r="S971" i="2"/>
  <c r="S968" i="2"/>
  <c r="S958" i="2"/>
  <c r="S955" i="2"/>
  <c r="S945" i="2"/>
  <c r="S942" i="2"/>
  <c r="S932" i="2"/>
  <c r="S929" i="2"/>
  <c r="S919" i="2"/>
  <c r="S916" i="2"/>
  <c r="S906" i="2"/>
  <c r="S903" i="2"/>
  <c r="S893" i="2"/>
  <c r="S890" i="2"/>
  <c r="S880" i="2"/>
  <c r="S877" i="2"/>
  <c r="S867" i="2"/>
  <c r="S864" i="2"/>
  <c r="S854" i="2"/>
  <c r="S851" i="2"/>
  <c r="S841" i="2"/>
  <c r="S838" i="2"/>
  <c r="S828" i="2"/>
  <c r="S825" i="2"/>
  <c r="S815" i="2"/>
  <c r="S812" i="2"/>
  <c r="S802" i="2"/>
  <c r="S799" i="2"/>
  <c r="S789" i="2"/>
  <c r="S786" i="2"/>
  <c r="S776" i="2"/>
  <c r="S773" i="2"/>
  <c r="S763" i="2"/>
  <c r="S760" i="2"/>
  <c r="S750" i="2"/>
  <c r="S747" i="2"/>
  <c r="S737" i="2"/>
  <c r="S734" i="2"/>
  <c r="S724" i="2"/>
  <c r="S721" i="2"/>
  <c r="S711" i="2"/>
  <c r="S708" i="2"/>
  <c r="S698" i="2"/>
  <c r="S695" i="2"/>
  <c r="S685" i="2"/>
  <c r="S682" i="2"/>
  <c r="S672" i="2"/>
  <c r="S669" i="2"/>
  <c r="S659" i="2"/>
  <c r="S656" i="2"/>
  <c r="S646" i="2"/>
  <c r="S643" i="2"/>
  <c r="S633" i="2"/>
  <c r="S630" i="2"/>
  <c r="S620" i="2"/>
  <c r="S617" i="2"/>
  <c r="S607" i="2"/>
  <c r="S604" i="2"/>
  <c r="S594" i="2"/>
  <c r="S591" i="2"/>
  <c r="S581" i="2"/>
  <c r="S578" i="2"/>
  <c r="S568" i="2"/>
  <c r="S565" i="2"/>
  <c r="S555" i="2"/>
  <c r="S552" i="2"/>
  <c r="S542" i="2"/>
  <c r="S539" i="2"/>
  <c r="S529" i="2"/>
  <c r="S526" i="2"/>
  <c r="S516" i="2"/>
  <c r="S513" i="2"/>
  <c r="S503" i="2"/>
  <c r="S500" i="2"/>
  <c r="S490" i="2"/>
  <c r="S487" i="2"/>
  <c r="S477" i="2"/>
  <c r="S474" i="2"/>
  <c r="S464" i="2"/>
  <c r="S461" i="2"/>
  <c r="S451" i="2"/>
  <c r="S448" i="2"/>
  <c r="S438" i="2"/>
  <c r="S435" i="2"/>
  <c r="S425" i="2"/>
  <c r="S422" i="2"/>
  <c r="S412" i="2"/>
  <c r="S409" i="2"/>
  <c r="S399" i="2"/>
  <c r="S396" i="2"/>
  <c r="S386" i="2"/>
  <c r="S383" i="2"/>
  <c r="S373" i="2"/>
  <c r="S370" i="2"/>
  <c r="S360" i="2"/>
  <c r="S357" i="2"/>
  <c r="S347" i="2"/>
  <c r="S344" i="2"/>
  <c r="S334" i="2"/>
  <c r="S331" i="2"/>
  <c r="S321" i="2"/>
  <c r="S318" i="2"/>
  <c r="S308" i="2"/>
  <c r="S305" i="2"/>
  <c r="S295" i="2"/>
  <c r="S292" i="2"/>
  <c r="S282" i="2"/>
  <c r="S279" i="2"/>
  <c r="S269" i="2"/>
  <c r="S266" i="2"/>
  <c r="S256" i="2"/>
  <c r="S253" i="2"/>
  <c r="S243" i="2"/>
  <c r="S240" i="2"/>
  <c r="S230" i="2"/>
  <c r="S227" i="2"/>
  <c r="S217" i="2"/>
  <c r="S214" i="2"/>
  <c r="S204" i="2"/>
  <c r="S201" i="2"/>
  <c r="S191" i="2"/>
  <c r="S188" i="2"/>
  <c r="S178" i="2"/>
  <c r="S175" i="2"/>
  <c r="S165" i="2"/>
  <c r="S162" i="2"/>
  <c r="S152" i="2"/>
  <c r="S149" i="2"/>
  <c r="S139" i="2"/>
  <c r="S136" i="2"/>
  <c r="S126" i="2"/>
  <c r="S123" i="2"/>
  <c r="S113" i="2"/>
  <c r="S110" i="2"/>
  <c r="S100" i="2"/>
  <c r="S97" i="2"/>
  <c r="S87" i="2"/>
  <c r="S84" i="2"/>
  <c r="S71" i="2"/>
  <c r="S74" i="2"/>
  <c r="S61" i="2"/>
  <c r="S58" i="2"/>
  <c r="S48" i="2"/>
  <c r="S45" i="2"/>
  <c r="S35" i="2"/>
  <c r="S32" i="2"/>
  <c r="S22" i="2"/>
  <c r="S19" i="2"/>
  <c r="N1231" i="2" l="1"/>
  <c r="O1231" i="2" s="1"/>
  <c r="L1231" i="2"/>
  <c r="R1230" i="2"/>
  <c r="B1230" i="2" s="1"/>
  <c r="B1229" i="2"/>
  <c r="R1231" i="2" s="1"/>
  <c r="N1228" i="2"/>
  <c r="O1228" i="2" s="1"/>
  <c r="L1228" i="2"/>
  <c r="R1227" i="2"/>
  <c r="B1225" i="2" s="1"/>
  <c r="B1224" i="2"/>
  <c r="N1218" i="2"/>
  <c r="L1218" i="2" s="1"/>
  <c r="R1217" i="2"/>
  <c r="B1217" i="2" s="1"/>
  <c r="B1216" i="2"/>
  <c r="L1211" i="2" s="1"/>
  <c r="N1215" i="2"/>
  <c r="O1215" i="2" s="1"/>
  <c r="L1215" i="2"/>
  <c r="R1214" i="2"/>
  <c r="B1211" i="2"/>
  <c r="L1210" i="2" s="1"/>
  <c r="N1153" i="2"/>
  <c r="O1153" i="2" s="1"/>
  <c r="L1153" i="2"/>
  <c r="R1152" i="2"/>
  <c r="B1152" i="2" s="1"/>
  <c r="B1151" i="2"/>
  <c r="R1153" i="2" s="1"/>
  <c r="N1150" i="2"/>
  <c r="O1150" i="2" s="1"/>
  <c r="R1149" i="2"/>
  <c r="B1147" i="2" s="1"/>
  <c r="B1146" i="2"/>
  <c r="R1150" i="2" s="1"/>
  <c r="N1205" i="2"/>
  <c r="O1205" i="2" s="1"/>
  <c r="R1204" i="2"/>
  <c r="B1204" i="2" s="1"/>
  <c r="B1203" i="2"/>
  <c r="R1205" i="2" s="1"/>
  <c r="N1202" i="2"/>
  <c r="O1202" i="2" s="1"/>
  <c r="R1201" i="2"/>
  <c r="B1199" i="2"/>
  <c r="B1198" i="2"/>
  <c r="N1192" i="2"/>
  <c r="O1192" i="2" s="1"/>
  <c r="L1192" i="2"/>
  <c r="R1191" i="2"/>
  <c r="B1191" i="2" s="1"/>
  <c r="B1190" i="2"/>
  <c r="R1192" i="2" s="1"/>
  <c r="N1189" i="2"/>
  <c r="O1189" i="2" s="1"/>
  <c r="R1188" i="2"/>
  <c r="B1186" i="2"/>
  <c r="B1185" i="2"/>
  <c r="N1179" i="2"/>
  <c r="O1179" i="2" s="1"/>
  <c r="L1179" i="2"/>
  <c r="R1178" i="2"/>
  <c r="B1178" i="2" s="1"/>
  <c r="B1177" i="2"/>
  <c r="N1176" i="2"/>
  <c r="L1176" i="2" s="1"/>
  <c r="R1175" i="2"/>
  <c r="B1173" i="2" s="1"/>
  <c r="B1172" i="2"/>
  <c r="R1176" i="2" s="1"/>
  <c r="L1171" i="2" l="1"/>
  <c r="L1205" i="2"/>
  <c r="L1224" i="2"/>
  <c r="J1179" i="2"/>
  <c r="B1179" i="2" s="1"/>
  <c r="J1150" i="2"/>
  <c r="B1148" i="2" s="1"/>
  <c r="J1215" i="2"/>
  <c r="B1213" i="2" s="1"/>
  <c r="L1150" i="2"/>
  <c r="J1202" i="2"/>
  <c r="B1200" i="2" s="1"/>
  <c r="L1145" i="2"/>
  <c r="J1231" i="2"/>
  <c r="B1231" i="2" s="1"/>
  <c r="J1228" i="2"/>
  <c r="B1226" i="2" s="1"/>
  <c r="R1228" i="2"/>
  <c r="L1223" i="2"/>
  <c r="R1215" i="2"/>
  <c r="B1212" i="2"/>
  <c r="J1218" i="2"/>
  <c r="B1218" i="2" s="1"/>
  <c r="R1218" i="2"/>
  <c r="O1218" i="2"/>
  <c r="B1153" i="2"/>
  <c r="L1146" i="2"/>
  <c r="J1153" i="2"/>
  <c r="L1172" i="2"/>
  <c r="L1198" i="2"/>
  <c r="L1202" i="2"/>
  <c r="R1202" i="2"/>
  <c r="L1197" i="2"/>
  <c r="J1205" i="2"/>
  <c r="B1205" i="2" s="1"/>
  <c r="J1189" i="2"/>
  <c r="B1187" i="2" s="1"/>
  <c r="L1189" i="2"/>
  <c r="L1185" i="2"/>
  <c r="J1192" i="2"/>
  <c r="B1192" i="2" s="1"/>
  <c r="R1189" i="2"/>
  <c r="L1184" i="2"/>
  <c r="J1176" i="2"/>
  <c r="B1174" i="2" s="1"/>
  <c r="O1176" i="2"/>
  <c r="R1179" i="2"/>
  <c r="N1166" i="2" l="1"/>
  <c r="O1166" i="2" s="1"/>
  <c r="L1166" i="2"/>
  <c r="R1165" i="2"/>
  <c r="B1165" i="2" s="1"/>
  <c r="B1164" i="2"/>
  <c r="R1166" i="2" s="1"/>
  <c r="N1163" i="2"/>
  <c r="O1163" i="2" s="1"/>
  <c r="R1162" i="2"/>
  <c r="B1160" i="2" s="1"/>
  <c r="B1159" i="2"/>
  <c r="R1163" i="2" s="1"/>
  <c r="J1163" i="2" l="1"/>
  <c r="B1161" i="2" s="1"/>
  <c r="J1166" i="2"/>
  <c r="B1166" i="2" s="1"/>
  <c r="L1163" i="2"/>
  <c r="L1159" i="2"/>
  <c r="L1158" i="2"/>
  <c r="N1140" i="2"/>
  <c r="O1140" i="2" s="1"/>
  <c r="L1140" i="2"/>
  <c r="R1139" i="2"/>
  <c r="B1139" i="2" s="1"/>
  <c r="B1138" i="2"/>
  <c r="L1133" i="2" s="1"/>
  <c r="N1137" i="2"/>
  <c r="L1137" i="2" s="1"/>
  <c r="R1136" i="2"/>
  <c r="B1134" i="2"/>
  <c r="B1133" i="2"/>
  <c r="L1132" i="2" s="1"/>
  <c r="N1127" i="2"/>
  <c r="O1127" i="2" s="1"/>
  <c r="L1127" i="2"/>
  <c r="R1126" i="2"/>
  <c r="B1126" i="2"/>
  <c r="B1125" i="2"/>
  <c r="L1120" i="2" s="1"/>
  <c r="N1124" i="2"/>
  <c r="O1124" i="2" s="1"/>
  <c r="R1123" i="2"/>
  <c r="B1121" i="2" s="1"/>
  <c r="B1120" i="2"/>
  <c r="R1124" i="2" s="1"/>
  <c r="N1114" i="2"/>
  <c r="O1114" i="2" s="1"/>
  <c r="L1114" i="2"/>
  <c r="R1113" i="2"/>
  <c r="B1113" i="2"/>
  <c r="B1112" i="2"/>
  <c r="R1114" i="2" s="1"/>
  <c r="N1111" i="2"/>
  <c r="O1111" i="2" s="1"/>
  <c r="R1110" i="2"/>
  <c r="B1108" i="2" s="1"/>
  <c r="L1107" i="2"/>
  <c r="B1107" i="2"/>
  <c r="N1101" i="2"/>
  <c r="O1101" i="2" s="1"/>
  <c r="L1101" i="2"/>
  <c r="R1100" i="2"/>
  <c r="B1100" i="2" s="1"/>
  <c r="B1099" i="2"/>
  <c r="L1094" i="2" s="1"/>
  <c r="N1098" i="2"/>
  <c r="O1098" i="2" s="1"/>
  <c r="R1097" i="2"/>
  <c r="B1095" i="2" s="1"/>
  <c r="B1094" i="2"/>
  <c r="R1098" i="2" s="1"/>
  <c r="O1088" i="2"/>
  <c r="N1088" i="2"/>
  <c r="L1088" i="2"/>
  <c r="R1087" i="2"/>
  <c r="B1087" i="2" s="1"/>
  <c r="B1086" i="2"/>
  <c r="R1088" i="2" s="1"/>
  <c r="N1085" i="2"/>
  <c r="O1085" i="2" s="1"/>
  <c r="R1084" i="2"/>
  <c r="B1082" i="2" s="1"/>
  <c r="B1081" i="2"/>
  <c r="N1075" i="2"/>
  <c r="O1075" i="2" s="1"/>
  <c r="L1075" i="2"/>
  <c r="R1074" i="2"/>
  <c r="B1074" i="2" s="1"/>
  <c r="B1073" i="2"/>
  <c r="R1075" i="2" s="1"/>
  <c r="N1072" i="2"/>
  <c r="O1072" i="2" s="1"/>
  <c r="R1071" i="2"/>
  <c r="B1068" i="2"/>
  <c r="N1062" i="2"/>
  <c r="O1062" i="2" s="1"/>
  <c r="L1062" i="2"/>
  <c r="R1061" i="2"/>
  <c r="B1061" i="2" s="1"/>
  <c r="B1060" i="2"/>
  <c r="R1062" i="2" s="1"/>
  <c r="N1059" i="2"/>
  <c r="O1059" i="2" s="1"/>
  <c r="R1058" i="2"/>
  <c r="B1056" i="2" s="1"/>
  <c r="B1055" i="2"/>
  <c r="R1059" i="2" s="1"/>
  <c r="N1049" i="2"/>
  <c r="O1049" i="2" s="1"/>
  <c r="L1049" i="2"/>
  <c r="R1048" i="2"/>
  <c r="B1048" i="2" s="1"/>
  <c r="B1047" i="2"/>
  <c r="R1049" i="2" s="1"/>
  <c r="N1046" i="2"/>
  <c r="O1046" i="2" s="1"/>
  <c r="R1045" i="2"/>
  <c r="B1043" i="2" s="1"/>
  <c r="B1042" i="2"/>
  <c r="N1036" i="2"/>
  <c r="L1036" i="2" s="1"/>
  <c r="R1035" i="2"/>
  <c r="B1034" i="2"/>
  <c r="N1033" i="2"/>
  <c r="O1033" i="2" s="1"/>
  <c r="L1033" i="2"/>
  <c r="R1032" i="2"/>
  <c r="B1030" i="2"/>
  <c r="B1029" i="2"/>
  <c r="L1028" i="2" s="1"/>
  <c r="N1023" i="2"/>
  <c r="O1023" i="2" s="1"/>
  <c r="L1023" i="2"/>
  <c r="R1022" i="2"/>
  <c r="B1022" i="2" s="1"/>
  <c r="B1021" i="2"/>
  <c r="R1023" i="2" s="1"/>
  <c r="N1020" i="2"/>
  <c r="O1020" i="2" s="1"/>
  <c r="R1019" i="2"/>
  <c r="B1017" i="2" s="1"/>
  <c r="B1016" i="2"/>
  <c r="N1010" i="2"/>
  <c r="O1010" i="2" s="1"/>
  <c r="L1010" i="2"/>
  <c r="R1009" i="2"/>
  <c r="B1009" i="2" s="1"/>
  <c r="B1008" i="2"/>
  <c r="L1003" i="2" s="1"/>
  <c r="R1007" i="2"/>
  <c r="N1007" i="2"/>
  <c r="L1007" i="2" s="1"/>
  <c r="R1006" i="2"/>
  <c r="B1004" i="2"/>
  <c r="B1003" i="2"/>
  <c r="L1002" i="2" s="1"/>
  <c r="N997" i="2"/>
  <c r="O997" i="2" s="1"/>
  <c r="R996" i="2"/>
  <c r="B996" i="2" s="1"/>
  <c r="B995" i="2"/>
  <c r="N994" i="2"/>
  <c r="L994" i="2" s="1"/>
  <c r="R993" i="2"/>
  <c r="B991" i="2" s="1"/>
  <c r="B990" i="2"/>
  <c r="L989" i="2" s="1"/>
  <c r="N984" i="2"/>
  <c r="O984" i="2" s="1"/>
  <c r="R983" i="2"/>
  <c r="B983" i="2" s="1"/>
  <c r="B982" i="2"/>
  <c r="R984" i="2" s="1"/>
  <c r="N981" i="2"/>
  <c r="O981" i="2" s="1"/>
  <c r="R980" i="2"/>
  <c r="B978" i="2" s="1"/>
  <c r="B977" i="2"/>
  <c r="R981" i="2" s="1"/>
  <c r="N971" i="2"/>
  <c r="L971" i="2" s="1"/>
  <c r="R970" i="2"/>
  <c r="B970" i="2" s="1"/>
  <c r="B969" i="2"/>
  <c r="L964" i="2" s="1"/>
  <c r="N968" i="2"/>
  <c r="O968" i="2" s="1"/>
  <c r="R967" i="2"/>
  <c r="B965" i="2" s="1"/>
  <c r="B964" i="2"/>
  <c r="R968" i="2" s="1"/>
  <c r="L963" i="2"/>
  <c r="N958" i="2"/>
  <c r="O958" i="2" s="1"/>
  <c r="R957" i="2"/>
  <c r="B957" i="2" s="1"/>
  <c r="B956" i="2"/>
  <c r="R958" i="2" s="1"/>
  <c r="N955" i="2"/>
  <c r="O955" i="2" s="1"/>
  <c r="R954" i="2"/>
  <c r="B952" i="2" s="1"/>
  <c r="B951" i="2"/>
  <c r="L1093" i="2" l="1"/>
  <c r="L958" i="2"/>
  <c r="L976" i="2"/>
  <c r="L1020" i="2"/>
  <c r="J1088" i="2"/>
  <c r="B1088" i="2" s="1"/>
  <c r="L968" i="2"/>
  <c r="J1114" i="2"/>
  <c r="B1114" i="2" s="1"/>
  <c r="L1055" i="2"/>
  <c r="L1068" i="2"/>
  <c r="L1081" i="2"/>
  <c r="J1137" i="2"/>
  <c r="B1135" i="2" s="1"/>
  <c r="R1137" i="2"/>
  <c r="J1140" i="2"/>
  <c r="B1140" i="2" s="1"/>
  <c r="O1137" i="2"/>
  <c r="R1140" i="2"/>
  <c r="L1124" i="2"/>
  <c r="L1119" i="2"/>
  <c r="J1127" i="2"/>
  <c r="B1127" i="2" s="1"/>
  <c r="R1127" i="2"/>
  <c r="J1124" i="2"/>
  <c r="B1122" i="2" s="1"/>
  <c r="L1111" i="2"/>
  <c r="J1111" i="2"/>
  <c r="B1109" i="2" s="1"/>
  <c r="R1111" i="2"/>
  <c r="L1106" i="2"/>
  <c r="L1098" i="2"/>
  <c r="J1101" i="2"/>
  <c r="B1101" i="2" s="1"/>
  <c r="J1098" i="2"/>
  <c r="B1096" i="2" s="1"/>
  <c r="R1101" i="2"/>
  <c r="L1085" i="2"/>
  <c r="R1085" i="2"/>
  <c r="J1085" i="2"/>
  <c r="B1083" i="2" s="1"/>
  <c r="L1080" i="2"/>
  <c r="J1072" i="2"/>
  <c r="B1070" i="2" s="1"/>
  <c r="L1072" i="2"/>
  <c r="L1059" i="2"/>
  <c r="J1075" i="2"/>
  <c r="B1075" i="2" s="1"/>
  <c r="R1072" i="2"/>
  <c r="B1069" i="2"/>
  <c r="L1067" i="2"/>
  <c r="J1062" i="2"/>
  <c r="B1062" i="2" s="1"/>
  <c r="J1059" i="2"/>
  <c r="B1057" i="2" s="1"/>
  <c r="L1054" i="2"/>
  <c r="J1046" i="2"/>
  <c r="B1044" i="2" s="1"/>
  <c r="L1046" i="2"/>
  <c r="L1042" i="2"/>
  <c r="J1049" i="2"/>
  <c r="B1049" i="2" s="1"/>
  <c r="R1046" i="2"/>
  <c r="L1041" i="2"/>
  <c r="J1033" i="2"/>
  <c r="B1031" i="2" s="1"/>
  <c r="R1033" i="2"/>
  <c r="J1036" i="2"/>
  <c r="B1036" i="2" s="1"/>
  <c r="O1036" i="2"/>
  <c r="R1036" i="2"/>
  <c r="L1029" i="2"/>
  <c r="B1035" i="2"/>
  <c r="L1016" i="2"/>
  <c r="J1023" i="2"/>
  <c r="B1023" i="2" s="1"/>
  <c r="J1020" i="2"/>
  <c r="B1018" i="2" s="1"/>
  <c r="R1020" i="2"/>
  <c r="L1015" i="2"/>
  <c r="J1010" i="2"/>
  <c r="B1010" i="2" s="1"/>
  <c r="J1007" i="2"/>
  <c r="B1005" i="2" s="1"/>
  <c r="O1007" i="2"/>
  <c r="R1010" i="2"/>
  <c r="L997" i="2"/>
  <c r="R994" i="2"/>
  <c r="L990" i="2"/>
  <c r="J997" i="2"/>
  <c r="B997" i="2" s="1"/>
  <c r="J994" i="2"/>
  <c r="B992" i="2" s="1"/>
  <c r="O994" i="2"/>
  <c r="R997" i="2"/>
  <c r="L977" i="2"/>
  <c r="J984" i="2"/>
  <c r="B984" i="2" s="1"/>
  <c r="L981" i="2"/>
  <c r="L984" i="2"/>
  <c r="J981" i="2"/>
  <c r="B979" i="2" s="1"/>
  <c r="O971" i="2"/>
  <c r="J971" i="2"/>
  <c r="B971" i="2" s="1"/>
  <c r="J968" i="2"/>
  <c r="B966" i="2" s="1"/>
  <c r="R971" i="2"/>
  <c r="J955" i="2"/>
  <c r="B953" i="2" s="1"/>
  <c r="L955" i="2"/>
  <c r="R955" i="2"/>
  <c r="L951" i="2"/>
  <c r="J958" i="2"/>
  <c r="B958" i="2" s="1"/>
  <c r="L950" i="2"/>
  <c r="N945" i="2" l="1"/>
  <c r="O945" i="2" s="1"/>
  <c r="L945" i="2"/>
  <c r="R944" i="2"/>
  <c r="B944" i="2" s="1"/>
  <c r="B943" i="2"/>
  <c r="L938" i="2" s="1"/>
  <c r="N942" i="2"/>
  <c r="O942" i="2" s="1"/>
  <c r="L942" i="2"/>
  <c r="R941" i="2"/>
  <c r="B939" i="2"/>
  <c r="B938" i="2"/>
  <c r="R942" i="2" s="1"/>
  <c r="N932" i="2"/>
  <c r="O932" i="2" s="1"/>
  <c r="L932" i="2"/>
  <c r="R931" i="2"/>
  <c r="B931" i="2" s="1"/>
  <c r="B930" i="2"/>
  <c r="R932" i="2" s="1"/>
  <c r="N929" i="2"/>
  <c r="O929" i="2" s="1"/>
  <c r="L929" i="2"/>
  <c r="R928" i="2"/>
  <c r="B926" i="2" s="1"/>
  <c r="B925" i="2"/>
  <c r="N919" i="2"/>
  <c r="O919" i="2" s="1"/>
  <c r="L919" i="2"/>
  <c r="R918" i="2"/>
  <c r="B918" i="2"/>
  <c r="B917" i="2"/>
  <c r="R919" i="2" s="1"/>
  <c r="O916" i="2"/>
  <c r="N916" i="2"/>
  <c r="L916" i="2"/>
  <c r="R915" i="2"/>
  <c r="B913" i="2" s="1"/>
  <c r="B912" i="2"/>
  <c r="N906" i="2"/>
  <c r="O906" i="2" s="1"/>
  <c r="L906" i="2"/>
  <c r="R905" i="2"/>
  <c r="B905" i="2" s="1"/>
  <c r="B904" i="2"/>
  <c r="N903" i="2"/>
  <c r="L903" i="2" s="1"/>
  <c r="R902" i="2"/>
  <c r="B900" i="2" s="1"/>
  <c r="B899" i="2"/>
  <c r="R903" i="2" s="1"/>
  <c r="N893" i="2"/>
  <c r="O893" i="2" s="1"/>
  <c r="R892" i="2"/>
  <c r="B892" i="2"/>
  <c r="B891" i="2"/>
  <c r="L886" i="2" s="1"/>
  <c r="N890" i="2"/>
  <c r="O890" i="2" s="1"/>
  <c r="R889" i="2"/>
  <c r="B887" i="2" s="1"/>
  <c r="B886" i="2"/>
  <c r="R890" i="2" s="1"/>
  <c r="N880" i="2"/>
  <c r="O880" i="2" s="1"/>
  <c r="L880" i="2"/>
  <c r="R879" i="2"/>
  <c r="B879" i="2" s="1"/>
  <c r="B878" i="2"/>
  <c r="R880" i="2" s="1"/>
  <c r="N877" i="2"/>
  <c r="L877" i="2" s="1"/>
  <c r="R876" i="2"/>
  <c r="B874" i="2" s="1"/>
  <c r="B873" i="2"/>
  <c r="N867" i="2"/>
  <c r="O867" i="2" s="1"/>
  <c r="L867" i="2"/>
  <c r="R866" i="2"/>
  <c r="B866" i="2" s="1"/>
  <c r="B865" i="2"/>
  <c r="R867" i="2" s="1"/>
  <c r="N864" i="2"/>
  <c r="O864" i="2" s="1"/>
  <c r="R863" i="2"/>
  <c r="B861" i="2"/>
  <c r="B860" i="2"/>
  <c r="R864" i="2" s="1"/>
  <c r="L873" i="2" l="1"/>
  <c r="J877" i="2"/>
  <c r="L885" i="2"/>
  <c r="J919" i="2"/>
  <c r="B919" i="2" s="1"/>
  <c r="J929" i="2"/>
  <c r="L912" i="2"/>
  <c r="L937" i="2"/>
  <c r="J945" i="2"/>
  <c r="B945" i="2" s="1"/>
  <c r="J942" i="2"/>
  <c r="B940" i="2" s="1"/>
  <c r="R945" i="2"/>
  <c r="B927" i="2"/>
  <c r="L925" i="2"/>
  <c r="J932" i="2"/>
  <c r="B932" i="2" s="1"/>
  <c r="R929" i="2"/>
  <c r="L924" i="2"/>
  <c r="J916" i="2"/>
  <c r="B914" i="2" s="1"/>
  <c r="R916" i="2"/>
  <c r="L911" i="2"/>
  <c r="L898" i="2"/>
  <c r="L899" i="2"/>
  <c r="J906" i="2"/>
  <c r="B906" i="2" s="1"/>
  <c r="J903" i="2"/>
  <c r="B901" i="2" s="1"/>
  <c r="O903" i="2"/>
  <c r="R906" i="2"/>
  <c r="L893" i="2"/>
  <c r="L890" i="2"/>
  <c r="J893" i="2"/>
  <c r="B893" i="2" s="1"/>
  <c r="J890" i="2"/>
  <c r="B888" i="2" s="1"/>
  <c r="R893" i="2"/>
  <c r="B875" i="2"/>
  <c r="J880" i="2"/>
  <c r="B880" i="2" s="1"/>
  <c r="O877" i="2"/>
  <c r="R877" i="2"/>
  <c r="L872" i="2"/>
  <c r="L864" i="2"/>
  <c r="J864" i="2"/>
  <c r="B862" i="2" s="1"/>
  <c r="J867" i="2"/>
  <c r="B867" i="2" s="1"/>
  <c r="L860" i="2"/>
  <c r="L859" i="2"/>
  <c r="N854" i="2" l="1"/>
  <c r="O854" i="2" s="1"/>
  <c r="L854" i="2"/>
  <c r="R853" i="2"/>
  <c r="B853" i="2" s="1"/>
  <c r="B852" i="2"/>
  <c r="L847" i="2" s="1"/>
  <c r="N851" i="2"/>
  <c r="O851" i="2" s="1"/>
  <c r="R850" i="2"/>
  <c r="B848" i="2" s="1"/>
  <c r="B847" i="2"/>
  <c r="L846" i="2" s="1"/>
  <c r="R851" i="2" l="1"/>
  <c r="R854" i="2"/>
  <c r="J851" i="2"/>
  <c r="B849" i="2" s="1"/>
  <c r="J854" i="2"/>
  <c r="B854" i="2" s="1"/>
  <c r="L851" i="2"/>
  <c r="N841" i="2"/>
  <c r="O841" i="2" s="1"/>
  <c r="L841" i="2"/>
  <c r="R840" i="2"/>
  <c r="B840" i="2" s="1"/>
  <c r="B839" i="2"/>
  <c r="R841" i="2" s="1"/>
  <c r="N838" i="2"/>
  <c r="L838" i="2" s="1"/>
  <c r="R837" i="2"/>
  <c r="B834" i="2"/>
  <c r="L834" i="2" l="1"/>
  <c r="J838" i="2"/>
  <c r="B836" i="2" s="1"/>
  <c r="J841" i="2"/>
  <c r="B841" i="2" s="1"/>
  <c r="O838" i="2"/>
  <c r="R838" i="2"/>
  <c r="B835" i="2"/>
  <c r="L833" i="2"/>
  <c r="N828" i="2"/>
  <c r="O828" i="2" s="1"/>
  <c r="L828" i="2"/>
  <c r="R827" i="2"/>
  <c r="B827" i="2" s="1"/>
  <c r="B826" i="2"/>
  <c r="R828" i="2" s="1"/>
  <c r="N825" i="2"/>
  <c r="O825" i="2" s="1"/>
  <c r="R824" i="2"/>
  <c r="B822" i="2" s="1"/>
  <c r="B821" i="2"/>
  <c r="R825" i="2" s="1"/>
  <c r="N815" i="2"/>
  <c r="O815" i="2" s="1"/>
  <c r="L815" i="2"/>
  <c r="R814" i="2"/>
  <c r="B814" i="2" s="1"/>
  <c r="B813" i="2"/>
  <c r="L808" i="2" s="1"/>
  <c r="N812" i="2"/>
  <c r="L812" i="2" s="1"/>
  <c r="R811" i="2"/>
  <c r="B809" i="2"/>
  <c r="B808" i="2"/>
  <c r="R812" i="2" s="1"/>
  <c r="N802" i="2"/>
  <c r="O802" i="2" s="1"/>
  <c r="L802" i="2"/>
  <c r="R801" i="2"/>
  <c r="B801" i="2" s="1"/>
  <c r="B800" i="2"/>
  <c r="L795" i="2" s="1"/>
  <c r="N799" i="2"/>
  <c r="L799" i="2" s="1"/>
  <c r="R798" i="2"/>
  <c r="B796" i="2" s="1"/>
  <c r="B795" i="2"/>
  <c r="R799" i="2" s="1"/>
  <c r="N789" i="2"/>
  <c r="O789" i="2" s="1"/>
  <c r="L789" i="2"/>
  <c r="R788" i="2"/>
  <c r="B788" i="2"/>
  <c r="B787" i="2"/>
  <c r="L782" i="2" s="1"/>
  <c r="N786" i="2"/>
  <c r="O786" i="2" s="1"/>
  <c r="R785" i="2"/>
  <c r="B783" i="2" s="1"/>
  <c r="B782" i="2"/>
  <c r="L781" i="2" s="1"/>
  <c r="N776" i="2"/>
  <c r="O776" i="2" s="1"/>
  <c r="L776" i="2"/>
  <c r="R775" i="2"/>
  <c r="B775" i="2" s="1"/>
  <c r="B774" i="2"/>
  <c r="J776" i="2" s="1"/>
  <c r="N773" i="2"/>
  <c r="O773" i="2" s="1"/>
  <c r="R772" i="2"/>
  <c r="B770" i="2" s="1"/>
  <c r="B769" i="2"/>
  <c r="R773" i="2" s="1"/>
  <c r="N763" i="2"/>
  <c r="O763" i="2" s="1"/>
  <c r="R762" i="2"/>
  <c r="B762" i="2" s="1"/>
  <c r="B761" i="2"/>
  <c r="R763" i="2" s="1"/>
  <c r="N760" i="2"/>
  <c r="O760" i="2" s="1"/>
  <c r="R759" i="2"/>
  <c r="B757" i="2" s="1"/>
  <c r="B756" i="2"/>
  <c r="R760" i="2" s="1"/>
  <c r="N750" i="2"/>
  <c r="O750" i="2" s="1"/>
  <c r="L750" i="2"/>
  <c r="R749" i="2"/>
  <c r="B749" i="2"/>
  <c r="B748" i="2"/>
  <c r="N747" i="2"/>
  <c r="L747" i="2" s="1"/>
  <c r="R746" i="2"/>
  <c r="B744" i="2"/>
  <c r="B743" i="2"/>
  <c r="R747" i="2" s="1"/>
  <c r="L742" i="2"/>
  <c r="N737" i="2"/>
  <c r="O737" i="2" s="1"/>
  <c r="L737" i="2"/>
  <c r="R736" i="2"/>
  <c r="B736" i="2"/>
  <c r="B735" i="2"/>
  <c r="N734" i="2"/>
  <c r="L734" i="2" s="1"/>
  <c r="R733" i="2"/>
  <c r="B730" i="2"/>
  <c r="L729" i="2" s="1"/>
  <c r="N724" i="2"/>
  <c r="O724" i="2" s="1"/>
  <c r="L724" i="2"/>
  <c r="R723" i="2"/>
  <c r="B723" i="2"/>
  <c r="B722" i="2"/>
  <c r="L717" i="2" s="1"/>
  <c r="N721" i="2"/>
  <c r="O721" i="2" s="1"/>
  <c r="R720" i="2"/>
  <c r="B718" i="2" s="1"/>
  <c r="B717" i="2"/>
  <c r="L716" i="2" s="1"/>
  <c r="N711" i="2"/>
  <c r="O711" i="2" s="1"/>
  <c r="L711" i="2"/>
  <c r="R710" i="2"/>
  <c r="B710" i="2" s="1"/>
  <c r="B709" i="2"/>
  <c r="R711" i="2" s="1"/>
  <c r="N708" i="2"/>
  <c r="O708" i="2" s="1"/>
  <c r="R707" i="2"/>
  <c r="B705" i="2"/>
  <c r="B704" i="2"/>
  <c r="R708" i="2" s="1"/>
  <c r="N698" i="2"/>
  <c r="O698" i="2" s="1"/>
  <c r="L698" i="2"/>
  <c r="R697" i="2"/>
  <c r="B697" i="2"/>
  <c r="B696" i="2"/>
  <c r="L691" i="2" s="1"/>
  <c r="R695" i="2"/>
  <c r="N695" i="2"/>
  <c r="O695" i="2" s="1"/>
  <c r="R694" i="2"/>
  <c r="B691" i="2"/>
  <c r="L690" i="2" s="1"/>
  <c r="N685" i="2"/>
  <c r="O685" i="2" s="1"/>
  <c r="L685" i="2"/>
  <c r="R684" i="2"/>
  <c r="B684" i="2"/>
  <c r="B683" i="2"/>
  <c r="R685" i="2" s="1"/>
  <c r="N682" i="2"/>
  <c r="O682" i="2" s="1"/>
  <c r="R681" i="2"/>
  <c r="B679" i="2" s="1"/>
  <c r="B678" i="2"/>
  <c r="N672" i="2"/>
  <c r="O672" i="2" s="1"/>
  <c r="R671" i="2"/>
  <c r="B671" i="2" s="1"/>
  <c r="B670" i="2"/>
  <c r="R672" i="2" s="1"/>
  <c r="N669" i="2"/>
  <c r="O669" i="2" s="1"/>
  <c r="R668" i="2"/>
  <c r="B666" i="2"/>
  <c r="B665" i="2"/>
  <c r="N659" i="2"/>
  <c r="O659" i="2" s="1"/>
  <c r="R658" i="2"/>
  <c r="B658" i="2" s="1"/>
  <c r="B657" i="2"/>
  <c r="R659" i="2" s="1"/>
  <c r="N656" i="2"/>
  <c r="O656" i="2" s="1"/>
  <c r="L656" i="2"/>
  <c r="R655" i="2"/>
  <c r="B653" i="2" s="1"/>
  <c r="B652" i="2"/>
  <c r="L807" i="2" l="1"/>
  <c r="L659" i="2"/>
  <c r="L760" i="2"/>
  <c r="J656" i="2"/>
  <c r="B654" i="2" s="1"/>
  <c r="J669" i="2"/>
  <c r="L703" i="2"/>
  <c r="L651" i="2"/>
  <c r="J760" i="2"/>
  <c r="B758" i="2" s="1"/>
  <c r="L821" i="2"/>
  <c r="J828" i="2"/>
  <c r="B828" i="2" s="1"/>
  <c r="J825" i="2"/>
  <c r="B823" i="2" s="1"/>
  <c r="L825" i="2"/>
  <c r="L820" i="2"/>
  <c r="O812" i="2"/>
  <c r="J815" i="2"/>
  <c r="B815" i="2" s="1"/>
  <c r="J812" i="2"/>
  <c r="B810" i="2" s="1"/>
  <c r="R815" i="2"/>
  <c r="L794" i="2"/>
  <c r="J802" i="2"/>
  <c r="B802" i="2" s="1"/>
  <c r="J799" i="2"/>
  <c r="B797" i="2" s="1"/>
  <c r="O799" i="2"/>
  <c r="R802" i="2"/>
  <c r="L786" i="2"/>
  <c r="R786" i="2"/>
  <c r="J789" i="2"/>
  <c r="B789" i="2" s="1"/>
  <c r="J786" i="2"/>
  <c r="B784" i="2" s="1"/>
  <c r="R789" i="2"/>
  <c r="J773" i="2"/>
  <c r="B771" i="2" s="1"/>
  <c r="L768" i="2"/>
  <c r="R776" i="2"/>
  <c r="L773" i="2"/>
  <c r="B776" i="2"/>
  <c r="L769" i="2"/>
  <c r="L763" i="2"/>
  <c r="L756" i="2"/>
  <c r="J763" i="2"/>
  <c r="B763" i="2" s="1"/>
  <c r="L755" i="2"/>
  <c r="L743" i="2"/>
  <c r="J750" i="2"/>
  <c r="B750" i="2" s="1"/>
  <c r="J747" i="2"/>
  <c r="B745" i="2" s="1"/>
  <c r="O747" i="2"/>
  <c r="R750" i="2"/>
  <c r="R734" i="2"/>
  <c r="J737" i="2"/>
  <c r="B737" i="2" s="1"/>
  <c r="L730" i="2"/>
  <c r="J734" i="2"/>
  <c r="B732" i="2" s="1"/>
  <c r="B731" i="2"/>
  <c r="O734" i="2"/>
  <c r="R737" i="2"/>
  <c r="L721" i="2"/>
  <c r="R721" i="2"/>
  <c r="J724" i="2"/>
  <c r="B724" i="2" s="1"/>
  <c r="J721" i="2"/>
  <c r="B719" i="2" s="1"/>
  <c r="R724" i="2"/>
  <c r="J708" i="2"/>
  <c r="B706" i="2" s="1"/>
  <c r="L708" i="2"/>
  <c r="J711" i="2"/>
  <c r="B711" i="2" s="1"/>
  <c r="L704" i="2"/>
  <c r="J698" i="2"/>
  <c r="B698" i="2" s="1"/>
  <c r="J695" i="2"/>
  <c r="B693" i="2" s="1"/>
  <c r="B692" i="2"/>
  <c r="L695" i="2"/>
  <c r="R698" i="2"/>
  <c r="L682" i="2"/>
  <c r="J685" i="2"/>
  <c r="B685" i="2" s="1"/>
  <c r="L678" i="2"/>
  <c r="J682" i="2"/>
  <c r="B680" i="2" s="1"/>
  <c r="R682" i="2"/>
  <c r="L677" i="2"/>
  <c r="L669" i="2"/>
  <c r="L665" i="2"/>
  <c r="B667" i="2"/>
  <c r="J672" i="2"/>
  <c r="B672" i="2" s="1"/>
  <c r="L672" i="2"/>
  <c r="R669" i="2"/>
  <c r="L664" i="2"/>
  <c r="J659" i="2"/>
  <c r="B659" i="2" s="1"/>
  <c r="L652" i="2"/>
  <c r="R656" i="2"/>
  <c r="N646" i="2"/>
  <c r="O646" i="2" s="1"/>
  <c r="L646" i="2"/>
  <c r="R645" i="2"/>
  <c r="B645" i="2"/>
  <c r="B644" i="2"/>
  <c r="N643" i="2"/>
  <c r="L643" i="2" s="1"/>
  <c r="R642" i="2"/>
  <c r="B640" i="2"/>
  <c r="B639" i="2"/>
  <c r="R643" i="2" s="1"/>
  <c r="N633" i="2"/>
  <c r="L633" i="2" s="1"/>
  <c r="R632" i="2"/>
  <c r="B632" i="2" s="1"/>
  <c r="B631" i="2"/>
  <c r="L626" i="2" s="1"/>
  <c r="N630" i="2"/>
  <c r="O630" i="2" s="1"/>
  <c r="R629" i="2"/>
  <c r="B627" i="2"/>
  <c r="B626" i="2"/>
  <c r="R630" i="2" s="1"/>
  <c r="N620" i="2"/>
  <c r="O620" i="2" s="1"/>
  <c r="R619" i="2"/>
  <c r="B619" i="2" s="1"/>
  <c r="B618" i="2"/>
  <c r="L613" i="2" s="1"/>
  <c r="N617" i="2"/>
  <c r="O617" i="2" s="1"/>
  <c r="R616" i="2"/>
  <c r="B614" i="2"/>
  <c r="B613" i="2"/>
  <c r="R617" i="2" s="1"/>
  <c r="N607" i="2"/>
  <c r="O607" i="2" s="1"/>
  <c r="L607" i="2"/>
  <c r="R606" i="2"/>
  <c r="B606" i="2" s="1"/>
  <c r="B605" i="2"/>
  <c r="R607" i="2" s="1"/>
  <c r="N604" i="2"/>
  <c r="O604" i="2" s="1"/>
  <c r="R603" i="2"/>
  <c r="B601" i="2" s="1"/>
  <c r="B600" i="2"/>
  <c r="R604" i="2" s="1"/>
  <c r="N360" i="2"/>
  <c r="O360" i="2" s="1"/>
  <c r="L360" i="2"/>
  <c r="R359" i="2"/>
  <c r="B358" i="2"/>
  <c r="R360" i="2" s="1"/>
  <c r="N357" i="2"/>
  <c r="O357" i="2" s="1"/>
  <c r="R356" i="2"/>
  <c r="B354" i="2" s="1"/>
  <c r="B353" i="2"/>
  <c r="R357" i="2" s="1"/>
  <c r="N594" i="2"/>
  <c r="O594" i="2" s="1"/>
  <c r="L594" i="2"/>
  <c r="R593" i="2"/>
  <c r="B593" i="2" s="1"/>
  <c r="B592" i="2"/>
  <c r="L587" i="2" s="1"/>
  <c r="N591" i="2"/>
  <c r="O591" i="2" s="1"/>
  <c r="L591" i="2"/>
  <c r="R590" i="2"/>
  <c r="B588" i="2" s="1"/>
  <c r="B587" i="2"/>
  <c r="L586" i="2" s="1"/>
  <c r="N581" i="2"/>
  <c r="O581" i="2" s="1"/>
  <c r="L581" i="2"/>
  <c r="R580" i="2"/>
  <c r="B579" i="2"/>
  <c r="N578" i="2"/>
  <c r="O578" i="2" s="1"/>
  <c r="L578" i="2"/>
  <c r="R577" i="2"/>
  <c r="B575" i="2" s="1"/>
  <c r="B574" i="2"/>
  <c r="R578" i="2" s="1"/>
  <c r="N568" i="2"/>
  <c r="O568" i="2" s="1"/>
  <c r="L568" i="2"/>
  <c r="R567" i="2"/>
  <c r="B567" i="2" s="1"/>
  <c r="B566" i="2"/>
  <c r="L561" i="2" s="1"/>
  <c r="N565" i="2"/>
  <c r="O565" i="2" s="1"/>
  <c r="L565" i="2"/>
  <c r="R564" i="2"/>
  <c r="B562" i="2"/>
  <c r="B561" i="2"/>
  <c r="L560" i="2" s="1"/>
  <c r="N555" i="2"/>
  <c r="O555" i="2" s="1"/>
  <c r="L555" i="2"/>
  <c r="R554" i="2"/>
  <c r="B554" i="2" s="1"/>
  <c r="B553" i="2"/>
  <c r="N552" i="2"/>
  <c r="L552" i="2" s="1"/>
  <c r="R551" i="2"/>
  <c r="B549" i="2" s="1"/>
  <c r="B548" i="2"/>
  <c r="L547" i="2" s="1"/>
  <c r="N542" i="2"/>
  <c r="O542" i="2" s="1"/>
  <c r="L542" i="2"/>
  <c r="R541" i="2"/>
  <c r="B541" i="2" s="1"/>
  <c r="B540" i="2"/>
  <c r="L535" i="2" s="1"/>
  <c r="N539" i="2"/>
  <c r="O539" i="2" s="1"/>
  <c r="R538" i="2"/>
  <c r="B536" i="2" s="1"/>
  <c r="B535" i="2"/>
  <c r="R539" i="2" s="1"/>
  <c r="L534" i="2"/>
  <c r="N529" i="2"/>
  <c r="O529" i="2" s="1"/>
  <c r="L529" i="2"/>
  <c r="R528" i="2"/>
  <c r="B528" i="2"/>
  <c r="B527" i="2"/>
  <c r="N526" i="2"/>
  <c r="O526" i="2" s="1"/>
  <c r="R525" i="2"/>
  <c r="B523" i="2"/>
  <c r="B522" i="2"/>
  <c r="N516" i="2"/>
  <c r="O516" i="2" s="1"/>
  <c r="L516" i="2"/>
  <c r="R515" i="2"/>
  <c r="B515" i="2" s="1"/>
  <c r="B514" i="2"/>
  <c r="N513" i="2"/>
  <c r="O513" i="2" s="1"/>
  <c r="L513" i="2"/>
  <c r="R512" i="2"/>
  <c r="B510" i="2"/>
  <c r="B509" i="2"/>
  <c r="L508" i="2" s="1"/>
  <c r="N503" i="2"/>
  <c r="O503" i="2" s="1"/>
  <c r="L503" i="2"/>
  <c r="R502" i="2"/>
  <c r="B502" i="2" s="1"/>
  <c r="B501" i="2"/>
  <c r="R503" i="2" s="1"/>
  <c r="N500" i="2"/>
  <c r="O500" i="2" s="1"/>
  <c r="R499" i="2"/>
  <c r="B497" i="2" s="1"/>
  <c r="B496" i="2"/>
  <c r="J500" i="2" s="1"/>
  <c r="L638" i="2" l="1"/>
  <c r="L617" i="2"/>
  <c r="L612" i="2"/>
  <c r="L639" i="2"/>
  <c r="J646" i="2"/>
  <c r="B646" i="2" s="1"/>
  <c r="J643" i="2"/>
  <c r="B641" i="2" s="1"/>
  <c r="O643" i="2"/>
  <c r="R646" i="2"/>
  <c r="L573" i="2"/>
  <c r="J581" i="2"/>
  <c r="B581" i="2" s="1"/>
  <c r="R591" i="2"/>
  <c r="L496" i="2"/>
  <c r="J555" i="2"/>
  <c r="B555" i="2" s="1"/>
  <c r="B580" i="2"/>
  <c r="L625" i="2"/>
  <c r="J568" i="2"/>
  <c r="B568" i="2" s="1"/>
  <c r="J591" i="2"/>
  <c r="B589" i="2" s="1"/>
  <c r="J630" i="2"/>
  <c r="B628" i="2" s="1"/>
  <c r="J360" i="2"/>
  <c r="B360" i="2" s="1"/>
  <c r="J516" i="2"/>
  <c r="B516" i="2" s="1"/>
  <c r="J529" i="2"/>
  <c r="B529" i="2" s="1"/>
  <c r="L353" i="2"/>
  <c r="J594" i="2"/>
  <c r="B594" i="2" s="1"/>
  <c r="B359" i="2"/>
  <c r="J503" i="2"/>
  <c r="B503" i="2" s="1"/>
  <c r="L599" i="2"/>
  <c r="J542" i="2"/>
  <c r="B542" i="2" s="1"/>
  <c r="J513" i="2"/>
  <c r="B511" i="2" s="1"/>
  <c r="J633" i="2"/>
  <c r="B633" i="2" s="1"/>
  <c r="R633" i="2"/>
  <c r="L630" i="2"/>
  <c r="O633" i="2"/>
  <c r="L620" i="2"/>
  <c r="J620" i="2"/>
  <c r="B620" i="2" s="1"/>
  <c r="J617" i="2"/>
  <c r="B615" i="2" s="1"/>
  <c r="R620" i="2"/>
  <c r="L604" i="2"/>
  <c r="J604" i="2"/>
  <c r="B602" i="2" s="1"/>
  <c r="L600" i="2"/>
  <c r="J607" i="2"/>
  <c r="B607" i="2" s="1"/>
  <c r="J357" i="2"/>
  <c r="B355" i="2" s="1"/>
  <c r="L357" i="2"/>
  <c r="L352" i="2"/>
  <c r="R594" i="2"/>
  <c r="L574" i="2"/>
  <c r="J578" i="2"/>
  <c r="B576" i="2" s="1"/>
  <c r="R581" i="2"/>
  <c r="R565" i="2"/>
  <c r="J565" i="2"/>
  <c r="B563" i="2" s="1"/>
  <c r="R568" i="2"/>
  <c r="R552" i="2"/>
  <c r="L548" i="2"/>
  <c r="J552" i="2"/>
  <c r="B550" i="2" s="1"/>
  <c r="O552" i="2"/>
  <c r="R555" i="2"/>
  <c r="R542" i="2"/>
  <c r="J539" i="2"/>
  <c r="B537" i="2" s="1"/>
  <c r="L539" i="2"/>
  <c r="L526" i="2"/>
  <c r="L522" i="2"/>
  <c r="R526" i="2"/>
  <c r="L521" i="2"/>
  <c r="J526" i="2"/>
  <c r="B524" i="2" s="1"/>
  <c r="R529" i="2"/>
  <c r="L500" i="2"/>
  <c r="R513" i="2"/>
  <c r="L509" i="2"/>
  <c r="B498" i="2"/>
  <c r="R516" i="2"/>
  <c r="R500" i="2"/>
  <c r="L495" i="2"/>
  <c r="N490" i="2"/>
  <c r="O490" i="2" s="1"/>
  <c r="R489" i="2"/>
  <c r="B489" i="2" s="1"/>
  <c r="B488" i="2"/>
  <c r="L483" i="2" s="1"/>
  <c r="N487" i="2"/>
  <c r="O487" i="2" s="1"/>
  <c r="L487" i="2"/>
  <c r="R486" i="2"/>
  <c r="B484" i="2"/>
  <c r="B483" i="2"/>
  <c r="R487" i="2" s="1"/>
  <c r="N477" i="2"/>
  <c r="O477" i="2" s="1"/>
  <c r="L477" i="2"/>
  <c r="R476" i="2"/>
  <c r="B475" i="2"/>
  <c r="N474" i="2"/>
  <c r="L474" i="2" s="1"/>
  <c r="R473" i="2"/>
  <c r="B471" i="2"/>
  <c r="B470" i="2"/>
  <c r="R474" i="2" s="1"/>
  <c r="N464" i="2"/>
  <c r="O464" i="2" s="1"/>
  <c r="L464" i="2"/>
  <c r="R463" i="2"/>
  <c r="B462" i="2"/>
  <c r="L457" i="2" s="1"/>
  <c r="N461" i="2"/>
  <c r="O461" i="2" s="1"/>
  <c r="R460" i="2"/>
  <c r="B458" i="2"/>
  <c r="B457" i="2"/>
  <c r="R461" i="2" s="1"/>
  <c r="N451" i="2"/>
  <c r="O451" i="2" s="1"/>
  <c r="R450" i="2"/>
  <c r="B449" i="2"/>
  <c r="R451" i="2" s="1"/>
  <c r="N448" i="2"/>
  <c r="O448" i="2" s="1"/>
  <c r="R447" i="2"/>
  <c r="B445" i="2" s="1"/>
  <c r="B444" i="2"/>
  <c r="N438" i="2"/>
  <c r="O438" i="2" s="1"/>
  <c r="R437" i="2"/>
  <c r="B437" i="2" s="1"/>
  <c r="B436" i="2"/>
  <c r="L431" i="2" s="1"/>
  <c r="N435" i="2"/>
  <c r="L435" i="2" s="1"/>
  <c r="R434" i="2"/>
  <c r="B432" i="2" s="1"/>
  <c r="B431" i="2"/>
  <c r="R435" i="2" s="1"/>
  <c r="N425" i="2"/>
  <c r="O425" i="2" s="1"/>
  <c r="R424" i="2"/>
  <c r="B423" i="2"/>
  <c r="R425" i="2" s="1"/>
  <c r="N422" i="2"/>
  <c r="L422" i="2" s="1"/>
  <c r="R421" i="2"/>
  <c r="B419" i="2" s="1"/>
  <c r="B418" i="2"/>
  <c r="N412" i="2"/>
  <c r="O412" i="2" s="1"/>
  <c r="R411" i="2"/>
  <c r="B410" i="2"/>
  <c r="L405" i="2" s="1"/>
  <c r="N409" i="2"/>
  <c r="O409" i="2" s="1"/>
  <c r="L409" i="2"/>
  <c r="R408" i="2"/>
  <c r="B406" i="2"/>
  <c r="B405" i="2"/>
  <c r="R409" i="2" s="1"/>
  <c r="L482" i="2" l="1"/>
  <c r="L430" i="2"/>
  <c r="J412" i="2"/>
  <c r="L404" i="2"/>
  <c r="J464" i="2"/>
  <c r="J477" i="2"/>
  <c r="B477" i="2" s="1"/>
  <c r="J438" i="2"/>
  <c r="B438" i="2" s="1"/>
  <c r="L469" i="2"/>
  <c r="B424" i="2"/>
  <c r="J425" i="2"/>
  <c r="B425" i="2" s="1"/>
  <c r="B411" i="2"/>
  <c r="L456" i="2"/>
  <c r="B476" i="2"/>
  <c r="J490" i="2"/>
  <c r="B490" i="2" s="1"/>
  <c r="B450" i="2"/>
  <c r="J451" i="2"/>
  <c r="B451" i="2" s="1"/>
  <c r="B463" i="2"/>
  <c r="J435" i="2"/>
  <c r="B433" i="2" s="1"/>
  <c r="L490" i="2"/>
  <c r="J487" i="2"/>
  <c r="B485" i="2" s="1"/>
  <c r="R490" i="2"/>
  <c r="L470" i="2"/>
  <c r="J474" i="2"/>
  <c r="B472" i="2" s="1"/>
  <c r="O474" i="2"/>
  <c r="R477" i="2"/>
  <c r="L461" i="2"/>
  <c r="J461" i="2"/>
  <c r="B459" i="2" s="1"/>
  <c r="B464" i="2"/>
  <c r="R464" i="2"/>
  <c r="L438" i="2"/>
  <c r="O435" i="2"/>
  <c r="L448" i="2"/>
  <c r="L451" i="2"/>
  <c r="L444" i="2"/>
  <c r="J448" i="2"/>
  <c r="B446" i="2" s="1"/>
  <c r="R448" i="2"/>
  <c r="L443" i="2"/>
  <c r="R438" i="2"/>
  <c r="L425" i="2"/>
  <c r="L412" i="2"/>
  <c r="L418" i="2"/>
  <c r="B412" i="2"/>
  <c r="J409" i="2"/>
  <c r="B407" i="2" s="1"/>
  <c r="J422" i="2"/>
  <c r="B420" i="2" s="1"/>
  <c r="R422" i="2"/>
  <c r="O422" i="2"/>
  <c r="L417" i="2"/>
  <c r="R412" i="2"/>
  <c r="N399" i="2"/>
  <c r="O399" i="2" s="1"/>
  <c r="L399" i="2"/>
  <c r="R398" i="2"/>
  <c r="B398" i="2" s="1"/>
  <c r="B397" i="2"/>
  <c r="L392" i="2" s="1"/>
  <c r="N396" i="2"/>
  <c r="O396" i="2" s="1"/>
  <c r="R395" i="2"/>
  <c r="B393" i="2" s="1"/>
  <c r="B392" i="2"/>
  <c r="R396" i="2" s="1"/>
  <c r="N386" i="2"/>
  <c r="O386" i="2" s="1"/>
  <c r="L386" i="2"/>
  <c r="R385" i="2"/>
  <c r="B384" i="2"/>
  <c r="R386" i="2" s="1"/>
  <c r="N383" i="2"/>
  <c r="O383" i="2" s="1"/>
  <c r="L383" i="2"/>
  <c r="R382" i="2"/>
  <c r="B379" i="2"/>
  <c r="R383" i="2" s="1"/>
  <c r="N373" i="2"/>
  <c r="O373" i="2" s="1"/>
  <c r="R372" i="2"/>
  <c r="B371" i="2"/>
  <c r="L366" i="2" s="1"/>
  <c r="N370" i="2"/>
  <c r="L370" i="2" s="1"/>
  <c r="R369" i="2"/>
  <c r="B367" i="2"/>
  <c r="B366" i="2"/>
  <c r="R370" i="2" s="1"/>
  <c r="L365" i="2" l="1"/>
  <c r="L378" i="2"/>
  <c r="L391" i="2"/>
  <c r="J399" i="2"/>
  <c r="B399" i="2" s="1"/>
  <c r="B385" i="2"/>
  <c r="J386" i="2"/>
  <c r="B386" i="2" s="1"/>
  <c r="B372" i="2"/>
  <c r="J373" i="2"/>
  <c r="B373" i="2" s="1"/>
  <c r="J383" i="2"/>
  <c r="B381" i="2" s="1"/>
  <c r="L373" i="2"/>
  <c r="R399" i="2"/>
  <c r="L396" i="2"/>
  <c r="J396" i="2"/>
  <c r="B394" i="2" s="1"/>
  <c r="J370" i="2"/>
  <c r="B368" i="2" s="1"/>
  <c r="B380" i="2"/>
  <c r="L379" i="2"/>
  <c r="O370" i="2"/>
  <c r="R373" i="2"/>
  <c r="N347" i="2" l="1"/>
  <c r="O347" i="2" s="1"/>
  <c r="R346" i="2"/>
  <c r="B345" i="2"/>
  <c r="L340" i="2" s="1"/>
  <c r="N344" i="2"/>
  <c r="O344" i="2" s="1"/>
  <c r="R343" i="2"/>
  <c r="B341" i="2" s="1"/>
  <c r="B340" i="2"/>
  <c r="N334" i="2"/>
  <c r="O334" i="2" s="1"/>
  <c r="R333" i="2"/>
  <c r="B332" i="2"/>
  <c r="L327" i="2" s="1"/>
  <c r="N331" i="2"/>
  <c r="L331" i="2" s="1"/>
  <c r="R330" i="2"/>
  <c r="B328" i="2" s="1"/>
  <c r="B327" i="2"/>
  <c r="R331" i="2" s="1"/>
  <c r="N321" i="2"/>
  <c r="O321" i="2" s="1"/>
  <c r="R320" i="2"/>
  <c r="B319" i="2"/>
  <c r="R321" i="2" s="1"/>
  <c r="N318" i="2"/>
  <c r="O318" i="2" s="1"/>
  <c r="R317" i="2"/>
  <c r="B315" i="2" s="1"/>
  <c r="B314" i="2"/>
  <c r="N308" i="2"/>
  <c r="O308" i="2" s="1"/>
  <c r="R307" i="2"/>
  <c r="B307" i="2" s="1"/>
  <c r="B306" i="2"/>
  <c r="L301" i="2" s="1"/>
  <c r="N305" i="2"/>
  <c r="O305" i="2" s="1"/>
  <c r="R304" i="2"/>
  <c r="B302" i="2" s="1"/>
  <c r="B301" i="2"/>
  <c r="L300" i="2" s="1"/>
  <c r="N295" i="2"/>
  <c r="O295" i="2" s="1"/>
  <c r="R294" i="2"/>
  <c r="B293" i="2"/>
  <c r="L288" i="2" s="1"/>
  <c r="N292" i="2"/>
  <c r="O292" i="2" s="1"/>
  <c r="R291" i="2"/>
  <c r="B289" i="2" s="1"/>
  <c r="B288" i="2"/>
  <c r="R292" i="2" s="1"/>
  <c r="N282" i="2"/>
  <c r="O282" i="2" s="1"/>
  <c r="R281" i="2"/>
  <c r="B280" i="2"/>
  <c r="R282" i="2" s="1"/>
  <c r="N279" i="2"/>
  <c r="O279" i="2" s="1"/>
  <c r="R278" i="2"/>
  <c r="B276" i="2" s="1"/>
  <c r="B275" i="2"/>
  <c r="N269" i="2"/>
  <c r="O269" i="2" s="1"/>
  <c r="L269" i="2"/>
  <c r="R268" i="2"/>
  <c r="B268" i="2" s="1"/>
  <c r="B267" i="2"/>
  <c r="L262" i="2" s="1"/>
  <c r="N266" i="2"/>
  <c r="O266" i="2" s="1"/>
  <c r="R265" i="2"/>
  <c r="B263" i="2"/>
  <c r="B262" i="2"/>
  <c r="R266" i="2" s="1"/>
  <c r="L261" i="2"/>
  <c r="N256" i="2"/>
  <c r="O256" i="2" s="1"/>
  <c r="L256" i="2"/>
  <c r="R255" i="2"/>
  <c r="B254" i="2"/>
  <c r="L249" i="2" s="1"/>
  <c r="N253" i="2"/>
  <c r="L253" i="2" s="1"/>
  <c r="R252" i="2"/>
  <c r="B250" i="2"/>
  <c r="B249" i="2"/>
  <c r="L248" i="2" s="1"/>
  <c r="N243" i="2"/>
  <c r="O243" i="2" s="1"/>
  <c r="R242" i="2"/>
  <c r="B242" i="2" s="1"/>
  <c r="B241" i="2"/>
  <c r="R243" i="2" s="1"/>
  <c r="N240" i="2"/>
  <c r="O240" i="2" s="1"/>
  <c r="R239" i="2"/>
  <c r="B237" i="2" s="1"/>
  <c r="B236" i="2"/>
  <c r="N230" i="2"/>
  <c r="O230" i="2" s="1"/>
  <c r="L230" i="2"/>
  <c r="R229" i="2"/>
  <c r="B228" i="2"/>
  <c r="R230" i="2" s="1"/>
  <c r="N227" i="2"/>
  <c r="O227" i="2" s="1"/>
  <c r="R226" i="2"/>
  <c r="B224" i="2" s="1"/>
  <c r="B223" i="2"/>
  <c r="N217" i="2"/>
  <c r="O217" i="2" s="1"/>
  <c r="R216" i="2"/>
  <c r="B215" i="2"/>
  <c r="R217" i="2" s="1"/>
  <c r="N214" i="2"/>
  <c r="O214" i="2" s="1"/>
  <c r="L214" i="2"/>
  <c r="R213" i="2"/>
  <c r="B211" i="2" s="1"/>
  <c r="B210" i="2"/>
  <c r="N74" i="2"/>
  <c r="O74" i="2" s="1"/>
  <c r="L74" i="2"/>
  <c r="R73" i="2"/>
  <c r="B73" i="2"/>
  <c r="B72" i="2"/>
  <c r="L67" i="2" s="1"/>
  <c r="N71" i="2"/>
  <c r="L71" i="2" s="1"/>
  <c r="R70" i="2"/>
  <c r="B68" i="2"/>
  <c r="B67" i="2"/>
  <c r="R71" i="2" s="1"/>
  <c r="B15" i="2"/>
  <c r="B28" i="2"/>
  <c r="B41" i="2"/>
  <c r="B54" i="2"/>
  <c r="B80" i="2"/>
  <c r="B93" i="2"/>
  <c r="B106" i="2"/>
  <c r="B119" i="2"/>
  <c r="B145" i="2"/>
  <c r="B158" i="2"/>
  <c r="B171" i="2"/>
  <c r="B184" i="2"/>
  <c r="B197" i="2"/>
  <c r="N204" i="2"/>
  <c r="L204" i="2" s="1"/>
  <c r="R203" i="2"/>
  <c r="B202" i="2"/>
  <c r="R204" i="2" s="1"/>
  <c r="N201" i="2"/>
  <c r="O201" i="2" s="1"/>
  <c r="R200" i="2"/>
  <c r="B198" i="2" s="1"/>
  <c r="L227" i="2" l="1"/>
  <c r="O71" i="2"/>
  <c r="L266" i="2"/>
  <c r="J334" i="2"/>
  <c r="B334" i="2" s="1"/>
  <c r="L66" i="2"/>
  <c r="J295" i="2"/>
  <c r="B295" i="2" s="1"/>
  <c r="L223" i="2"/>
  <c r="J74" i="2"/>
  <c r="B74" i="2" s="1"/>
  <c r="B216" i="2"/>
  <c r="J217" i="2"/>
  <c r="B217" i="2" s="1"/>
  <c r="J230" i="2"/>
  <c r="B230" i="2" s="1"/>
  <c r="J243" i="2"/>
  <c r="B243" i="2" s="1"/>
  <c r="B255" i="2"/>
  <c r="J256" i="2"/>
  <c r="B320" i="2"/>
  <c r="J321" i="2"/>
  <c r="B321" i="2" s="1"/>
  <c r="B203" i="2"/>
  <c r="J204" i="2"/>
  <c r="B294" i="2"/>
  <c r="J308" i="2"/>
  <c r="B308" i="2" s="1"/>
  <c r="B281" i="2"/>
  <c r="J282" i="2"/>
  <c r="B282" i="2" s="1"/>
  <c r="J269" i="2"/>
  <c r="B269" i="2" s="1"/>
  <c r="J347" i="2"/>
  <c r="B347" i="2" s="1"/>
  <c r="B333" i="2"/>
  <c r="B346" i="2"/>
  <c r="L339" i="2"/>
  <c r="L347" i="2"/>
  <c r="R344" i="2"/>
  <c r="R347" i="2"/>
  <c r="J344" i="2"/>
  <c r="B342" i="2" s="1"/>
  <c r="L344" i="2"/>
  <c r="L334" i="2"/>
  <c r="O331" i="2"/>
  <c r="L326" i="2"/>
  <c r="J331" i="2"/>
  <c r="B329" i="2" s="1"/>
  <c r="R334" i="2"/>
  <c r="L318" i="2"/>
  <c r="J318" i="2"/>
  <c r="B316" i="2" s="1"/>
  <c r="L314" i="2"/>
  <c r="L321" i="2"/>
  <c r="R318" i="2"/>
  <c r="L313" i="2"/>
  <c r="R305" i="2"/>
  <c r="L287" i="2"/>
  <c r="L292" i="2"/>
  <c r="R308" i="2"/>
  <c r="J305" i="2"/>
  <c r="B303" i="2" s="1"/>
  <c r="L305" i="2"/>
  <c r="L308" i="2"/>
  <c r="R295" i="2"/>
  <c r="L295" i="2"/>
  <c r="J292" i="2"/>
  <c r="B290" i="2" s="1"/>
  <c r="L275" i="2"/>
  <c r="L279" i="2"/>
  <c r="J279" i="2"/>
  <c r="B277" i="2" s="1"/>
  <c r="L282" i="2"/>
  <c r="R279" i="2"/>
  <c r="L274" i="2"/>
  <c r="J266" i="2"/>
  <c r="B264" i="2" s="1"/>
  <c r="R269" i="2"/>
  <c r="B256" i="2"/>
  <c r="R253" i="2"/>
  <c r="J253" i="2"/>
  <c r="B251" i="2" s="1"/>
  <c r="O253" i="2"/>
  <c r="R256" i="2"/>
  <c r="L243" i="2"/>
  <c r="L236" i="2"/>
  <c r="J240" i="2"/>
  <c r="B238" i="2" s="1"/>
  <c r="L240" i="2"/>
  <c r="R240" i="2"/>
  <c r="L235" i="2"/>
  <c r="J227" i="2"/>
  <c r="B225" i="2" s="1"/>
  <c r="R227" i="2"/>
  <c r="B229" i="2"/>
  <c r="L222" i="2"/>
  <c r="L210" i="2"/>
  <c r="J214" i="2"/>
  <c r="B212" i="2" s="1"/>
  <c r="L217" i="2"/>
  <c r="R214" i="2"/>
  <c r="L209" i="2"/>
  <c r="J71" i="2"/>
  <c r="B69" i="2" s="1"/>
  <c r="R74" i="2"/>
  <c r="O204" i="2"/>
  <c r="L201" i="2"/>
  <c r="L197" i="2"/>
  <c r="N191" i="2"/>
  <c r="O191" i="2" s="1"/>
  <c r="L191" i="2"/>
  <c r="R190" i="2"/>
  <c r="B190" i="2" s="1"/>
  <c r="B189" i="2"/>
  <c r="N188" i="2"/>
  <c r="L188" i="2" s="1"/>
  <c r="R187" i="2"/>
  <c r="B185" i="2"/>
  <c r="L183" i="2"/>
  <c r="N178" i="2"/>
  <c r="O178" i="2" s="1"/>
  <c r="L178" i="2"/>
  <c r="R177" i="2"/>
  <c r="B177" i="2"/>
  <c r="B176" i="2"/>
  <c r="L171" i="2" s="1"/>
  <c r="N175" i="2"/>
  <c r="O175" i="2" s="1"/>
  <c r="R174" i="2"/>
  <c r="B172" i="2" s="1"/>
  <c r="R175" i="2"/>
  <c r="L170" i="2"/>
  <c r="N165" i="2"/>
  <c r="O165" i="2" s="1"/>
  <c r="L165" i="2"/>
  <c r="R164" i="2"/>
  <c r="B163" i="2"/>
  <c r="L158" i="2" s="1"/>
  <c r="R162" i="2"/>
  <c r="N162" i="2"/>
  <c r="O162" i="2" s="1"/>
  <c r="L162" i="2"/>
  <c r="R161" i="2"/>
  <c r="B159" i="2" s="1"/>
  <c r="L157" i="2"/>
  <c r="J165" i="2" l="1"/>
  <c r="J178" i="2"/>
  <c r="J191" i="2"/>
  <c r="B191" i="2" s="1"/>
  <c r="B164" i="2"/>
  <c r="R188" i="2"/>
  <c r="L184" i="2"/>
  <c r="J188" i="2"/>
  <c r="B186" i="2" s="1"/>
  <c r="O188" i="2"/>
  <c r="R191" i="2"/>
  <c r="L175" i="2"/>
  <c r="B178" i="2"/>
  <c r="R178" i="2"/>
  <c r="J175" i="2"/>
  <c r="B173" i="2" s="1"/>
  <c r="B165" i="2"/>
  <c r="J162" i="2"/>
  <c r="B160" i="2" s="1"/>
  <c r="R165" i="2"/>
  <c r="N152" i="2" l="1"/>
  <c r="O152" i="2" s="1"/>
  <c r="L152" i="2"/>
  <c r="R151" i="2"/>
  <c r="B151" i="2" s="1"/>
  <c r="B150" i="2"/>
  <c r="L145" i="2" s="1"/>
  <c r="N149" i="2"/>
  <c r="L149" i="2" s="1"/>
  <c r="R148" i="2"/>
  <c r="B146" i="2" s="1"/>
  <c r="L144" i="2"/>
  <c r="J152" i="2" l="1"/>
  <c r="B152" i="2"/>
  <c r="R149" i="2"/>
  <c r="J149" i="2"/>
  <c r="B147" i="2" s="1"/>
  <c r="O149" i="2"/>
  <c r="R152" i="2"/>
  <c r="N139" i="2"/>
  <c r="O139" i="2" s="1"/>
  <c r="L139" i="2"/>
  <c r="R138" i="2"/>
  <c r="B137" i="2"/>
  <c r="R139" i="2" s="1"/>
  <c r="N136" i="2"/>
  <c r="L136" i="2" s="1"/>
  <c r="R135" i="2"/>
  <c r="B133" i="2" s="1"/>
  <c r="B132" i="2"/>
  <c r="L131" i="2" s="1"/>
  <c r="N126" i="2"/>
  <c r="O126" i="2" s="1"/>
  <c r="L126" i="2"/>
  <c r="R125" i="2"/>
  <c r="B125" i="2" s="1"/>
  <c r="B124" i="2"/>
  <c r="N123" i="2"/>
  <c r="L123" i="2" s="1"/>
  <c r="R122" i="2"/>
  <c r="B120" i="2" s="1"/>
  <c r="R123" i="2"/>
  <c r="L118" i="2"/>
  <c r="N113" i="2"/>
  <c r="O113" i="2" s="1"/>
  <c r="R112" i="2"/>
  <c r="B111" i="2"/>
  <c r="R113" i="2" s="1"/>
  <c r="N110" i="2"/>
  <c r="O110" i="2" s="1"/>
  <c r="R109" i="2"/>
  <c r="B107" i="2" s="1"/>
  <c r="L84" i="2"/>
  <c r="L32" i="2"/>
  <c r="L19" i="2"/>
  <c r="N100" i="2"/>
  <c r="O100" i="2" s="1"/>
  <c r="R99" i="2"/>
  <c r="B98" i="2"/>
  <c r="R100" i="2" s="1"/>
  <c r="N97" i="2"/>
  <c r="O97" i="2" s="1"/>
  <c r="R96" i="2"/>
  <c r="B94" i="2" s="1"/>
  <c r="N87" i="2"/>
  <c r="O87" i="2" s="1"/>
  <c r="L87" i="2"/>
  <c r="R86" i="2"/>
  <c r="B85" i="2"/>
  <c r="L80" i="2" s="1"/>
  <c r="N84" i="2"/>
  <c r="R83" i="2"/>
  <c r="B81" i="2" s="1"/>
  <c r="R84" i="2"/>
  <c r="L113" i="2" l="1"/>
  <c r="J113" i="2"/>
  <c r="B112" i="2"/>
  <c r="B99" i="2"/>
  <c r="J100" i="2"/>
  <c r="J136" i="2"/>
  <c r="B134" i="2" s="1"/>
  <c r="B86" i="2"/>
  <c r="J87" i="2"/>
  <c r="B87" i="2" s="1"/>
  <c r="J126" i="2"/>
  <c r="B126" i="2" s="1"/>
  <c r="B138" i="2"/>
  <c r="J139" i="2"/>
  <c r="B100" i="2"/>
  <c r="L100" i="2"/>
  <c r="R136" i="2"/>
  <c r="L97" i="2"/>
  <c r="O136" i="2"/>
  <c r="L132" i="2"/>
  <c r="B139" i="2"/>
  <c r="L119" i="2"/>
  <c r="J123" i="2"/>
  <c r="B121" i="2" s="1"/>
  <c r="O123" i="2"/>
  <c r="R126" i="2"/>
  <c r="R110" i="2"/>
  <c r="L106" i="2"/>
  <c r="J110" i="2"/>
  <c r="B108" i="2" s="1"/>
  <c r="L110" i="2"/>
  <c r="B113" i="2"/>
  <c r="L105" i="2"/>
  <c r="J97" i="2"/>
  <c r="B95" i="2" s="1"/>
  <c r="L93" i="2"/>
  <c r="L79" i="2"/>
  <c r="J84" i="2"/>
  <c r="B82" i="2" s="1"/>
  <c r="R97" i="2"/>
  <c r="L92" i="2"/>
  <c r="O84" i="2"/>
  <c r="R87" i="2"/>
  <c r="N61" i="2" l="1"/>
  <c r="O61" i="2" s="1"/>
  <c r="R60" i="2"/>
  <c r="B59" i="2"/>
  <c r="R61" i="2" s="1"/>
  <c r="N58" i="2"/>
  <c r="L58" i="2" s="1"/>
  <c r="R57" i="2"/>
  <c r="B55" i="2" s="1"/>
  <c r="B60" i="2" l="1"/>
  <c r="J61" i="2"/>
  <c r="B61" i="2" s="1"/>
  <c r="L61" i="2"/>
  <c r="J58" i="2"/>
  <c r="B56" i="2" s="1"/>
  <c r="L54" i="2"/>
  <c r="O58" i="2"/>
  <c r="R58" i="2"/>
  <c r="L53" i="2"/>
  <c r="N48" i="2"/>
  <c r="O48" i="2" s="1"/>
  <c r="L48" i="2"/>
  <c r="R47" i="2"/>
  <c r="B46" i="2"/>
  <c r="N45" i="2"/>
  <c r="L45" i="2" s="1"/>
  <c r="R44" i="2"/>
  <c r="B42" i="2" s="1"/>
  <c r="R45" i="2"/>
  <c r="L40" i="2"/>
  <c r="N35" i="2"/>
  <c r="O35" i="2" s="1"/>
  <c r="L35" i="2"/>
  <c r="R34" i="2"/>
  <c r="B33" i="2"/>
  <c r="L28" i="2" s="1"/>
  <c r="N32" i="2"/>
  <c r="O32" i="2" s="1"/>
  <c r="R31" i="2"/>
  <c r="B29" i="2" s="1"/>
  <c r="B47" i="2" l="1"/>
  <c r="J48" i="2"/>
  <c r="B48" i="2" s="1"/>
  <c r="B34" i="2"/>
  <c r="J35" i="2"/>
  <c r="B35" i="2" s="1"/>
  <c r="R32" i="2"/>
  <c r="J32" i="2"/>
  <c r="B30" i="2" s="1"/>
  <c r="L41" i="2"/>
  <c r="J45" i="2"/>
  <c r="B43" i="2" s="1"/>
  <c r="O45" i="2"/>
  <c r="R48" i="2"/>
  <c r="L27" i="2"/>
  <c r="R35" i="2"/>
  <c r="B20" i="2"/>
  <c r="R18" i="2" l="1"/>
  <c r="B16" i="2" s="1"/>
  <c r="D3" i="2"/>
  <c r="N22" i="2" l="1"/>
  <c r="O22" i="2" s="1"/>
  <c r="L22" i="2"/>
  <c r="R22" i="2"/>
  <c r="N19" i="2"/>
  <c r="R21" i="2"/>
  <c r="B4" i="2"/>
  <c r="D2" i="2"/>
  <c r="D1" i="2"/>
  <c r="M1211" i="2" l="1"/>
  <c r="N1211" i="2" s="1"/>
  <c r="M1210" i="2"/>
  <c r="N1210" i="2" s="1"/>
  <c r="M1145" i="2"/>
  <c r="N1145" i="2" s="1"/>
  <c r="M1146" i="2"/>
  <c r="N1146" i="2" s="1"/>
  <c r="M1223" i="2"/>
  <c r="N1223" i="2" s="1"/>
  <c r="M1224" i="2"/>
  <c r="N1224" i="2" s="1"/>
  <c r="M1171" i="2"/>
  <c r="N1171" i="2" s="1"/>
  <c r="M1197" i="2"/>
  <c r="N1197" i="2" s="1"/>
  <c r="M1184" i="2"/>
  <c r="N1184" i="2" s="1"/>
  <c r="M1185" i="2"/>
  <c r="N1185" i="2" s="1"/>
  <c r="M1172" i="2"/>
  <c r="N1172" i="2" s="1"/>
  <c r="M1198" i="2"/>
  <c r="N1198" i="2" s="1"/>
  <c r="M1107" i="2"/>
  <c r="N1107" i="2" s="1"/>
  <c r="M989" i="2"/>
  <c r="N989" i="2" s="1"/>
  <c r="M1002" i="2"/>
  <c r="N1002" i="2" s="1"/>
  <c r="M1159" i="2"/>
  <c r="N1159" i="2" s="1"/>
  <c r="M976" i="2"/>
  <c r="N976" i="2" s="1"/>
  <c r="M1158" i="2"/>
  <c r="N1158" i="2" s="1"/>
  <c r="M1094" i="2"/>
  <c r="N1094" i="2" s="1"/>
  <c r="M1003" i="2"/>
  <c r="N1003" i="2" s="1"/>
  <c r="M1132" i="2"/>
  <c r="N1132" i="2" s="1"/>
  <c r="M1028" i="2"/>
  <c r="N1028" i="2" s="1"/>
  <c r="M1120" i="2"/>
  <c r="N1120" i="2" s="1"/>
  <c r="M963" i="2"/>
  <c r="N963" i="2" s="1"/>
  <c r="M964" i="2"/>
  <c r="N964" i="2" s="1"/>
  <c r="M1093" i="2"/>
  <c r="N1093" i="2" s="1"/>
  <c r="M1133" i="2"/>
  <c r="N1133" i="2" s="1"/>
  <c r="M1081" i="2"/>
  <c r="N1081" i="2" s="1"/>
  <c r="M1029" i="2"/>
  <c r="N1029" i="2" s="1"/>
  <c r="M1119" i="2"/>
  <c r="N1119" i="2" s="1"/>
  <c r="M1067" i="2"/>
  <c r="N1067" i="2" s="1"/>
  <c r="M1080" i="2"/>
  <c r="N1080" i="2" s="1"/>
  <c r="M1106" i="2"/>
  <c r="N1106" i="2" s="1"/>
  <c r="M950" i="2"/>
  <c r="N950" i="2" s="1"/>
  <c r="M1016" i="2"/>
  <c r="N1016" i="2" s="1"/>
  <c r="M1042" i="2"/>
  <c r="N1042" i="2" s="1"/>
  <c r="M1055" i="2"/>
  <c r="N1055" i="2" s="1"/>
  <c r="M1068" i="2"/>
  <c r="N1068" i="2" s="1"/>
  <c r="M951" i="2"/>
  <c r="N951" i="2" s="1"/>
  <c r="M990" i="2"/>
  <c r="N990" i="2" s="1"/>
  <c r="M1015" i="2"/>
  <c r="N1015" i="2" s="1"/>
  <c r="M1041" i="2"/>
  <c r="N1041" i="2" s="1"/>
  <c r="M977" i="2"/>
  <c r="N977" i="2" s="1"/>
  <c r="M1054" i="2"/>
  <c r="N1054" i="2" s="1"/>
  <c r="M885" i="2"/>
  <c r="N885" i="2" s="1"/>
  <c r="M873" i="2"/>
  <c r="N873" i="2" s="1"/>
  <c r="M912" i="2"/>
  <c r="N912" i="2" s="1"/>
  <c r="M938" i="2"/>
  <c r="N938" i="2" s="1"/>
  <c r="M937" i="2"/>
  <c r="N937" i="2" s="1"/>
  <c r="M886" i="2"/>
  <c r="N886" i="2" s="1"/>
  <c r="M860" i="2"/>
  <c r="N860" i="2" s="1"/>
  <c r="M899" i="2"/>
  <c r="N899" i="2" s="1"/>
  <c r="M925" i="2"/>
  <c r="N925" i="2" s="1"/>
  <c r="M872" i="2"/>
  <c r="N872" i="2" s="1"/>
  <c r="M898" i="2"/>
  <c r="N898" i="2" s="1"/>
  <c r="M911" i="2"/>
  <c r="N911" i="2" s="1"/>
  <c r="M859" i="2"/>
  <c r="N859" i="2" s="1"/>
  <c r="M924" i="2"/>
  <c r="N924" i="2" s="1"/>
  <c r="M847" i="2"/>
  <c r="N847" i="2" s="1"/>
  <c r="M846" i="2"/>
  <c r="N846" i="2" s="1"/>
  <c r="M795" i="2"/>
  <c r="N795" i="2" s="1"/>
  <c r="M781" i="2"/>
  <c r="N781" i="2" s="1"/>
  <c r="M716" i="2"/>
  <c r="N716" i="2" s="1"/>
  <c r="M833" i="2"/>
  <c r="N833" i="2" s="1"/>
  <c r="M717" i="2"/>
  <c r="N717" i="2" s="1"/>
  <c r="M807" i="2"/>
  <c r="N807" i="2" s="1"/>
  <c r="M834" i="2"/>
  <c r="N834" i="2" s="1"/>
  <c r="M808" i="2"/>
  <c r="N808" i="2" s="1"/>
  <c r="M782" i="2"/>
  <c r="N782" i="2" s="1"/>
  <c r="M729" i="2"/>
  <c r="N729" i="2" s="1"/>
  <c r="M691" i="2"/>
  <c r="N691" i="2" s="1"/>
  <c r="M742" i="2"/>
  <c r="N742" i="2" s="1"/>
  <c r="M703" i="2"/>
  <c r="N703" i="2" s="1"/>
  <c r="M690" i="2"/>
  <c r="N690" i="2" s="1"/>
  <c r="M664" i="2"/>
  <c r="N664" i="2" s="1"/>
  <c r="M820" i="2"/>
  <c r="N820" i="2" s="1"/>
  <c r="M677" i="2"/>
  <c r="N677" i="2" s="1"/>
  <c r="M730" i="2"/>
  <c r="N730" i="2" s="1"/>
  <c r="M768" i="2"/>
  <c r="N768" i="2" s="1"/>
  <c r="M743" i="2"/>
  <c r="N743" i="2" s="1"/>
  <c r="M755" i="2"/>
  <c r="N755" i="2" s="1"/>
  <c r="M769" i="2"/>
  <c r="N769" i="2" s="1"/>
  <c r="M665" i="2"/>
  <c r="N665" i="2" s="1"/>
  <c r="M652" i="2"/>
  <c r="N652" i="2" s="1"/>
  <c r="M756" i="2"/>
  <c r="N756" i="2" s="1"/>
  <c r="M638" i="2"/>
  <c r="N638" i="2" s="1"/>
  <c r="M794" i="2"/>
  <c r="N794" i="2" s="1"/>
  <c r="M678" i="2"/>
  <c r="N678" i="2" s="1"/>
  <c r="M651" i="2"/>
  <c r="N651" i="2" s="1"/>
  <c r="M704" i="2"/>
  <c r="N704" i="2" s="1"/>
  <c r="M821" i="2"/>
  <c r="N821" i="2" s="1"/>
  <c r="M639" i="2"/>
  <c r="N639" i="2" s="1"/>
  <c r="M626" i="2"/>
  <c r="N626" i="2" s="1"/>
  <c r="M625" i="2"/>
  <c r="N625" i="2" s="1"/>
  <c r="M613" i="2"/>
  <c r="N613" i="2" s="1"/>
  <c r="M612" i="2"/>
  <c r="N612" i="2" s="1"/>
  <c r="M600" i="2"/>
  <c r="N600" i="2" s="1"/>
  <c r="M599" i="2"/>
  <c r="N599" i="2" s="1"/>
  <c r="B21" i="2"/>
  <c r="J22" i="2"/>
  <c r="B22" i="2" s="1"/>
  <c r="M560" i="2"/>
  <c r="N560" i="2" s="1"/>
  <c r="M547" i="2"/>
  <c r="N547" i="2" s="1"/>
  <c r="M496" i="2"/>
  <c r="N496" i="2" s="1"/>
  <c r="M561" i="2"/>
  <c r="N561" i="2" s="1"/>
  <c r="M508" i="2"/>
  <c r="N508" i="2" s="1"/>
  <c r="M586" i="2"/>
  <c r="N586" i="2" s="1"/>
  <c r="M535" i="2"/>
  <c r="N535" i="2" s="1"/>
  <c r="M573" i="2"/>
  <c r="N573" i="2" s="1"/>
  <c r="M353" i="2"/>
  <c r="N353" i="2" s="1"/>
  <c r="M587" i="2"/>
  <c r="N587" i="2" s="1"/>
  <c r="M534" i="2"/>
  <c r="N534" i="2" s="1"/>
  <c r="M430" i="2"/>
  <c r="N430" i="2" s="1"/>
  <c r="M457" i="2"/>
  <c r="N457" i="2" s="1"/>
  <c r="M352" i="2"/>
  <c r="N352" i="2" s="1"/>
  <c r="M521" i="2"/>
  <c r="N521" i="2" s="1"/>
  <c r="M548" i="2"/>
  <c r="N548" i="2" s="1"/>
  <c r="M469" i="2"/>
  <c r="N469" i="2" s="1"/>
  <c r="M405" i="2"/>
  <c r="N405" i="2" s="1"/>
  <c r="M483" i="2"/>
  <c r="N483" i="2" s="1"/>
  <c r="M431" i="2"/>
  <c r="N431" i="2" s="1"/>
  <c r="M495" i="2"/>
  <c r="N495" i="2" s="1"/>
  <c r="M404" i="2"/>
  <c r="N404" i="2" s="1"/>
  <c r="M482" i="2"/>
  <c r="N482" i="2" s="1"/>
  <c r="M456" i="2"/>
  <c r="N456" i="2" s="1"/>
  <c r="M509" i="2"/>
  <c r="N509" i="2" s="1"/>
  <c r="M574" i="2"/>
  <c r="N574" i="2" s="1"/>
  <c r="M522" i="2"/>
  <c r="N522" i="2" s="1"/>
  <c r="M443" i="2"/>
  <c r="N443" i="2" s="1"/>
  <c r="M391" i="2"/>
  <c r="N391" i="2" s="1"/>
  <c r="M417" i="2"/>
  <c r="N417" i="2" s="1"/>
  <c r="M366" i="2"/>
  <c r="N366" i="2" s="1"/>
  <c r="M418" i="2"/>
  <c r="N418" i="2" s="1"/>
  <c r="M392" i="2"/>
  <c r="N392" i="2" s="1"/>
  <c r="M470" i="2"/>
  <c r="N470" i="2" s="1"/>
  <c r="M444" i="2"/>
  <c r="N444" i="2" s="1"/>
  <c r="M365" i="2"/>
  <c r="N365" i="2" s="1"/>
  <c r="M378" i="2"/>
  <c r="N378" i="2" s="1"/>
  <c r="M379" i="2"/>
  <c r="N379" i="2" s="1"/>
  <c r="M223" i="2"/>
  <c r="N223" i="2" s="1"/>
  <c r="M261" i="2"/>
  <c r="N261" i="2" s="1"/>
  <c r="M248" i="2"/>
  <c r="N248" i="2" s="1"/>
  <c r="M288" i="2"/>
  <c r="N288" i="2" s="1"/>
  <c r="M340" i="2"/>
  <c r="N340" i="2" s="1"/>
  <c r="M262" i="2"/>
  <c r="N262" i="2" s="1"/>
  <c r="M301" i="2"/>
  <c r="N301" i="2" s="1"/>
  <c r="M300" i="2"/>
  <c r="N300" i="2" s="1"/>
  <c r="M327" i="2"/>
  <c r="N327" i="2" s="1"/>
  <c r="M249" i="2"/>
  <c r="N249" i="2" s="1"/>
  <c r="M339" i="2"/>
  <c r="N339" i="2" s="1"/>
  <c r="M287" i="2"/>
  <c r="N287" i="2" s="1"/>
  <c r="M236" i="2"/>
  <c r="N236" i="2" s="1"/>
  <c r="M235" i="2"/>
  <c r="N235" i="2" s="1"/>
  <c r="M275" i="2"/>
  <c r="N275" i="2" s="1"/>
  <c r="M210" i="2"/>
  <c r="N210" i="2" s="1"/>
  <c r="M209" i="2"/>
  <c r="N209" i="2" s="1"/>
  <c r="M313" i="2"/>
  <c r="N313" i="2" s="1"/>
  <c r="M274" i="2"/>
  <c r="N274" i="2" s="1"/>
  <c r="M222" i="2"/>
  <c r="N222" i="2" s="1"/>
  <c r="M314" i="2"/>
  <c r="N314" i="2" s="1"/>
  <c r="M326" i="2"/>
  <c r="N326" i="2" s="1"/>
  <c r="M66" i="2"/>
  <c r="N66" i="2" s="1"/>
  <c r="M67" i="2"/>
  <c r="N67" i="2" s="1"/>
  <c r="M157" i="2"/>
  <c r="N157" i="2" s="1"/>
  <c r="M170" i="2"/>
  <c r="N170" i="2" s="1"/>
  <c r="M183" i="2"/>
  <c r="N183" i="2" s="1"/>
  <c r="M158" i="2"/>
  <c r="N158" i="2" s="1"/>
  <c r="M171" i="2"/>
  <c r="N171" i="2" s="1"/>
  <c r="M197" i="2"/>
  <c r="N197" i="2" s="1"/>
  <c r="M184" i="2"/>
  <c r="N184" i="2" s="1"/>
  <c r="M144" i="2"/>
  <c r="N144" i="2" s="1"/>
  <c r="M145" i="2"/>
  <c r="N145" i="2" s="1"/>
  <c r="M131" i="2"/>
  <c r="N131" i="2" s="1"/>
  <c r="M80" i="2"/>
  <c r="N80" i="2" s="1"/>
  <c r="M118" i="2"/>
  <c r="N118" i="2" s="1"/>
  <c r="M105" i="2"/>
  <c r="N105" i="2" s="1"/>
  <c r="M119" i="2"/>
  <c r="N119" i="2" s="1"/>
  <c r="M92" i="2"/>
  <c r="N92" i="2" s="1"/>
  <c r="M79" i="2"/>
  <c r="N79" i="2" s="1"/>
  <c r="M106" i="2"/>
  <c r="N106" i="2" s="1"/>
  <c r="M132" i="2"/>
  <c r="N132" i="2" s="1"/>
  <c r="M93" i="2"/>
  <c r="N93" i="2" s="1"/>
  <c r="M54" i="2"/>
  <c r="N54" i="2" s="1"/>
  <c r="M53" i="2"/>
  <c r="N53" i="2" s="1"/>
  <c r="M28" i="2"/>
  <c r="N28" i="2" s="1"/>
  <c r="M40" i="2"/>
  <c r="N40" i="2" s="1"/>
  <c r="M41" i="2"/>
  <c r="N41" i="2" s="1"/>
  <c r="M27" i="2"/>
  <c r="N27" i="2" s="1"/>
  <c r="J19" i="2"/>
  <c r="B17" i="2" s="1"/>
  <c r="R19" i="2"/>
  <c r="O19" i="2"/>
  <c r="L14" i="2"/>
  <c r="M14" i="2" s="1"/>
  <c r="N14" i="2" s="1"/>
  <c r="L15" i="2"/>
  <c r="M15" i="2" s="1"/>
  <c r="N15" i="2" s="1"/>
  <c r="L196" i="2" l="1"/>
  <c r="M196" i="2" s="1"/>
  <c r="N196" i="2" s="1"/>
  <c r="R201" i="2"/>
  <c r="J201" i="2"/>
  <c r="B199" i="2" s="1"/>
  <c r="B204" i="2"/>
</calcChain>
</file>

<file path=xl/sharedStrings.xml><?xml version="1.0" encoding="utf-8"?>
<sst xmlns="http://schemas.openxmlformats.org/spreadsheetml/2006/main" count="5807" uniqueCount="183">
  <si>
    <t>f'c =</t>
  </si>
  <si>
    <t>MPa</t>
  </si>
  <si>
    <t>ksi</t>
  </si>
  <si>
    <t>fy =</t>
  </si>
  <si>
    <t>phi * vc =</t>
  </si>
  <si>
    <t xml:space="preserve">phi = </t>
  </si>
  <si>
    <t>rho min =</t>
  </si>
  <si>
    <t>rho max =</t>
  </si>
  <si>
    <t>minSpac =</t>
  </si>
  <si>
    <t>mm</t>
  </si>
  <si>
    <t>clrCover =</t>
  </si>
  <si>
    <t>Beam</t>
  </si>
  <si>
    <t>P</t>
  </si>
  <si>
    <t>Vy</t>
  </si>
  <si>
    <t>Vz</t>
  </si>
  <si>
    <t>My</t>
  </si>
  <si>
    <t>Mz</t>
  </si>
  <si>
    <t>b =</t>
  </si>
  <si>
    <t>kN</t>
  </si>
  <si>
    <t>kNm</t>
  </si>
  <si>
    <t>links:</t>
  </si>
  <si>
    <t>fys =</t>
  </si>
  <si>
    <t>h =</t>
  </si>
  <si>
    <t>main:</t>
  </si>
  <si>
    <t>Top</t>
  </si>
  <si>
    <t>mm2</t>
  </si>
  <si>
    <t>d =</t>
  </si>
  <si>
    <t>As (mm2) =</t>
  </si>
  <si>
    <t>mCap (kNm)=</t>
  </si>
  <si>
    <t>vu</t>
  </si>
  <si>
    <t>vs</t>
  </si>
  <si>
    <t>legs</t>
  </si>
  <si>
    <t>linkSpac</t>
  </si>
  <si>
    <t>( + Side, bottom for Robot)</t>
  </si>
  <si>
    <t>Design Data</t>
  </si>
  <si>
    <t>pcs</t>
  </si>
  <si>
    <t>spac</t>
  </si>
  <si>
    <t>layers</t>
  </si>
  <si>
    <t>basePc</t>
  </si>
  <si>
    <t>Bottom</t>
  </si>
  <si>
    <t>rho =</t>
  </si>
  <si>
    <t>B</t>
  </si>
  <si>
    <t>H</t>
  </si>
  <si>
    <t>LEFT SUPPORT / END</t>
  </si>
  <si>
    <t>TOP</t>
  </si>
  <si>
    <t>BOTTOM</t>
  </si>
  <si>
    <t>MIDSPAN</t>
  </si>
  <si>
    <t>RIGHT SUPPORT / END</t>
  </si>
  <si>
    <t>STIRRUPS / LINKS</t>
  </si>
  <si>
    <t>TYPE</t>
  </si>
  <si>
    <t>SPACING</t>
  </si>
  <si>
    <t>REMARKS</t>
  </si>
  <si>
    <t>BEAM  MARK</t>
  </si>
  <si>
    <t>L</t>
  </si>
  <si>
    <t>x1</t>
  </si>
  <si>
    <t>y1</t>
  </si>
  <si>
    <t>z1</t>
  </si>
  <si>
    <t>x2</t>
  </si>
  <si>
    <t>y2</t>
  </si>
  <si>
    <t>z2</t>
  </si>
  <si>
    <t>start_node</t>
  </si>
  <si>
    <t>end_node</t>
  </si>
  <si>
    <t>bar_id</t>
  </si>
  <si>
    <t>storey</t>
  </si>
  <si>
    <t>Vmax</t>
  </si>
  <si>
    <t>Mmin</t>
  </si>
  <si>
    <t>Mmax</t>
  </si>
  <si>
    <t xml:space="preserve"> </t>
  </si>
  <si>
    <t>Top Bars</t>
  </si>
  <si>
    <t>Bottom Bars</t>
  </si>
  <si>
    <t>d taken from Top</t>
  </si>
  <si>
    <t>d taken from Bottom</t>
  </si>
  <si>
    <t>innLayer</t>
  </si>
  <si>
    <t>Validations</t>
  </si>
  <si>
    <t>minAst</t>
  </si>
  <si>
    <t>Ast</t>
  </si>
  <si>
    <t>left intentionally as blank</t>
  </si>
  <si>
    <t>MB-1</t>
  </si>
  <si>
    <t>MB-2</t>
  </si>
  <si>
    <t>MB-3</t>
  </si>
  <si>
    <t>MB-4</t>
  </si>
  <si>
    <t>2G-1</t>
  </si>
  <si>
    <t>2G-1A</t>
  </si>
  <si>
    <t>MG-1</t>
  </si>
  <si>
    <t>MG-1A</t>
  </si>
  <si>
    <t>MG-2</t>
  </si>
  <si>
    <t>MG-3</t>
  </si>
  <si>
    <t>MG-6</t>
  </si>
  <si>
    <t>MG-5</t>
  </si>
  <si>
    <t>MG-4</t>
  </si>
  <si>
    <t>FTB-1</t>
  </si>
  <si>
    <t>FTB-2</t>
  </si>
  <si>
    <t>FTB-3</t>
  </si>
  <si>
    <t>2G-1B</t>
  </si>
  <si>
    <t>2G-2</t>
  </si>
  <si>
    <t>2G-3</t>
  </si>
  <si>
    <t>2G-4</t>
  </si>
  <si>
    <t xml:space="preserve"> 249 250 255 258 261 460 461 467 492 2042 2044 2081 2092 2093 2100 2120 2126   2127 2129 2133 2145 2154 2165 2172 2183 2187 2189 2214 2215 2264 2265   2271to2273 2279 2280 2322 2324 2332 2345 100521 100522 100526 100527 100530  </t>
  </si>
  <si>
    <t>2G-4A</t>
  </si>
  <si>
    <t xml:space="preserve"> 171 188 195to197 199 200 263  </t>
  </si>
  <si>
    <t>2G-5</t>
  </si>
  <si>
    <t>2G-5A</t>
  </si>
  <si>
    <t xml:space="preserve"> 292 295 296 299 342 370 372to393By7 373 385 390 391 457 2041 2048 2057 2062   2143 2180 2181 2205 2206 2222 2227 2255to2262 2268to2270 100511 100512   100514to100519 100523 100528 100529 100657 100658 100942  </t>
  </si>
  <si>
    <t xml:space="preserve"> 98 2035 2106 2176 2346 2352 2354 100508 100509  </t>
  </si>
  <si>
    <t>2G-6</t>
  </si>
  <si>
    <t xml:space="preserve"> 47 2050 2063to2075 2077to2080 2095 2096 2131 2134to2137 2141 2144 2162 2223   2224  </t>
  </si>
  <si>
    <t xml:space="preserve"> 466 2013to2021 2024 2025 2038 2039 2097to2099 2101to2105 2109 2111 2112 2119   2175 2193to2196 2198to2201 2221 2231to2237 2239 2241to2245 2250 2252to2254   2287to2292 2313 2314 2317 2318 2327 2337to2340 100520  </t>
  </si>
  <si>
    <t>2G-7</t>
  </si>
  <si>
    <t>2G-7A</t>
  </si>
  <si>
    <t>2G-8</t>
  </si>
  <si>
    <t>2G-8A</t>
  </si>
  <si>
    <t>2G-8B</t>
  </si>
  <si>
    <t>2G-9</t>
  </si>
  <si>
    <t>2G-9A</t>
  </si>
  <si>
    <t>2G-10</t>
  </si>
  <si>
    <t>2G-10A</t>
  </si>
  <si>
    <t>2G-11</t>
  </si>
  <si>
    <t>2G-12</t>
  </si>
  <si>
    <t>2G-13</t>
  </si>
  <si>
    <t>2B-1</t>
  </si>
  <si>
    <t>2B-1A</t>
  </si>
  <si>
    <t>2B-2</t>
  </si>
  <si>
    <t>2B-3</t>
  </si>
  <si>
    <t>2B-3A</t>
  </si>
  <si>
    <t>Cantilever</t>
  </si>
  <si>
    <t>2B-4</t>
  </si>
  <si>
    <t>2B-5</t>
  </si>
  <si>
    <t>2B-6</t>
  </si>
  <si>
    <t>See PT Drawings</t>
  </si>
  <si>
    <t>2G-7B</t>
  </si>
  <si>
    <t>2B-6A</t>
  </si>
  <si>
    <t>2B-7</t>
  </si>
  <si>
    <t>2B-8</t>
  </si>
  <si>
    <t>w/ Torsional Links</t>
  </si>
  <si>
    <t>Supporting planted columns</t>
  </si>
  <si>
    <t>2CB-1</t>
  </si>
  <si>
    <t>Balcony Cantilver Beams</t>
  </si>
  <si>
    <t>3G-1</t>
  </si>
  <si>
    <t>3G-2</t>
  </si>
  <si>
    <t>3G-3</t>
  </si>
  <si>
    <t>3G-4</t>
  </si>
  <si>
    <t>3G-3A</t>
  </si>
  <si>
    <t>Coupling Beams</t>
  </si>
  <si>
    <t>3G-3B</t>
  </si>
  <si>
    <t>3G-4A</t>
  </si>
  <si>
    <t>3G-5</t>
  </si>
  <si>
    <t>3G-5A</t>
  </si>
  <si>
    <t>3G-5B</t>
  </si>
  <si>
    <t>3G-6</t>
  </si>
  <si>
    <t>3G-7</t>
  </si>
  <si>
    <t>3G-7A</t>
  </si>
  <si>
    <t>3G-8</t>
  </si>
  <si>
    <t>3G-9</t>
  </si>
  <si>
    <t>3B-1</t>
  </si>
  <si>
    <t>3B-2</t>
  </si>
  <si>
    <t>3B-3</t>
  </si>
  <si>
    <t>3B-3A</t>
  </si>
  <si>
    <t>3B-3B</t>
  </si>
  <si>
    <t>3B-4</t>
  </si>
  <si>
    <t>3B-5</t>
  </si>
  <si>
    <t>3CB-1</t>
  </si>
  <si>
    <t>4G-1</t>
  </si>
  <si>
    <t>4G-2</t>
  </si>
  <si>
    <t>4G-3</t>
  </si>
  <si>
    <t>4G-3A</t>
  </si>
  <si>
    <t>4G-4</t>
  </si>
  <si>
    <t>4G-4A</t>
  </si>
  <si>
    <t>4G-5</t>
  </si>
  <si>
    <t>4G-6</t>
  </si>
  <si>
    <t>4G-6A</t>
  </si>
  <si>
    <t>4G-5A</t>
  </si>
  <si>
    <t>4G-7</t>
  </si>
  <si>
    <t>4G-6B</t>
  </si>
  <si>
    <t>4G-8</t>
  </si>
  <si>
    <t>4G-9</t>
  </si>
  <si>
    <t>4G-9A</t>
  </si>
  <si>
    <t>4B-1</t>
  </si>
  <si>
    <t>4B-2</t>
  </si>
  <si>
    <t>4B-2A</t>
  </si>
  <si>
    <t>4G-10</t>
  </si>
  <si>
    <t>4B-3</t>
  </si>
  <si>
    <t>4B-4</t>
  </si>
  <si>
    <t>4B-5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</si>
</sst>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
    <numFmt numFmtId="165" formatCode="0.0"/>
    <numFmt numFmtId="166" formatCode="0&quot; mm&quot;"/>
  </numFmts>
  <fonts count="13" x14ac:knownFonts="1">
    <font>
      <sz val="11"/>
      <color theme="1"/>
      <name val="Calibri"/>
      <family val="2"/>
      <scheme val="minor"/>
    </font>
    <font>
      <i/>
      <sz val="10"/>
      <color theme="1"/>
      <name val="Arial"/>
      <family val="2"/>
    </font>
    <font>
      <i/>
      <sz val="10"/>
      <color rgb="FF0000FF"/>
      <name val="Arial"/>
      <family val="2"/>
    </font>
    <font>
      <i/>
      <sz val="10"/>
      <name val="Arial"/>
      <family val="2"/>
    </font>
    <font>
      <sz val="10"/>
      <color theme="1"/>
      <name val="Arial"/>
      <family val="2"/>
    </font>
    <font>
      <sz val="10"/>
      <color theme="0"/>
      <name val="Arial"/>
      <family val="2"/>
    </font>
    <font>
      <b/>
      <i/>
      <sz val="10"/>
      <color rgb="FF0000FF"/>
      <name val="Arial"/>
      <family val="2"/>
    </font>
    <font>
      <b/>
      <i/>
      <sz val="10"/>
      <color theme="1"/>
      <name val="Arial"/>
      <family val="2"/>
    </font>
    <font>
      <i/>
      <sz val="8"/>
      <color theme="1"/>
      <name val="Arial"/>
      <family val="2"/>
    </font>
    <font>
      <sz val="12"/>
      <color theme="1"/>
      <name val="RomanD"/>
    </font>
    <font>
      <b/>
      <i/>
      <sz val="11"/>
      <color rgb="FF000000"/>
      <name val="Arial"/>
      <family val="2"/>
    </font>
    <font>
      <sz val="8"/>
      <color rgb="FF242729"/>
      <name val="Consolas"/>
      <family val="3"/>
    </font>
    <font>
      <b/>
      <i/>
      <sz val="10"/>
      <color theme="0"/>
      <name val="Arial"/>
      <family val="2"/>
    </font>
  </fonts>
  <fills count="4">
    <fill>
      <patternFill patternType="none"/>
    </fill>
    <fill>
      <patternFill patternType="gray125"/>
    </fill>
    <fill>
      <patternFill patternType="solid">
        <fgColor theme="0" tint="-0.14999847407452621"/>
        <bgColor indexed="64"/>
      </patternFill>
    </fill>
    <fill>
      <patternFill patternType="solid">
        <fgColor rgb="FFC00000"/>
        <bgColor indexed="64"/>
      </patternFill>
    </fill>
  </fills>
  <borders count="1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02">
    <xf numFmtId="0" fontId="0" fillId="0" borderId="0" xfId="0"/>
    <xf numFmtId="0" fontId="1" fillId="0" borderId="0" xfId="0" applyFont="1" applyAlignment="1">
      <alignment horizontal="right" vertical="center"/>
    </xf>
    <xf numFmtId="0" fontId="2" fillId="0" borderId="0" xfId="0" applyFont="1" applyAlignment="1">
      <alignment horizontal="center" vertical="center"/>
    </xf>
    <xf numFmtId="0" fontId="1" fillId="0" borderId="0" xfId="0" quotePrefix="1" applyFont="1" applyAlignment="1">
      <alignment horizontal="center" vertical="center"/>
    </xf>
    <xf numFmtId="1" fontId="3" fillId="0" borderId="0" xfId="0" applyNumberFormat="1" applyFont="1" applyAlignment="1">
      <alignment horizontal="center" vertical="center"/>
    </xf>
    <xf numFmtId="0" fontId="4" fillId="0" borderId="0" xfId="0" applyFont="1"/>
    <xf numFmtId="0" fontId="5" fillId="0" borderId="0" xfId="0" applyFont="1"/>
    <xf numFmtId="0" fontId="4" fillId="0" borderId="0" xfId="0" applyFont="1" applyAlignment="1">
      <alignment horizontal="center" vertical="center"/>
    </xf>
    <xf numFmtId="0" fontId="4" fillId="0" borderId="0" xfId="0" applyFont="1" applyAlignment="1">
      <alignment horizontal="center"/>
    </xf>
    <xf numFmtId="164" fontId="3" fillId="0" borderId="0" xfId="0" applyNumberFormat="1" applyFont="1" applyAlignment="1">
      <alignment horizontal="center" vertic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1" fillId="0" borderId="4" xfId="0" applyFont="1" applyBorder="1" applyAlignment="1">
      <alignment horizontal="right" vertical="center"/>
    </xf>
    <xf numFmtId="0" fontId="4" fillId="0" borderId="5" xfId="0" applyFont="1" applyBorder="1" applyAlignment="1">
      <alignment horizontal="center" vertical="center"/>
    </xf>
    <xf numFmtId="0" fontId="1" fillId="0" borderId="6" xfId="0" applyFont="1" applyBorder="1" applyAlignment="1">
      <alignment horizontal="right" vertical="center"/>
    </xf>
    <xf numFmtId="0" fontId="2" fillId="0" borderId="6" xfId="0" applyFont="1" applyBorder="1" applyAlignment="1">
      <alignment horizontal="center" vertical="center"/>
    </xf>
    <xf numFmtId="0" fontId="1" fillId="0" borderId="6" xfId="0" quotePrefix="1" applyFont="1" applyBorder="1" applyAlignment="1">
      <alignment horizontal="center" vertical="center"/>
    </xf>
    <xf numFmtId="2" fontId="7" fillId="2" borderId="6" xfId="0" applyNumberFormat="1" applyFont="1" applyFill="1" applyBorder="1" applyAlignment="1">
      <alignment horizontal="center" vertical="center"/>
    </xf>
    <xf numFmtId="2" fontId="4" fillId="0" borderId="0" xfId="0" applyNumberFormat="1" applyFont="1" applyBorder="1" applyAlignment="1">
      <alignment horizontal="center" vertical="center"/>
    </xf>
    <xf numFmtId="2" fontId="4" fillId="0" borderId="5" xfId="0" applyNumberFormat="1" applyFont="1" applyBorder="1" applyAlignment="1">
      <alignment horizontal="center" vertical="center"/>
    </xf>
    <xf numFmtId="0" fontId="4" fillId="0" borderId="4" xfId="0" applyFont="1" applyBorder="1" applyAlignment="1">
      <alignment horizontal="center"/>
    </xf>
    <xf numFmtId="1" fontId="1" fillId="0" borderId="6" xfId="0" applyNumberFormat="1" applyFont="1" applyBorder="1" applyAlignment="1">
      <alignment horizontal="center" vertical="center"/>
    </xf>
    <xf numFmtId="0" fontId="1" fillId="0" borderId="6" xfId="0" applyFont="1" applyBorder="1" applyAlignment="1">
      <alignment horizontal="center" vertical="center"/>
    </xf>
    <xf numFmtId="0" fontId="8" fillId="0" borderId="4" xfId="0" applyFont="1" applyBorder="1" applyAlignment="1">
      <alignment horizontal="left"/>
    </xf>
    <xf numFmtId="164" fontId="1" fillId="0" borderId="6" xfId="0" applyNumberFormat="1" applyFont="1" applyBorder="1" applyAlignment="1">
      <alignment horizontal="center"/>
    </xf>
    <xf numFmtId="2" fontId="1" fillId="0" borderId="6" xfId="0" applyNumberFormat="1" applyFont="1" applyBorder="1" applyAlignment="1">
      <alignment horizontal="center" vertical="center"/>
    </xf>
    <xf numFmtId="1" fontId="3" fillId="0" borderId="6" xfId="0" applyNumberFormat="1" applyFont="1" applyBorder="1" applyAlignment="1">
      <alignment horizontal="center" vertical="center"/>
    </xf>
    <xf numFmtId="0" fontId="1" fillId="0" borderId="9" xfId="0" applyFont="1" applyBorder="1" applyAlignment="1">
      <alignment horizontal="right" vertical="center"/>
    </xf>
    <xf numFmtId="2" fontId="4" fillId="0" borderId="10" xfId="0" applyNumberFormat="1" applyFont="1" applyBorder="1" applyAlignment="1">
      <alignment horizontal="center" vertical="center"/>
    </xf>
    <xf numFmtId="0" fontId="4" fillId="0" borderId="0" xfId="0" applyFont="1" applyAlignment="1">
      <alignment horizontal="right"/>
    </xf>
    <xf numFmtId="0" fontId="9" fillId="0" borderId="6" xfId="0" applyFont="1" applyBorder="1" applyAlignment="1">
      <alignment horizontal="center" vertical="center"/>
    </xf>
    <xf numFmtId="0" fontId="9" fillId="0" borderId="0" xfId="0" applyFont="1" applyAlignment="1">
      <alignment horizontal="center" vertical="center"/>
    </xf>
    <xf numFmtId="0" fontId="0" fillId="0" borderId="0" xfId="0" applyAlignment="1">
      <alignment horizontal="center" vertical="center"/>
    </xf>
    <xf numFmtId="0" fontId="11" fillId="0" borderId="0" xfId="0" applyFont="1"/>
    <xf numFmtId="0" fontId="1" fillId="0" borderId="0" xfId="0" applyFont="1" applyAlignment="1">
      <alignment horizontal="left"/>
    </xf>
    <xf numFmtId="0" fontId="1" fillId="0" borderId="11" xfId="0" applyFont="1" applyBorder="1" applyAlignment="1">
      <alignment horizontal="center" vertical="center"/>
    </xf>
    <xf numFmtId="1" fontId="4" fillId="0" borderId="0" xfId="0" applyNumberFormat="1" applyFont="1" applyAlignment="1">
      <alignment horizontal="center"/>
    </xf>
    <xf numFmtId="0" fontId="1" fillId="0" borderId="6" xfId="0" applyFont="1" applyBorder="1" applyAlignment="1">
      <alignment horizontal="right"/>
    </xf>
    <xf numFmtId="1" fontId="1" fillId="0" borderId="6" xfId="0" applyNumberFormat="1" applyFont="1" applyBorder="1" applyAlignment="1">
      <alignment horizontal="center"/>
    </xf>
    <xf numFmtId="1" fontId="1" fillId="0" borderId="13" xfId="0" applyNumberFormat="1" applyFont="1" applyBorder="1" applyAlignment="1">
      <alignment horizontal="center" vertical="center"/>
    </xf>
    <xf numFmtId="0" fontId="1" fillId="0" borderId="13" xfId="0" quotePrefix="1" applyFont="1" applyBorder="1" applyAlignment="1">
      <alignment horizontal="center" vertical="center"/>
    </xf>
    <xf numFmtId="166" fontId="2" fillId="0" borderId="6" xfId="0" applyNumberFormat="1" applyFont="1" applyBorder="1" applyAlignment="1">
      <alignment horizontal="center" vertical="center"/>
    </xf>
    <xf numFmtId="0" fontId="1" fillId="0" borderId="11" xfId="0" applyFont="1" applyBorder="1" applyAlignment="1">
      <alignment horizontal="center" vertical="center"/>
    </xf>
    <xf numFmtId="2" fontId="4" fillId="0" borderId="0" xfId="0" applyNumberFormat="1" applyFont="1" applyAlignment="1">
      <alignment horizontal="center" vertical="center"/>
    </xf>
    <xf numFmtId="0" fontId="4" fillId="0" borderId="10" xfId="0" applyFont="1" applyBorder="1" applyAlignment="1">
      <alignment horizontal="center" vertical="center"/>
    </xf>
    <xf numFmtId="0" fontId="4" fillId="0" borderId="12" xfId="0" applyFont="1" applyBorder="1" applyAlignment="1">
      <alignment horizontal="center" vertical="center"/>
    </xf>
    <xf numFmtId="2" fontId="7" fillId="2" borderId="12" xfId="0" applyNumberFormat="1" applyFont="1" applyFill="1" applyBorder="1" applyAlignment="1">
      <alignment horizontal="center" vertical="center"/>
    </xf>
    <xf numFmtId="2" fontId="7" fillId="2" borderId="8" xfId="0" applyNumberFormat="1" applyFont="1" applyFill="1" applyBorder="1" applyAlignment="1">
      <alignment horizontal="center" vertical="center"/>
    </xf>
    <xf numFmtId="0" fontId="2" fillId="0" borderId="5" xfId="0" applyFont="1" applyBorder="1" applyAlignment="1">
      <alignment horizontal="center" vertical="center"/>
    </xf>
    <xf numFmtId="0" fontId="1" fillId="0" borderId="5" xfId="0" applyFont="1" applyBorder="1" applyAlignment="1">
      <alignment horizontal="center" vertical="center"/>
    </xf>
    <xf numFmtId="1" fontId="1" fillId="0" borderId="5" xfId="0" applyNumberFormat="1" applyFont="1" applyBorder="1" applyAlignment="1">
      <alignment horizontal="center" vertical="center"/>
    </xf>
    <xf numFmtId="165" fontId="1" fillId="0" borderId="5" xfId="0" applyNumberFormat="1" applyFont="1" applyBorder="1" applyAlignment="1">
      <alignment horizontal="center" vertical="center"/>
    </xf>
    <xf numFmtId="165" fontId="1" fillId="0" borderId="12" xfId="0" applyNumberFormat="1" applyFont="1" applyBorder="1" applyAlignment="1">
      <alignment horizontal="center" vertical="center"/>
    </xf>
    <xf numFmtId="2" fontId="4" fillId="0" borderId="9" xfId="0" applyNumberFormat="1" applyFont="1" applyBorder="1" applyAlignment="1">
      <alignment horizontal="center" vertical="center"/>
    </xf>
    <xf numFmtId="2" fontId="4" fillId="0" borderId="3" xfId="0" applyNumberFormat="1" applyFont="1" applyBorder="1" applyAlignment="1">
      <alignment horizontal="center" vertical="center"/>
    </xf>
    <xf numFmtId="2" fontId="4" fillId="0" borderId="12" xfId="0" applyNumberFormat="1" applyFont="1" applyBorder="1" applyAlignment="1">
      <alignment horizontal="center" vertical="center"/>
    </xf>
    <xf numFmtId="0" fontId="4" fillId="0" borderId="7" xfId="0" applyFont="1" applyBorder="1"/>
    <xf numFmtId="0" fontId="4" fillId="0" borderId="14" xfId="0" applyFont="1" applyBorder="1"/>
    <xf numFmtId="0" fontId="4" fillId="0" borderId="8" xfId="0" applyFont="1" applyBorder="1" applyAlignment="1">
      <alignment horizontal="center" vertical="center"/>
    </xf>
    <xf numFmtId="0" fontId="1" fillId="0" borderId="7" xfId="0" applyFont="1" applyBorder="1" applyAlignment="1">
      <alignment horizontal="left"/>
    </xf>
    <xf numFmtId="0" fontId="1" fillId="0" borderId="14" xfId="0" applyFont="1" applyBorder="1" applyAlignment="1">
      <alignment horizontal="right"/>
    </xf>
    <xf numFmtId="0" fontId="1" fillId="0" borderId="8" xfId="0" applyFont="1" applyBorder="1" applyAlignment="1">
      <alignment horizontal="right"/>
    </xf>
    <xf numFmtId="0" fontId="6" fillId="0" borderId="6" xfId="0" applyFont="1" applyBorder="1" applyAlignment="1">
      <alignment horizontal="center" vertical="center"/>
    </xf>
    <xf numFmtId="2" fontId="4" fillId="0" borderId="2" xfId="0" applyNumberFormat="1" applyFont="1" applyBorder="1" applyAlignment="1">
      <alignment horizontal="center" vertical="center"/>
    </xf>
    <xf numFmtId="2" fontId="4" fillId="0" borderId="4" xfId="0" applyNumberFormat="1" applyFont="1" applyBorder="1" applyAlignment="1">
      <alignment horizontal="center" vertical="center"/>
    </xf>
    <xf numFmtId="0" fontId="12" fillId="0" borderId="0" xfId="0" applyFont="1" applyFill="1" applyAlignment="1">
      <alignment horizontal="left"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6" fillId="0" borderId="6" xfId="0" applyFont="1" applyFill="1" applyBorder="1" applyAlignment="1">
      <alignment horizontal="center" vertical="center"/>
    </xf>
    <xf numFmtId="0" fontId="6" fillId="3" borderId="6" xfId="0" applyFont="1" applyFill="1" applyBorder="1" applyAlignment="1">
      <alignment horizontal="center" vertical="center"/>
    </xf>
    <xf numFmtId="0" fontId="1" fillId="0" borderId="0" xfId="0" quotePrefix="1" applyFont="1" applyAlignment="1">
      <alignment horizontal="left"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0" xfId="0" applyFont="1" applyBorder="1" applyAlignment="1">
      <alignment horizontal="right" vertical="center"/>
    </xf>
    <xf numFmtId="165" fontId="1" fillId="0" borderId="0" xfId="0" applyNumberFormat="1" applyFont="1" applyBorder="1" applyAlignment="1">
      <alignment horizontal="center" vertical="center"/>
    </xf>
    <xf numFmtId="2" fontId="7" fillId="2" borderId="0" xfId="0" applyNumberFormat="1" applyFont="1" applyFill="1" applyBorder="1" applyAlignment="1">
      <alignment horizontal="center" vertical="center"/>
    </xf>
    <xf numFmtId="164" fontId="1" fillId="0" borderId="0" xfId="0" applyNumberFormat="1" applyFont="1" applyBorder="1" applyAlignment="1">
      <alignment horizontal="center"/>
    </xf>
    <xf numFmtId="0" fontId="2" fillId="0" borderId="0" xfId="0" applyFont="1" applyBorder="1" applyAlignment="1">
      <alignment horizontal="center" vertical="center"/>
    </xf>
    <xf numFmtId="1" fontId="1" fillId="0" borderId="0" xfId="0" applyNumberFormat="1" applyFont="1" applyBorder="1" applyAlignment="1">
      <alignment horizontal="center" vertical="center"/>
    </xf>
    <xf numFmtId="0" fontId="1" fillId="0" borderId="0" xfId="0" applyFont="1" applyBorder="1" applyAlignment="1">
      <alignment horizontal="center" vertical="center"/>
    </xf>
    <xf numFmtId="0" fontId="1" fillId="0" borderId="0" xfId="0" applyFont="1" applyBorder="1" applyAlignment="1">
      <alignment horizontal="right"/>
    </xf>
    <xf numFmtId="1" fontId="1" fillId="0" borderId="0" xfId="0" applyNumberFormat="1" applyFont="1" applyBorder="1" applyAlignment="1">
      <alignment horizontal="center"/>
    </xf>
    <xf numFmtId="0" fontId="9" fillId="0" borderId="6" xfId="0" applyFont="1" applyBorder="1" applyAlignment="1">
      <alignment horizontal="left" vertical="center"/>
    </xf>
    <xf numFmtId="0" fontId="1" fillId="0" borderId="7" xfId="0" applyFont="1" applyBorder="1" applyAlignment="1">
      <alignment horizontal="center"/>
    </xf>
    <xf numFmtId="0" fontId="1" fillId="0" borderId="8" xfId="0" applyFont="1" applyBorder="1" applyAlignment="1">
      <alignment horizontal="center"/>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1" fillId="0" borderId="1" xfId="0" applyFont="1" applyBorder="1" applyAlignment="1">
      <alignment horizontal="center" vertical="center"/>
    </xf>
    <xf numFmtId="0" fontId="1" fillId="0" borderId="9" xfId="0" applyFont="1" applyBorder="1" applyAlignment="1">
      <alignment horizontal="center" vertical="center"/>
    </xf>
    <xf numFmtId="0" fontId="1" fillId="0" borderId="11" xfId="0" applyFont="1" applyBorder="1" applyAlignment="1">
      <alignment horizontal="center" vertical="center"/>
    </xf>
    <xf numFmtId="0" fontId="1" fillId="0" borderId="13" xfId="0" applyFont="1" applyBorder="1" applyAlignment="1">
      <alignment horizontal="center" vertical="center"/>
    </xf>
    <xf numFmtId="0" fontId="1" fillId="0" borderId="3" xfId="0" applyFont="1" applyBorder="1" applyAlignment="1">
      <alignment horizontal="center" vertical="center"/>
    </xf>
    <xf numFmtId="0" fontId="1" fillId="0" borderId="12" xfId="0" applyFont="1" applyBorder="1" applyAlignment="1">
      <alignment horizontal="center" vertical="center"/>
    </xf>
    <xf numFmtId="0" fontId="9" fillId="0" borderId="6" xfId="0" applyFont="1" applyBorder="1" applyAlignment="1">
      <alignment horizontal="center" vertical="center"/>
    </xf>
    <xf numFmtId="0" fontId="9" fillId="0" borderId="6" xfId="0" applyFont="1" applyBorder="1" applyAlignment="1">
      <alignment horizontal="center" vertical="center" wrapText="1"/>
    </xf>
  </cellXfs>
  <cellStyles count="1">
    <cellStyle name="Normal" xfId="0" builtinId="0"/>
  </cellStyles>
  <dxfs count="574">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91440</xdr:rowOff>
        </xdr:from>
        <xdr:to>
          <xdr:col>10</xdr:col>
          <xdr:colOff>251460</xdr:colOff>
          <xdr:row>2</xdr:row>
          <xdr:rowOff>91440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100" b="1" i="1" u="none" strike="noStrike" baseline="0">
                  <a:solidFill>
                    <a:srgbClr val="000000"/>
                  </a:solidFill>
                  <a:latin typeface="Arial"/>
                  <a:cs typeface="Arial"/>
                </a:rPr>
                <a:t>Add Beam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167640</xdr:colOff>
          <xdr:row>0</xdr:row>
          <xdr:rowOff>91440</xdr:rowOff>
        </xdr:from>
        <xdr:to>
          <xdr:col>1</xdr:col>
          <xdr:colOff>594360</xdr:colOff>
          <xdr:row>1</xdr:row>
          <xdr:rowOff>198120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100" b="1" i="1" u="none" strike="noStrike" baseline="0">
                  <a:solidFill>
                    <a:srgbClr val="000000"/>
                  </a:solidFill>
                  <a:latin typeface="Arial"/>
                  <a:cs typeface="Arial"/>
                </a:rPr>
                <a:t>Generate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129540</xdr:colOff>
          <xdr:row>0</xdr:row>
          <xdr:rowOff>91440</xdr:rowOff>
        </xdr:from>
        <xdr:to>
          <xdr:col>3</xdr:col>
          <xdr:colOff>419100</xdr:colOff>
          <xdr:row>1</xdr:row>
          <xdr:rowOff>198120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100" b="1" i="1" u="none" strike="noStrike" baseline="0">
                  <a:solidFill>
                    <a:srgbClr val="000000"/>
                  </a:solidFill>
                  <a:latin typeface="Arial"/>
                  <a:cs typeface="Arial"/>
                </a:rPr>
                <a:t>Clear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396240</xdr:colOff>
          <xdr:row>1</xdr:row>
          <xdr:rowOff>91440</xdr:rowOff>
        </xdr:from>
        <xdr:to>
          <xdr:col>18</xdr:col>
          <xdr:colOff>342900</xdr:colOff>
          <xdr:row>3</xdr:row>
          <xdr:rowOff>99060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100" b="1" i="1" u="none" strike="noStrike" baseline="0">
                  <a:solidFill>
                    <a:srgbClr val="000000"/>
                  </a:solidFill>
                  <a:latin typeface="Arial"/>
                  <a:cs typeface="Arial"/>
                </a:rPr>
                <a:t>Exec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1232"/>
  <sheetViews>
    <sheetView tabSelected="1" view="pageBreakPreview" zoomScaleNormal="100" zoomScaleSheetLayoutView="100" workbookViewId="0">
      <pane ySplit="1344" topLeftCell="A1106" activePane="bottomLeft"/>
      <selection activeCell="J1" sqref="J1:J1048576"/>
      <selection pane="bottomLeft" activeCell="K1125" sqref="K1125:K1126"/>
    </sheetView>
  </sheetViews>
  <sheetFormatPr defaultRowHeight="13.2" x14ac:dyDescent="0.25"/>
  <cols>
    <col min="1" max="1" width="16.77734375" style="29" customWidth="1"/>
    <col min="2" max="2" width="10.77734375" style="5" customWidth="1"/>
    <col min="3" max="7" width="8.77734375" style="5" customWidth="1"/>
    <col min="8" max="8" width="2.77734375" style="5" customWidth="1"/>
    <col min="9" max="10" width="8.77734375" style="5" customWidth="1"/>
    <col min="11" max="11" width="5.77734375" style="7" customWidth="1"/>
    <col min="12" max="12" width="6.77734375" style="8" customWidth="1"/>
    <col min="13" max="13" width="6.77734375" style="5" customWidth="1"/>
    <col min="14" max="15" width="8.77734375" style="5" customWidth="1"/>
    <col min="16" max="16" width="2.77734375" style="5" customWidth="1"/>
    <col min="17" max="17" width="8.77734375" style="29" customWidth="1"/>
    <col min="18" max="18" width="6.77734375" style="8" customWidth="1"/>
    <col min="19" max="19" width="6.77734375" style="7" customWidth="1"/>
    <col min="20" max="16384" width="8.88671875" style="5"/>
  </cols>
  <sheetData>
    <row r="1" spans="1:16" x14ac:dyDescent="0.25">
      <c r="A1" s="1" t="s">
        <v>0</v>
      </c>
      <c r="B1" s="2">
        <v>27</v>
      </c>
      <c r="C1" s="3" t="s">
        <v>1</v>
      </c>
      <c r="D1" s="4">
        <f>B1*145.0377/1000</f>
        <v>3.9160178999999999</v>
      </c>
      <c r="E1" s="3" t="s">
        <v>2</v>
      </c>
      <c r="H1" s="6">
        <v>16</v>
      </c>
    </row>
    <row r="2" spans="1:16" x14ac:dyDescent="0.25">
      <c r="A2" s="1" t="s">
        <v>3</v>
      </c>
      <c r="B2" s="2">
        <v>414</v>
      </c>
      <c r="C2" s="3" t="s">
        <v>1</v>
      </c>
      <c r="D2" s="4">
        <f>B2*145.0377/1000</f>
        <v>60.045607799999999</v>
      </c>
      <c r="E2" s="3" t="s">
        <v>2</v>
      </c>
      <c r="H2" s="6">
        <v>20</v>
      </c>
    </row>
    <row r="3" spans="1:16" x14ac:dyDescent="0.25">
      <c r="A3" s="1" t="s">
        <v>21</v>
      </c>
      <c r="B3" s="2">
        <v>275</v>
      </c>
      <c r="C3" s="3" t="s">
        <v>1</v>
      </c>
      <c r="D3" s="4">
        <f>B3*145.0377/1000</f>
        <v>39.885367500000001</v>
      </c>
      <c r="E3" s="3" t="s">
        <v>2</v>
      </c>
      <c r="H3" s="6">
        <v>25</v>
      </c>
    </row>
    <row r="4" spans="1:16" x14ac:dyDescent="0.25">
      <c r="A4" s="1" t="s">
        <v>4</v>
      </c>
      <c r="B4" s="9">
        <f>0.75*0.17*SQRT(fc)</f>
        <v>0.66250943389509565</v>
      </c>
      <c r="C4" s="3" t="s">
        <v>1</v>
      </c>
      <c r="D4" s="7"/>
      <c r="E4" s="7"/>
      <c r="H4" s="6"/>
    </row>
    <row r="5" spans="1:16" x14ac:dyDescent="0.25">
      <c r="A5" s="1" t="s">
        <v>5</v>
      </c>
      <c r="B5" s="2">
        <v>0.9</v>
      </c>
      <c r="C5" s="2">
        <v>0.75</v>
      </c>
      <c r="D5" s="7"/>
      <c r="E5" s="7"/>
      <c r="H5" s="6"/>
    </row>
    <row r="6" spans="1:16" x14ac:dyDescent="0.25">
      <c r="A6" s="1" t="s">
        <v>6</v>
      </c>
      <c r="B6" s="2">
        <v>3.3E-3</v>
      </c>
      <c r="H6" s="6">
        <v>1</v>
      </c>
    </row>
    <row r="7" spans="1:16" x14ac:dyDescent="0.25">
      <c r="A7" s="1" t="s">
        <v>7</v>
      </c>
      <c r="B7" s="2">
        <v>2.1399999999999999E-2</v>
      </c>
      <c r="H7" s="6">
        <v>2</v>
      </c>
    </row>
    <row r="8" spans="1:16" x14ac:dyDescent="0.25">
      <c r="A8" s="1" t="s">
        <v>8</v>
      </c>
      <c r="B8" s="2">
        <v>30</v>
      </c>
      <c r="C8" s="3" t="s">
        <v>9</v>
      </c>
      <c r="H8" s="6">
        <v>50</v>
      </c>
    </row>
    <row r="9" spans="1:16" x14ac:dyDescent="0.25">
      <c r="A9" s="1" t="s">
        <v>10</v>
      </c>
      <c r="B9" s="2">
        <v>40</v>
      </c>
      <c r="C9" s="3" t="s">
        <v>9</v>
      </c>
      <c r="E9" s="5" t="s">
        <v>67</v>
      </c>
      <c r="H9" s="6">
        <v>75</v>
      </c>
    </row>
    <row r="10" spans="1:16" x14ac:dyDescent="0.25">
      <c r="A10" s="65" t="s">
        <v>76</v>
      </c>
      <c r="H10" s="6">
        <v>100</v>
      </c>
    </row>
    <row r="11" spans="1:16" x14ac:dyDescent="0.25">
      <c r="A11" s="62" t="s">
        <v>90</v>
      </c>
      <c r="B11" s="11" t="s">
        <v>11</v>
      </c>
      <c r="C11" s="10" t="s">
        <v>12</v>
      </c>
      <c r="D11" s="10" t="s">
        <v>13</v>
      </c>
      <c r="E11" s="10" t="s">
        <v>14</v>
      </c>
      <c r="F11" s="10" t="s">
        <v>15</v>
      </c>
      <c r="G11" s="11" t="s">
        <v>16</v>
      </c>
      <c r="H11" s="6">
        <v>125</v>
      </c>
      <c r="I11" s="90" t="s">
        <v>34</v>
      </c>
      <c r="J11" s="91"/>
      <c r="K11" s="3"/>
    </row>
    <row r="12" spans="1:16" x14ac:dyDescent="0.25">
      <c r="A12" s="12" t="s">
        <v>17</v>
      </c>
      <c r="B12" s="48">
        <v>300</v>
      </c>
      <c r="C12" s="44" t="s">
        <v>18</v>
      </c>
      <c r="D12" s="44" t="s">
        <v>18</v>
      </c>
      <c r="E12" s="44" t="s">
        <v>18</v>
      </c>
      <c r="F12" s="44" t="s">
        <v>19</v>
      </c>
      <c r="G12" s="45" t="s">
        <v>19</v>
      </c>
      <c r="H12" s="6">
        <v>150</v>
      </c>
      <c r="I12" s="14" t="s">
        <v>20</v>
      </c>
      <c r="J12" s="15">
        <v>10</v>
      </c>
      <c r="K12" s="16" t="s">
        <v>9</v>
      </c>
      <c r="L12" s="22" t="s">
        <v>29</v>
      </c>
      <c r="M12" s="22" t="s">
        <v>30</v>
      </c>
      <c r="N12" s="22" t="s">
        <v>31</v>
      </c>
      <c r="O12" s="22" t="s">
        <v>32</v>
      </c>
      <c r="P12" s="3"/>
    </row>
    <row r="13" spans="1:16" x14ac:dyDescent="0.25">
      <c r="A13" s="12" t="s">
        <v>22</v>
      </c>
      <c r="B13" s="48">
        <v>600</v>
      </c>
      <c r="C13" s="46">
        <v>-575.80762125798606</v>
      </c>
      <c r="D13" s="43">
        <v>3.4420116550565205</v>
      </c>
      <c r="E13" s="43">
        <v>0</v>
      </c>
      <c r="F13" s="43">
        <v>83.521527061426298</v>
      </c>
      <c r="G13" s="54">
        <v>0</v>
      </c>
      <c r="H13" s="6">
        <v>175</v>
      </c>
      <c r="I13" s="56"/>
      <c r="J13" s="57"/>
      <c r="K13" s="58"/>
      <c r="L13" s="92" t="s">
        <v>1</v>
      </c>
      <c r="M13" s="93"/>
      <c r="N13" s="22" t="s">
        <v>35</v>
      </c>
      <c r="O13" s="22" t="s">
        <v>9</v>
      </c>
    </row>
    <row r="14" spans="1:16" x14ac:dyDescent="0.25">
      <c r="A14" s="20" t="s">
        <v>24</v>
      </c>
      <c r="B14" s="13"/>
      <c r="C14" s="47">
        <v>619.60121541108606</v>
      </c>
      <c r="D14" s="43">
        <v>0</v>
      </c>
      <c r="E14" s="43">
        <v>-94.805379219272297</v>
      </c>
      <c r="F14" s="43">
        <v>0</v>
      </c>
      <c r="G14" s="19">
        <v>12.414201492167976</v>
      </c>
      <c r="H14" s="6">
        <v>200</v>
      </c>
      <c r="I14" s="59" t="s">
        <v>70</v>
      </c>
      <c r="J14" s="60"/>
      <c r="K14" s="61"/>
      <c r="L14" s="25">
        <f>MAX(ABS(E17),ABS(E18))*1000/(B15*B12)</f>
        <v>1.0857361427424117</v>
      </c>
      <c r="M14" s="25">
        <f>L14-phiVc</f>
        <v>0.42322670884731606</v>
      </c>
      <c r="N14" s="26">
        <f>M14*O14*B12/(phiV*fys*0.25*PI()*(J12^2))</f>
        <v>1.5676188569964158</v>
      </c>
      <c r="O14" s="15">
        <v>200</v>
      </c>
    </row>
    <row r="15" spans="1:16" x14ac:dyDescent="0.25">
      <c r="A15" s="12" t="s">
        <v>26</v>
      </c>
      <c r="B15" s="49">
        <f>B13-clrCover-J12-(IF(M19&gt;1,1.5*J18,0.5*J18))</f>
        <v>540</v>
      </c>
      <c r="C15" s="43">
        <v>242.24780250240053</v>
      </c>
      <c r="D15" s="17">
        <v>-20.989573425694125</v>
      </c>
      <c r="E15" s="43">
        <v>7.0560574341028293</v>
      </c>
      <c r="F15" s="43">
        <v>56.796228892059169</v>
      </c>
      <c r="G15" s="19">
        <v>42.323485362625696</v>
      </c>
      <c r="H15" s="6">
        <v>250</v>
      </c>
      <c r="I15" s="59" t="s">
        <v>71</v>
      </c>
      <c r="J15" s="60"/>
      <c r="K15" s="61"/>
      <c r="L15" s="25">
        <f>MAX(ABS(E17),ABS(E18))*1000/(B20*B12)</f>
        <v>1.0857361427424117</v>
      </c>
      <c r="M15" s="25">
        <f>L15-phiVc</f>
        <v>0.42322670884731606</v>
      </c>
      <c r="N15" s="26">
        <f>M15*O15*B12/(phiV*fys*0.25*PI()*(J12^2))</f>
        <v>1.5676188569964158</v>
      </c>
      <c r="O15" s="15">
        <v>200</v>
      </c>
    </row>
    <row r="16" spans="1:16" x14ac:dyDescent="0.25">
      <c r="A16" s="12" t="s">
        <v>27</v>
      </c>
      <c r="B16" s="50">
        <f>K19*R18</f>
        <v>1256</v>
      </c>
      <c r="C16" s="43">
        <v>-244.95213794365515</v>
      </c>
      <c r="D16" s="17">
        <v>21.2921952366349</v>
      </c>
      <c r="E16" s="43">
        <v>-48.783153391416633</v>
      </c>
      <c r="F16" s="43">
        <v>-66.440336608767936</v>
      </c>
      <c r="G16" s="19">
        <v>-42.933693561048813</v>
      </c>
      <c r="H16" s="6">
        <v>300</v>
      </c>
    </row>
    <row r="17" spans="1:19" ht="14.4" customHeight="1" x14ac:dyDescent="0.25">
      <c r="A17" s="12" t="s">
        <v>28</v>
      </c>
      <c r="B17" s="51">
        <f>-phi*B12*(B15^2)*J19*fy*(1-(0.588*J19*fy/fc))/1000000</f>
        <v>-235.047177796608</v>
      </c>
      <c r="C17" s="43">
        <v>-29.138046342215493</v>
      </c>
      <c r="D17" s="43">
        <v>-12.889999733038406</v>
      </c>
      <c r="E17" s="17">
        <v>-175.88925512427068</v>
      </c>
      <c r="F17" s="43">
        <v>-222.95213695692763</v>
      </c>
      <c r="G17" s="19">
        <v>17.260976821526853</v>
      </c>
      <c r="I17" s="90" t="s">
        <v>68</v>
      </c>
      <c r="J17" s="91"/>
      <c r="K17" s="94" t="s">
        <v>35</v>
      </c>
      <c r="L17" s="35" t="s">
        <v>36</v>
      </c>
      <c r="M17" s="96" t="s">
        <v>37</v>
      </c>
      <c r="N17" s="98" t="s">
        <v>38</v>
      </c>
      <c r="O17" s="96" t="s">
        <v>72</v>
      </c>
      <c r="Q17" s="34" t="s">
        <v>73</v>
      </c>
    </row>
    <row r="18" spans="1:19" x14ac:dyDescent="0.25">
      <c r="A18" s="23" t="s">
        <v>33</v>
      </c>
      <c r="B18" s="13"/>
      <c r="C18" s="43">
        <v>-202.67277744124559</v>
      </c>
      <c r="D18" s="43">
        <v>-10.140277765825223</v>
      </c>
      <c r="E18" s="17">
        <v>167.5918989899167</v>
      </c>
      <c r="F18" s="43">
        <v>-174.88819214116282</v>
      </c>
      <c r="G18" s="19">
        <v>-11.137699833189403</v>
      </c>
      <c r="I18" s="14" t="s">
        <v>23</v>
      </c>
      <c r="J18" s="41">
        <v>20</v>
      </c>
      <c r="K18" s="95"/>
      <c r="L18" s="40" t="s">
        <v>9</v>
      </c>
      <c r="M18" s="97"/>
      <c r="N18" s="99"/>
      <c r="O18" s="97"/>
      <c r="Q18" s="14" t="s">
        <v>75</v>
      </c>
      <c r="R18" s="21">
        <f>IF(J18=16,201,IF(J18=20,314,IF(J18=25,490,"Err")))</f>
        <v>314</v>
      </c>
      <c r="S18" s="16" t="s">
        <v>25</v>
      </c>
    </row>
    <row r="19" spans="1:19" x14ac:dyDescent="0.25">
      <c r="A19" s="20" t="s">
        <v>39</v>
      </c>
      <c r="B19" s="13"/>
      <c r="C19" s="43">
        <v>-29.138046342215493</v>
      </c>
      <c r="D19" s="43">
        <v>-12.889999733038406</v>
      </c>
      <c r="E19" s="43">
        <v>-175.88925512427068</v>
      </c>
      <c r="F19" s="17">
        <v>-222.95213695692763</v>
      </c>
      <c r="G19" s="19">
        <v>17.260976821526853</v>
      </c>
      <c r="I19" s="14" t="s">
        <v>40</v>
      </c>
      <c r="J19" s="24">
        <f>MAX(rhoMin,(K19*R18/(B12*B15)))</f>
        <v>7.7530864197530866E-3</v>
      </c>
      <c r="K19" s="15">
        <v>4</v>
      </c>
      <c r="L19" s="39">
        <f>IF(M19&lt;2,(B12-(2*(J12+clrCover))-(K19*J18))/(K19-1),(B12-(2*(J12+clrCover))-(N19*J18))/((N19)-1))</f>
        <v>40</v>
      </c>
      <c r="M19" s="15">
        <v>1</v>
      </c>
      <c r="N19" s="22">
        <f>IF(M19&lt;2,K19,CEILING(K19/2,1))</f>
        <v>4</v>
      </c>
      <c r="O19" s="22">
        <f>K19-N19</f>
        <v>0</v>
      </c>
      <c r="Q19" s="37" t="s">
        <v>74</v>
      </c>
      <c r="R19" s="38">
        <f>rhoMin*B12*B15</f>
        <v>534.6</v>
      </c>
      <c r="S19" s="22">
        <f>ROUNDUP(R19/R18,0)</f>
        <v>2</v>
      </c>
    </row>
    <row r="20" spans="1:19" x14ac:dyDescent="0.25">
      <c r="A20" s="12" t="s">
        <v>26</v>
      </c>
      <c r="B20" s="49">
        <f>B13-clrCover-J12-(IF(M22&gt;1,1.5*J21,0.5*J21))</f>
        <v>540</v>
      </c>
      <c r="C20" s="43">
        <v>-29.138046342215493</v>
      </c>
      <c r="D20" s="43">
        <v>-12.889999733038406</v>
      </c>
      <c r="E20" s="43">
        <v>-143.79143420409446</v>
      </c>
      <c r="F20" s="17">
        <v>194.18905695269609</v>
      </c>
      <c r="G20" s="55">
        <v>-16.378526956015065</v>
      </c>
      <c r="I20" s="90" t="s">
        <v>69</v>
      </c>
      <c r="J20" s="91"/>
      <c r="K20" s="96" t="s">
        <v>35</v>
      </c>
      <c r="L20" s="35" t="s">
        <v>36</v>
      </c>
      <c r="M20" s="96" t="s">
        <v>37</v>
      </c>
      <c r="N20" s="98" t="s">
        <v>38</v>
      </c>
      <c r="O20" s="96" t="s">
        <v>72</v>
      </c>
      <c r="R20" s="36"/>
    </row>
    <row r="21" spans="1:19" x14ac:dyDescent="0.25">
      <c r="A21" s="12" t="s">
        <v>27</v>
      </c>
      <c r="B21" s="50">
        <f>K22*R21</f>
        <v>1256</v>
      </c>
      <c r="C21" s="43">
        <v>-244.95213794365515</v>
      </c>
      <c r="D21" s="43">
        <v>21.2921952366349</v>
      </c>
      <c r="E21" s="43">
        <v>-48.783153391416633</v>
      </c>
      <c r="F21" s="43">
        <v>-66.440336608767936</v>
      </c>
      <c r="G21" s="17">
        <v>-42.933693561048813</v>
      </c>
      <c r="I21" s="14" t="s">
        <v>23</v>
      </c>
      <c r="J21" s="41">
        <v>20</v>
      </c>
      <c r="K21" s="97"/>
      <c r="L21" s="40" t="s">
        <v>9</v>
      </c>
      <c r="M21" s="97"/>
      <c r="N21" s="99"/>
      <c r="O21" s="97"/>
      <c r="Q21" s="14" t="s">
        <v>75</v>
      </c>
      <c r="R21" s="21">
        <f>IF(J21=16,201,IF(J21=20,314,IF(J21=25,490,"Err")))</f>
        <v>314</v>
      </c>
      <c r="S21" s="16" t="s">
        <v>25</v>
      </c>
    </row>
    <row r="22" spans="1:19" x14ac:dyDescent="0.25">
      <c r="A22" s="27" t="s">
        <v>28</v>
      </c>
      <c r="B22" s="52">
        <f>phi*B12*(B20^2)*J22*fy*(1-(0.588*J22*fy/fc))/1000000</f>
        <v>235.047177796608</v>
      </c>
      <c r="C22" s="53">
        <v>242.24780250240053</v>
      </c>
      <c r="D22" s="28">
        <v>-20.989573425694125</v>
      </c>
      <c r="E22" s="28">
        <v>7.0560574341028293</v>
      </c>
      <c r="F22" s="28">
        <v>56.796228892059169</v>
      </c>
      <c r="G22" s="17">
        <v>42.323485362625696</v>
      </c>
      <c r="I22" s="14" t="s">
        <v>40</v>
      </c>
      <c r="J22" s="24">
        <f>MAX(rhoMin,(K22*R21/(B12*B20)))</f>
        <v>7.7530864197530866E-3</v>
      </c>
      <c r="K22" s="15">
        <v>4</v>
      </c>
      <c r="L22" s="21">
        <f>IF(M22&lt;2,(B12-(2*(J12+clrCover))-(K22*J21))/(K22-1),(B12-(2*(J12+clrCover))-(N22*J21))/((N22)-1))</f>
        <v>40</v>
      </c>
      <c r="M22" s="15">
        <v>1</v>
      </c>
      <c r="N22" s="22">
        <f>IF(M22&lt;2,K22,CEILING(K22/2,1))</f>
        <v>4</v>
      </c>
      <c r="O22" s="22">
        <f>K22-N22</f>
        <v>0</v>
      </c>
      <c r="Q22" s="37" t="s">
        <v>74</v>
      </c>
      <c r="R22" s="38">
        <f>rhoMin*B12*B20</f>
        <v>534.6</v>
      </c>
      <c r="S22" s="22">
        <f>ROUNDUP(R22/R21,0)</f>
        <v>2</v>
      </c>
    </row>
    <row r="23" spans="1:19" x14ac:dyDescent="0.25">
      <c r="A23" s="65" t="s">
        <v>76</v>
      </c>
    </row>
    <row r="24" spans="1:19" x14ac:dyDescent="0.25">
      <c r="A24" s="62" t="s">
        <v>91</v>
      </c>
      <c r="B24" s="11" t="s">
        <v>11</v>
      </c>
      <c r="C24" s="10" t="s">
        <v>12</v>
      </c>
      <c r="D24" s="10" t="s">
        <v>13</v>
      </c>
      <c r="E24" s="10" t="s">
        <v>14</v>
      </c>
      <c r="F24" s="10" t="s">
        <v>15</v>
      </c>
      <c r="G24" s="11" t="s">
        <v>16</v>
      </c>
      <c r="H24" s="6">
        <v>125</v>
      </c>
      <c r="I24" s="90" t="s">
        <v>34</v>
      </c>
      <c r="J24" s="91"/>
      <c r="K24" s="3"/>
    </row>
    <row r="25" spans="1:19" x14ac:dyDescent="0.25">
      <c r="A25" s="12" t="s">
        <v>17</v>
      </c>
      <c r="B25" s="48">
        <v>400</v>
      </c>
      <c r="C25" s="44" t="s">
        <v>18</v>
      </c>
      <c r="D25" s="44" t="s">
        <v>18</v>
      </c>
      <c r="E25" s="44" t="s">
        <v>18</v>
      </c>
      <c r="F25" s="44" t="s">
        <v>19</v>
      </c>
      <c r="G25" s="45" t="s">
        <v>19</v>
      </c>
      <c r="H25" s="6">
        <v>150</v>
      </c>
      <c r="I25" s="14" t="s">
        <v>20</v>
      </c>
      <c r="J25" s="15">
        <v>10</v>
      </c>
      <c r="K25" s="16" t="s">
        <v>9</v>
      </c>
      <c r="L25" s="22" t="s">
        <v>29</v>
      </c>
      <c r="M25" s="22" t="s">
        <v>30</v>
      </c>
      <c r="N25" s="22" t="s">
        <v>31</v>
      </c>
      <c r="O25" s="22" t="s">
        <v>32</v>
      </c>
      <c r="P25" s="3"/>
    </row>
    <row r="26" spans="1:19" x14ac:dyDescent="0.25">
      <c r="A26" s="12" t="s">
        <v>22</v>
      </c>
      <c r="B26" s="48">
        <v>700</v>
      </c>
      <c r="C26" s="17">
        <v>-567.05826414896683</v>
      </c>
      <c r="D26" s="63">
        <v>0.19023157907883542</v>
      </c>
      <c r="E26" s="63">
        <v>0</v>
      </c>
      <c r="F26" s="63">
        <v>175.34421332007778</v>
      </c>
      <c r="G26" s="54">
        <v>0</v>
      </c>
      <c r="H26" s="6">
        <v>175</v>
      </c>
      <c r="I26" s="56"/>
      <c r="J26" s="57"/>
      <c r="K26" s="58"/>
      <c r="L26" s="92" t="s">
        <v>1</v>
      </c>
      <c r="M26" s="93"/>
      <c r="N26" s="22" t="s">
        <v>35</v>
      </c>
      <c r="O26" s="22" t="s">
        <v>9</v>
      </c>
    </row>
    <row r="27" spans="1:19" x14ac:dyDescent="0.25">
      <c r="A27" s="20" t="s">
        <v>24</v>
      </c>
      <c r="B27" s="13"/>
      <c r="C27" s="17">
        <v>610.25978408874062</v>
      </c>
      <c r="D27" s="18">
        <v>0</v>
      </c>
      <c r="E27" s="18">
        <v>-138.98888682908472</v>
      </c>
      <c r="F27" s="18">
        <v>0</v>
      </c>
      <c r="G27" s="19">
        <v>-8.4265793572695298</v>
      </c>
      <c r="H27" s="6">
        <v>200</v>
      </c>
      <c r="I27" s="59" t="s">
        <v>70</v>
      </c>
      <c r="J27" s="60"/>
      <c r="K27" s="61"/>
      <c r="L27" s="25">
        <f>MAX(ABS(E30),ABS(E31))*1000/(B28*B25)</f>
        <v>0.58838486733314632</v>
      </c>
      <c r="M27" s="25">
        <f>L27-phiVc</f>
        <v>-7.4124566561949323E-2</v>
      </c>
      <c r="N27" s="26">
        <f>M27*O27*B25/(phiV*fys*0.25*PI()*(J25^2))</f>
        <v>-0.45759190003892175</v>
      </c>
      <c r="O27" s="15">
        <v>250</v>
      </c>
    </row>
    <row r="28" spans="1:19" x14ac:dyDescent="0.25">
      <c r="A28" s="12" t="s">
        <v>26</v>
      </c>
      <c r="B28" s="49">
        <f>B26-clrCover-J25-(IF(M32&gt;1,1.5*J31,0.5*J31))</f>
        <v>640</v>
      </c>
      <c r="C28" s="64">
        <v>12.541380175435993</v>
      </c>
      <c r="D28" s="17">
        <v>-9.0415366243987556</v>
      </c>
      <c r="E28" s="18">
        <v>33.083797025065202</v>
      </c>
      <c r="F28" s="18">
        <v>144.72715533195728</v>
      </c>
      <c r="G28" s="19">
        <v>18.444768200396108</v>
      </c>
      <c r="H28" s="6">
        <v>250</v>
      </c>
      <c r="I28" s="59" t="s">
        <v>71</v>
      </c>
      <c r="J28" s="60"/>
      <c r="K28" s="61"/>
      <c r="L28" s="25">
        <f>MAX(ABS(E30),ABS(E31))*1000/(B33*B25)</f>
        <v>0.58838486733314632</v>
      </c>
      <c r="M28" s="25">
        <f>L28-phiVc</f>
        <v>-7.4124566561949323E-2</v>
      </c>
      <c r="N28" s="26">
        <f>M28*O28*B25/(phiV*fys*0.25*PI()*(J25^2))</f>
        <v>-0.18303676001556868</v>
      </c>
      <c r="O28" s="15">
        <v>100</v>
      </c>
    </row>
    <row r="29" spans="1:19" x14ac:dyDescent="0.25">
      <c r="A29" s="12" t="s">
        <v>27</v>
      </c>
      <c r="B29" s="50">
        <f>K32*R31</f>
        <v>1256</v>
      </c>
      <c r="C29" s="64">
        <v>-7.7146575971836429</v>
      </c>
      <c r="D29" s="17">
        <v>9.3956142952833392</v>
      </c>
      <c r="E29" s="18">
        <v>-120.43709353705147</v>
      </c>
      <c r="F29" s="18">
        <v>-201.63778501523291</v>
      </c>
      <c r="G29" s="19">
        <v>-18.817242189849296</v>
      </c>
      <c r="H29" s="6">
        <v>300</v>
      </c>
    </row>
    <row r="30" spans="1:19" x14ac:dyDescent="0.25">
      <c r="A30" s="12" t="s">
        <v>28</v>
      </c>
      <c r="B30" s="51">
        <f>-phi*B25*(B28^2)*J32*fy*(1-(0.588*J32*fy/fc))/1000000</f>
        <v>-286.26199934745597</v>
      </c>
      <c r="C30" s="64">
        <v>57.741566685287076</v>
      </c>
      <c r="D30" s="18">
        <v>5.2262217124334036</v>
      </c>
      <c r="E30" s="17">
        <v>-146.60883566406142</v>
      </c>
      <c r="F30" s="18">
        <v>-244.87288352850535</v>
      </c>
      <c r="G30" s="19">
        <v>-8.1617922908789051</v>
      </c>
      <c r="I30" s="90" t="s">
        <v>68</v>
      </c>
      <c r="J30" s="91"/>
      <c r="K30" s="94" t="s">
        <v>35</v>
      </c>
      <c r="L30" s="42" t="s">
        <v>36</v>
      </c>
      <c r="M30" s="96" t="s">
        <v>37</v>
      </c>
      <c r="N30" s="98" t="s">
        <v>38</v>
      </c>
      <c r="O30" s="96" t="s">
        <v>72</v>
      </c>
      <c r="Q30" s="34" t="s">
        <v>73</v>
      </c>
    </row>
    <row r="31" spans="1:19" x14ac:dyDescent="0.25">
      <c r="A31" s="23" t="s">
        <v>33</v>
      </c>
      <c r="B31" s="13"/>
      <c r="C31" s="64">
        <v>-72.920364696622457</v>
      </c>
      <c r="D31" s="18">
        <v>-3.8501382369214556</v>
      </c>
      <c r="E31" s="17">
        <v>150.62652603728546</v>
      </c>
      <c r="F31" s="18">
        <v>-247.80482864320871</v>
      </c>
      <c r="G31" s="19">
        <v>-8.5908926912453598</v>
      </c>
      <c r="I31" s="14" t="s">
        <v>23</v>
      </c>
      <c r="J31" s="41">
        <v>20</v>
      </c>
      <c r="K31" s="95"/>
      <c r="L31" s="40" t="s">
        <v>9</v>
      </c>
      <c r="M31" s="97"/>
      <c r="N31" s="99"/>
      <c r="O31" s="97"/>
      <c r="Q31" s="14" t="s">
        <v>75</v>
      </c>
      <c r="R31" s="21">
        <f>IF(J31=16,201,IF(J31=20,314,IF(J31=25,490,"Err")))</f>
        <v>314</v>
      </c>
      <c r="S31" s="16" t="s">
        <v>25</v>
      </c>
    </row>
    <row r="32" spans="1:19" x14ac:dyDescent="0.25">
      <c r="A32" s="20" t="s">
        <v>39</v>
      </c>
      <c r="B32" s="13"/>
      <c r="C32" s="64">
        <v>68.056765062626368</v>
      </c>
      <c r="D32" s="18">
        <v>-0.30084301373763361</v>
      </c>
      <c r="E32" s="18">
        <v>-128.05758974021677</v>
      </c>
      <c r="F32" s="17">
        <v>-255.01714419209819</v>
      </c>
      <c r="G32" s="19">
        <v>0.97573553239260102</v>
      </c>
      <c r="I32" s="14" t="s">
        <v>40</v>
      </c>
      <c r="J32" s="24">
        <f>MAX(rhoMin,(K32*R31/(B25*B28)))</f>
        <v>4.90625E-3</v>
      </c>
      <c r="K32" s="15">
        <v>4</v>
      </c>
      <c r="L32" s="39">
        <f>IF(M32&lt;2,(B25-(2*(J25+clrCover))-(K32*J31))/(K32-1),(B25-(2*(J25+clrCover))-(N32*J31))/((N32)-1))</f>
        <v>73.333333333333329</v>
      </c>
      <c r="M32" s="15">
        <v>1</v>
      </c>
      <c r="N32" s="22">
        <f>IF(M32&lt;2,K32,CEILING(K32/2,1))</f>
        <v>4</v>
      </c>
      <c r="O32" s="22">
        <f>K32-N32</f>
        <v>0</v>
      </c>
      <c r="Q32" s="37" t="s">
        <v>74</v>
      </c>
      <c r="R32" s="38">
        <f>rhoMin*B25*B28</f>
        <v>844.80000000000007</v>
      </c>
      <c r="S32" s="22">
        <f>ROUNDUP(R32/R31,0)</f>
        <v>3</v>
      </c>
    </row>
    <row r="33" spans="1:19" x14ac:dyDescent="0.25">
      <c r="A33" s="12" t="s">
        <v>26</v>
      </c>
      <c r="B33" s="49">
        <f>B26-clrCover-J25-(IF(M35&gt;1,1.5*J34,0.5*J34))</f>
        <v>640</v>
      </c>
      <c r="C33" s="64">
        <v>-69.318610034072151</v>
      </c>
      <c r="D33" s="18">
        <v>-3.7536858887747786</v>
      </c>
      <c r="E33" s="18">
        <v>60.556948972743015</v>
      </c>
      <c r="F33" s="17">
        <v>186.84947905451619</v>
      </c>
      <c r="G33" s="19">
        <v>7.3142404255396647</v>
      </c>
      <c r="I33" s="90" t="s">
        <v>69</v>
      </c>
      <c r="J33" s="91"/>
      <c r="K33" s="96" t="s">
        <v>35</v>
      </c>
      <c r="L33" s="42" t="s">
        <v>36</v>
      </c>
      <c r="M33" s="96" t="s">
        <v>37</v>
      </c>
      <c r="N33" s="98" t="s">
        <v>38</v>
      </c>
      <c r="O33" s="96" t="s">
        <v>72</v>
      </c>
      <c r="R33" s="36"/>
    </row>
    <row r="34" spans="1:19" x14ac:dyDescent="0.25">
      <c r="A34" s="12" t="s">
        <v>27</v>
      </c>
      <c r="B34" s="50">
        <f>K35*R34</f>
        <v>942</v>
      </c>
      <c r="C34" s="64">
        <v>-25.138277963279748</v>
      </c>
      <c r="D34" s="18">
        <v>-7.5936837987449604</v>
      </c>
      <c r="E34" s="18">
        <v>85.533287351402464</v>
      </c>
      <c r="F34" s="18">
        <v>-109.04166973037451</v>
      </c>
      <c r="G34" s="17">
        <v>-27.789117710700914</v>
      </c>
      <c r="I34" s="14" t="s">
        <v>23</v>
      </c>
      <c r="J34" s="41">
        <v>20</v>
      </c>
      <c r="K34" s="97"/>
      <c r="L34" s="40" t="s">
        <v>9</v>
      </c>
      <c r="M34" s="97"/>
      <c r="N34" s="99"/>
      <c r="O34" s="97"/>
      <c r="Q34" s="14" t="s">
        <v>75</v>
      </c>
      <c r="R34" s="21">
        <f>IF(J34=16,201,IF(J34=20,314,IF(J34=25,490,"Err")))</f>
        <v>314</v>
      </c>
      <c r="S34" s="16" t="s">
        <v>25</v>
      </c>
    </row>
    <row r="35" spans="1:19" x14ac:dyDescent="0.25">
      <c r="A35" s="27" t="s">
        <v>28</v>
      </c>
      <c r="B35" s="52">
        <f>phi*B25*(B33^2)*J35*fy*(1-(0.588*J35*fy/fc))/1000000</f>
        <v>217.18064663294399</v>
      </c>
      <c r="C35" s="53">
        <v>-7.7146575971836429</v>
      </c>
      <c r="D35" s="28">
        <v>9.3956142952833392</v>
      </c>
      <c r="E35" s="28">
        <v>-10.096383370988486</v>
      </c>
      <c r="F35" s="28">
        <v>101.3036785291264</v>
      </c>
      <c r="G35" s="17">
        <v>24.793350478522758</v>
      </c>
      <c r="I35" s="14" t="s">
        <v>40</v>
      </c>
      <c r="J35" s="24">
        <f>MAX(rhoMin,(K35*R34/(B25*B33)))</f>
        <v>3.6796874999999998E-3</v>
      </c>
      <c r="K35" s="15">
        <v>3</v>
      </c>
      <c r="L35" s="21">
        <f>IF(M35&lt;2,(B25-(2*(J25+clrCover))-(K35*J34))/(K35-1),(B25-(2*(J25+clrCover))-(N35*J34))/((N35)-1))</f>
        <v>120</v>
      </c>
      <c r="M35" s="15">
        <v>1</v>
      </c>
      <c r="N35" s="22">
        <f>IF(M35&lt;2,K35,CEILING(K35/2,1))</f>
        <v>3</v>
      </c>
      <c r="O35" s="22">
        <f>K35-N35</f>
        <v>0</v>
      </c>
      <c r="Q35" s="37" t="s">
        <v>74</v>
      </c>
      <c r="R35" s="38">
        <f>rhoMin*B25*B33</f>
        <v>844.80000000000007</v>
      </c>
      <c r="S35" s="22">
        <f>ROUNDUP(R35/R34,0)</f>
        <v>3</v>
      </c>
    </row>
    <row r="36" spans="1:19" x14ac:dyDescent="0.25">
      <c r="A36" s="65" t="s">
        <v>76</v>
      </c>
    </row>
    <row r="37" spans="1:19" x14ac:dyDescent="0.25">
      <c r="A37" s="62" t="s">
        <v>92</v>
      </c>
      <c r="B37" s="11" t="s">
        <v>11</v>
      </c>
      <c r="C37" s="10" t="s">
        <v>12</v>
      </c>
      <c r="D37" s="10" t="s">
        <v>13</v>
      </c>
      <c r="E37" s="10" t="s">
        <v>14</v>
      </c>
      <c r="F37" s="10" t="s">
        <v>15</v>
      </c>
      <c r="G37" s="11" t="s">
        <v>16</v>
      </c>
      <c r="H37" s="6">
        <v>125</v>
      </c>
      <c r="I37" s="90" t="s">
        <v>34</v>
      </c>
      <c r="J37" s="91"/>
      <c r="K37" s="3"/>
    </row>
    <row r="38" spans="1:19" x14ac:dyDescent="0.25">
      <c r="A38" s="12" t="s">
        <v>17</v>
      </c>
      <c r="B38" s="48">
        <v>400</v>
      </c>
      <c r="C38" s="44" t="s">
        <v>18</v>
      </c>
      <c r="D38" s="44" t="s">
        <v>18</v>
      </c>
      <c r="E38" s="44" t="s">
        <v>18</v>
      </c>
      <c r="F38" s="44" t="s">
        <v>19</v>
      </c>
      <c r="G38" s="45" t="s">
        <v>19</v>
      </c>
      <c r="H38" s="6">
        <v>150</v>
      </c>
      <c r="I38" s="14" t="s">
        <v>20</v>
      </c>
      <c r="J38" s="15">
        <v>10</v>
      </c>
      <c r="K38" s="16" t="s">
        <v>9</v>
      </c>
      <c r="L38" s="22" t="s">
        <v>29</v>
      </c>
      <c r="M38" s="22" t="s">
        <v>30</v>
      </c>
      <c r="N38" s="22" t="s">
        <v>31</v>
      </c>
      <c r="O38" s="22" t="s">
        <v>32</v>
      </c>
      <c r="P38" s="3"/>
    </row>
    <row r="39" spans="1:19" x14ac:dyDescent="0.25">
      <c r="A39" s="12" t="s">
        <v>22</v>
      </c>
      <c r="B39" s="48">
        <v>800</v>
      </c>
      <c r="C39" s="17">
        <v>-844.32518942047886</v>
      </c>
      <c r="D39" s="63">
        <v>-1.3756552470636827</v>
      </c>
      <c r="E39" s="63">
        <v>0</v>
      </c>
      <c r="F39" s="63">
        <v>-356.89347311270558</v>
      </c>
      <c r="G39" s="54">
        <v>0</v>
      </c>
      <c r="H39" s="6">
        <v>175</v>
      </c>
      <c r="I39" s="56"/>
      <c r="J39" s="57"/>
      <c r="K39" s="58"/>
      <c r="L39" s="92" t="s">
        <v>1</v>
      </c>
      <c r="M39" s="93"/>
      <c r="N39" s="22" t="s">
        <v>35</v>
      </c>
      <c r="O39" s="22" t="s">
        <v>9</v>
      </c>
    </row>
    <row r="40" spans="1:19" x14ac:dyDescent="0.25">
      <c r="A40" s="20" t="s">
        <v>24</v>
      </c>
      <c r="B40" s="13"/>
      <c r="C40" s="17">
        <v>828.6007530748883</v>
      </c>
      <c r="D40" s="18">
        <v>0</v>
      </c>
      <c r="E40" s="18">
        <v>-42.037809108604904</v>
      </c>
      <c r="F40" s="18">
        <v>0</v>
      </c>
      <c r="G40" s="19">
        <v>0.15418072560286772</v>
      </c>
      <c r="H40" s="6">
        <v>200</v>
      </c>
      <c r="I40" s="59" t="s">
        <v>70</v>
      </c>
      <c r="J40" s="60"/>
      <c r="K40" s="61"/>
      <c r="L40" s="25">
        <f>MAX(ABS(E43),ABS(E44))*1000/(B41*B38)</f>
        <v>0.59302828200959745</v>
      </c>
      <c r="M40" s="25">
        <f>L40-phiVc</f>
        <v>-6.9481151885498194E-2</v>
      </c>
      <c r="N40" s="26">
        <f>M40*O40*B38/(phiV*fys*0.25*PI()*(J38^2))</f>
        <v>-0.17157071552846817</v>
      </c>
      <c r="O40" s="15">
        <v>100</v>
      </c>
    </row>
    <row r="41" spans="1:19" x14ac:dyDescent="0.25">
      <c r="A41" s="12" t="s">
        <v>26</v>
      </c>
      <c r="B41" s="49">
        <f>B39-clrCover-J38-(IF(M45&gt;1,1.5*J44,0.5*J44))</f>
        <v>740</v>
      </c>
      <c r="C41" s="64">
        <v>251.52738548250105</v>
      </c>
      <c r="D41" s="17">
        <v>-5.3921657115824813</v>
      </c>
      <c r="E41" s="18">
        <v>-146.34850091297355</v>
      </c>
      <c r="F41" s="18">
        <v>-303.66048950835659</v>
      </c>
      <c r="G41" s="19">
        <v>31.315695575528011</v>
      </c>
      <c r="H41" s="6">
        <v>250</v>
      </c>
      <c r="I41" s="59" t="s">
        <v>71</v>
      </c>
      <c r="J41" s="60"/>
      <c r="K41" s="61"/>
      <c r="L41" s="25">
        <f>MAX(ABS(E43),ABS(E44))*1000/(B46*B38)</f>
        <v>0.59302828200959745</v>
      </c>
      <c r="M41" s="25">
        <f>L41-phiVc</f>
        <v>-6.9481151885498194E-2</v>
      </c>
      <c r="N41" s="26">
        <f>M41*O41*B38/(phiV*fys*0.25*PI()*(J38^2))</f>
        <v>-0.17157071552846817</v>
      </c>
      <c r="O41" s="15">
        <v>100</v>
      </c>
    </row>
    <row r="42" spans="1:19" x14ac:dyDescent="0.25">
      <c r="A42" s="12" t="s">
        <v>27</v>
      </c>
      <c r="B42" s="50">
        <f>K45*R44</f>
        <v>1570</v>
      </c>
      <c r="C42" s="64">
        <v>-265.71664673274336</v>
      </c>
      <c r="D42" s="17">
        <v>5.2647552083235185</v>
      </c>
      <c r="E42" s="18">
        <v>-23.691569367642003</v>
      </c>
      <c r="F42" s="18">
        <v>104.06622702220224</v>
      </c>
      <c r="G42" s="19">
        <v>-30.373622035612541</v>
      </c>
      <c r="H42" s="6">
        <v>300</v>
      </c>
    </row>
    <row r="43" spans="1:19" x14ac:dyDescent="0.25">
      <c r="A43" s="12" t="s">
        <v>28</v>
      </c>
      <c r="B43" s="51">
        <f>-phi*B38*(B41^2)*J45*fy*(1-(0.588*J45*fy/fc))/1000000</f>
        <v>-412.18545398039998</v>
      </c>
      <c r="C43" s="64">
        <v>74.250325249118987</v>
      </c>
      <c r="D43" s="18">
        <v>0.16434753785726805</v>
      </c>
      <c r="E43" s="17">
        <v>-172.75473871355754</v>
      </c>
      <c r="F43" s="18">
        <v>-256.02684818355954</v>
      </c>
      <c r="G43" s="19">
        <v>-0.96753880061160091</v>
      </c>
      <c r="I43" s="90" t="s">
        <v>68</v>
      </c>
      <c r="J43" s="91"/>
      <c r="K43" s="94" t="s">
        <v>35</v>
      </c>
      <c r="L43" s="42" t="s">
        <v>36</v>
      </c>
      <c r="M43" s="96" t="s">
        <v>37</v>
      </c>
      <c r="N43" s="98" t="s">
        <v>38</v>
      </c>
      <c r="O43" s="96" t="s">
        <v>72</v>
      </c>
      <c r="Q43" s="34" t="s">
        <v>73</v>
      </c>
    </row>
    <row r="44" spans="1:19" x14ac:dyDescent="0.25">
      <c r="A44" s="23" t="s">
        <v>33</v>
      </c>
      <c r="B44" s="13"/>
      <c r="C44" s="64">
        <v>150.79823347169329</v>
      </c>
      <c r="D44" s="18">
        <v>0.35419327206317291</v>
      </c>
      <c r="E44" s="17">
        <v>175.53637147484085</v>
      </c>
      <c r="F44" s="18">
        <v>-284.49253241760346</v>
      </c>
      <c r="G44" s="19">
        <v>1.8038371178969757</v>
      </c>
      <c r="I44" s="14" t="s">
        <v>23</v>
      </c>
      <c r="J44" s="41">
        <v>20</v>
      </c>
      <c r="K44" s="95"/>
      <c r="L44" s="40" t="s">
        <v>9</v>
      </c>
      <c r="M44" s="97"/>
      <c r="N44" s="99"/>
      <c r="O44" s="97"/>
      <c r="Q44" s="14" t="s">
        <v>75</v>
      </c>
      <c r="R44" s="21">
        <f>IF(J44=16,201,IF(J44=20,314,IF(J44=25,490,"Err")))</f>
        <v>314</v>
      </c>
      <c r="S44" s="16" t="s">
        <v>25</v>
      </c>
    </row>
    <row r="45" spans="1:19" x14ac:dyDescent="0.25">
      <c r="A45" s="20" t="s">
        <v>39</v>
      </c>
      <c r="B45" s="13"/>
      <c r="C45" s="64">
        <v>-768.46210057034443</v>
      </c>
      <c r="D45" s="18">
        <v>-0.42508078411556582</v>
      </c>
      <c r="E45" s="18">
        <v>-162.6737110635236</v>
      </c>
      <c r="F45" s="17">
        <v>-375.85045729261213</v>
      </c>
      <c r="G45" s="19">
        <v>2.1469989420530773</v>
      </c>
      <c r="I45" s="14" t="s">
        <v>40</v>
      </c>
      <c r="J45" s="24">
        <f>MAX(rhoMin,(K45*R44/(B38*B41)))</f>
        <v>5.3040540540540537E-3</v>
      </c>
      <c r="K45" s="15">
        <v>5</v>
      </c>
      <c r="L45" s="39">
        <f>IF(M45&lt;2,(B38-(2*(J38+clrCover))-(K45*J44))/(K45-1),(B38-(2*(J38+clrCover))-(N45*J44))/((N45)-1))</f>
        <v>50</v>
      </c>
      <c r="M45" s="15">
        <v>1</v>
      </c>
      <c r="N45" s="22">
        <f>IF(M45&lt;2,K45,CEILING(K45/2,1))</f>
        <v>5</v>
      </c>
      <c r="O45" s="22">
        <f>K45-N45</f>
        <v>0</v>
      </c>
      <c r="Q45" s="37" t="s">
        <v>74</v>
      </c>
      <c r="R45" s="38">
        <f>rhoMin*B38*B41</f>
        <v>976.80000000000007</v>
      </c>
      <c r="S45" s="22">
        <f>ROUNDUP(R45/R44,0)</f>
        <v>4</v>
      </c>
    </row>
    <row r="46" spans="1:19" x14ac:dyDescent="0.25">
      <c r="A46" s="12" t="s">
        <v>26</v>
      </c>
      <c r="B46" s="49">
        <f>B39-clrCover-J38-(IF(M48&gt;1,1.5*J47,0.5*J47))</f>
        <v>740</v>
      </c>
      <c r="C46" s="64">
        <v>13.512857309168249</v>
      </c>
      <c r="D46" s="18">
        <v>1.4630212009913166</v>
      </c>
      <c r="E46" s="18">
        <v>27.108681469179576</v>
      </c>
      <c r="F46" s="17">
        <v>193.66644724765371</v>
      </c>
      <c r="G46" s="19">
        <v>-5.8114863744903076</v>
      </c>
      <c r="I46" s="90" t="s">
        <v>69</v>
      </c>
      <c r="J46" s="91"/>
      <c r="K46" s="96" t="s">
        <v>35</v>
      </c>
      <c r="L46" s="42" t="s">
        <v>36</v>
      </c>
      <c r="M46" s="96" t="s">
        <v>37</v>
      </c>
      <c r="N46" s="98" t="s">
        <v>38</v>
      </c>
      <c r="O46" s="96" t="s">
        <v>72</v>
      </c>
      <c r="R46" s="36"/>
    </row>
    <row r="47" spans="1:19" x14ac:dyDescent="0.25">
      <c r="A47" s="12" t="s">
        <v>27</v>
      </c>
      <c r="B47" s="50">
        <f>K48*R47</f>
        <v>1256</v>
      </c>
      <c r="C47" s="64">
        <v>-265.71664673274336</v>
      </c>
      <c r="D47" s="18">
        <v>5.2647552083235185</v>
      </c>
      <c r="E47" s="18">
        <v>-23.691569367642003</v>
      </c>
      <c r="F47" s="18">
        <v>104.06622702220224</v>
      </c>
      <c r="G47" s="17">
        <v>-30.373622035612541</v>
      </c>
      <c r="I47" s="14" t="s">
        <v>23</v>
      </c>
      <c r="J47" s="41">
        <v>20</v>
      </c>
      <c r="K47" s="97"/>
      <c r="L47" s="40" t="s">
        <v>9</v>
      </c>
      <c r="M47" s="97"/>
      <c r="N47" s="99"/>
      <c r="O47" s="97"/>
      <c r="Q47" s="14" t="s">
        <v>75</v>
      </c>
      <c r="R47" s="21">
        <f>IF(J47=16,201,IF(J47=20,314,IF(J47=25,490,"Err")))</f>
        <v>314</v>
      </c>
      <c r="S47" s="16" t="s">
        <v>25</v>
      </c>
    </row>
    <row r="48" spans="1:19" x14ac:dyDescent="0.25">
      <c r="A48" s="27" t="s">
        <v>28</v>
      </c>
      <c r="B48" s="52">
        <f>phi*B38*(B46^2)*J48*fy*(1-(0.588*J48*fy/fc))/1000000</f>
        <v>333.06055934745604</v>
      </c>
      <c r="C48" s="53">
        <v>251.52738548250105</v>
      </c>
      <c r="D48" s="28">
        <v>-5.3921657115824813</v>
      </c>
      <c r="E48" s="28">
        <v>-146.34850091297355</v>
      </c>
      <c r="F48" s="28">
        <v>-303.66048950835659</v>
      </c>
      <c r="G48" s="17">
        <v>31.315695575528011</v>
      </c>
      <c r="I48" s="14" t="s">
        <v>40</v>
      </c>
      <c r="J48" s="24">
        <f>MAX(rhoMin,(K48*R47/(B38*B46)))</f>
        <v>4.2432432432432431E-3</v>
      </c>
      <c r="K48" s="15">
        <v>4</v>
      </c>
      <c r="L48" s="21">
        <f>IF(M48&lt;2,(B38-(2*(J38+clrCover))-(K48*J47))/(K48-1),(B38-(2*(J38+clrCover))-(N48*J47))/((N48)-1))</f>
        <v>73.333333333333329</v>
      </c>
      <c r="M48" s="15">
        <v>1</v>
      </c>
      <c r="N48" s="22">
        <f>IF(M48&lt;2,K48,CEILING(K48/2,1))</f>
        <v>4</v>
      </c>
      <c r="O48" s="22">
        <f>K48-N48</f>
        <v>0</v>
      </c>
      <c r="Q48" s="37" t="s">
        <v>74</v>
      </c>
      <c r="R48" s="38">
        <f>rhoMin*B38*B46</f>
        <v>976.80000000000007</v>
      </c>
      <c r="S48" s="22">
        <f>ROUNDUP(R48/R47,0)</f>
        <v>4</v>
      </c>
    </row>
    <row r="49" spans="1:19" x14ac:dyDescent="0.25">
      <c r="A49" s="65" t="s">
        <v>76</v>
      </c>
    </row>
    <row r="50" spans="1:19" x14ac:dyDescent="0.25">
      <c r="A50" s="69" t="s">
        <v>83</v>
      </c>
      <c r="B50" s="11" t="s">
        <v>11</v>
      </c>
      <c r="C50" s="10" t="s">
        <v>12</v>
      </c>
      <c r="D50" s="10" t="s">
        <v>13</v>
      </c>
      <c r="E50" s="10" t="s">
        <v>14</v>
      </c>
      <c r="F50" s="10" t="s">
        <v>15</v>
      </c>
      <c r="G50" s="11" t="s">
        <v>16</v>
      </c>
      <c r="H50" s="6">
        <v>125</v>
      </c>
      <c r="I50" s="90" t="s">
        <v>34</v>
      </c>
      <c r="J50" s="91"/>
      <c r="K50" s="3"/>
    </row>
    <row r="51" spans="1:19" x14ac:dyDescent="0.25">
      <c r="A51" s="12" t="s">
        <v>17</v>
      </c>
      <c r="B51" s="48">
        <v>200</v>
      </c>
      <c r="C51" s="44" t="s">
        <v>18</v>
      </c>
      <c r="D51" s="44" t="s">
        <v>18</v>
      </c>
      <c r="E51" s="44" t="s">
        <v>18</v>
      </c>
      <c r="F51" s="44" t="s">
        <v>19</v>
      </c>
      <c r="G51" s="45" t="s">
        <v>19</v>
      </c>
      <c r="H51" s="6">
        <v>150</v>
      </c>
      <c r="I51" s="14" t="s">
        <v>20</v>
      </c>
      <c r="J51" s="15">
        <v>10</v>
      </c>
      <c r="K51" s="16" t="s">
        <v>9</v>
      </c>
      <c r="L51" s="22" t="s">
        <v>29</v>
      </c>
      <c r="M51" s="22" t="s">
        <v>30</v>
      </c>
      <c r="N51" s="22" t="s">
        <v>31</v>
      </c>
      <c r="O51" s="22" t="s">
        <v>32</v>
      </c>
      <c r="P51" s="3"/>
    </row>
    <row r="52" spans="1:19" x14ac:dyDescent="0.25">
      <c r="A52" s="12" t="s">
        <v>22</v>
      </c>
      <c r="B52" s="48">
        <v>600</v>
      </c>
      <c r="C52" s="17">
        <v>-432.76731571940201</v>
      </c>
      <c r="D52" s="63">
        <v>4.1735399637461148</v>
      </c>
      <c r="E52" s="63">
        <v>0</v>
      </c>
      <c r="F52" s="63">
        <v>-6.3623701862525195E-13</v>
      </c>
      <c r="G52" s="54">
        <v>0</v>
      </c>
      <c r="H52" s="6">
        <v>175</v>
      </c>
      <c r="I52" s="56"/>
      <c r="J52" s="57"/>
      <c r="K52" s="58"/>
      <c r="L52" s="92" t="s">
        <v>1</v>
      </c>
      <c r="M52" s="93"/>
      <c r="N52" s="22" t="s">
        <v>35</v>
      </c>
      <c r="O52" s="22" t="s">
        <v>9</v>
      </c>
    </row>
    <row r="53" spans="1:19" x14ac:dyDescent="0.25">
      <c r="A53" s="20" t="s">
        <v>24</v>
      </c>
      <c r="B53" s="13"/>
      <c r="C53" s="17">
        <v>545.67675803353995</v>
      </c>
      <c r="D53" s="18">
        <v>0</v>
      </c>
      <c r="E53" s="18">
        <v>-78.832198991432634</v>
      </c>
      <c r="F53" s="18">
        <v>0</v>
      </c>
      <c r="G53" s="19">
        <v>1.1803535926446784E-14</v>
      </c>
      <c r="H53" s="6">
        <v>200</v>
      </c>
      <c r="I53" s="59" t="s">
        <v>70</v>
      </c>
      <c r="J53" s="60"/>
      <c r="K53" s="61"/>
      <c r="L53" s="25">
        <f>MAX(ABS(E56),ABS(E57))*1000/(B54*B51)</f>
        <v>1.3926437846933188</v>
      </c>
      <c r="M53" s="25">
        <f>L53-phiVc</f>
        <v>0.7301343507982232</v>
      </c>
      <c r="N53" s="26">
        <f>M53*O53*B51/(phiV*fys*0.25*PI()*(J51^2))</f>
        <v>0.90146514269656541</v>
      </c>
      <c r="O53" s="15">
        <v>100</v>
      </c>
    </row>
    <row r="54" spans="1:19" x14ac:dyDescent="0.25">
      <c r="A54" s="12" t="s">
        <v>26</v>
      </c>
      <c r="B54" s="49">
        <f>B52-clrCover-J51-(IF(M58&gt;1,1.5*J57,0.5*J57))</f>
        <v>520</v>
      </c>
      <c r="C54" s="64">
        <v>-10.24356279618682</v>
      </c>
      <c r="D54" s="17">
        <v>-4.4170767308201908</v>
      </c>
      <c r="E54" s="18">
        <v>-101.90717453172337</v>
      </c>
      <c r="F54" s="18">
        <v>-2.3551990580017439E-12</v>
      </c>
      <c r="G54" s="19">
        <v>-5.4062354593042977E-14</v>
      </c>
      <c r="H54" s="6">
        <v>250</v>
      </c>
      <c r="I54" s="59" t="s">
        <v>71</v>
      </c>
      <c r="J54" s="60"/>
      <c r="K54" s="61"/>
      <c r="L54" s="25">
        <f>MAX(ABS(E56),ABS(E57))*1000/(B59*B51)</f>
        <v>1.3926437846933188</v>
      </c>
      <c r="M54" s="25">
        <f>L54-phiVc</f>
        <v>0.7301343507982232</v>
      </c>
      <c r="N54" s="26">
        <f>M54*O54*B51/(phiV*fys*0.25*PI()*(J51^2))</f>
        <v>0.90146514269656541</v>
      </c>
      <c r="O54" s="15">
        <v>100</v>
      </c>
    </row>
    <row r="55" spans="1:19" x14ac:dyDescent="0.25">
      <c r="A55" s="12" t="s">
        <v>27</v>
      </c>
      <c r="B55" s="50">
        <f>K58*R57</f>
        <v>1256</v>
      </c>
      <c r="C55" s="64">
        <v>11.412030312180866</v>
      </c>
      <c r="D55" s="17">
        <v>4.8785911033287706</v>
      </c>
      <c r="E55" s="18">
        <v>100.14950495704964</v>
      </c>
      <c r="F55" s="18">
        <v>2.3663801584916653E-12</v>
      </c>
      <c r="G55" s="19">
        <v>6.2845373349773578E-14</v>
      </c>
      <c r="H55" s="6">
        <v>300</v>
      </c>
    </row>
    <row r="56" spans="1:19" x14ac:dyDescent="0.25">
      <c r="A56" s="12" t="s">
        <v>28</v>
      </c>
      <c r="B56" s="51">
        <f>-phi*B51*(B54^2)*J58*fy*(1-(0.588*J58*fy/fc))/1000000</f>
        <v>-216.85494269491198</v>
      </c>
      <c r="C56" s="64">
        <v>-53.839730634565115</v>
      </c>
      <c r="D56" s="18">
        <v>3.7734147967795515</v>
      </c>
      <c r="E56" s="17">
        <v>-141.58497074903181</v>
      </c>
      <c r="F56" s="18">
        <v>-4.4243506636121312E-12</v>
      </c>
      <c r="G56" s="19">
        <v>1.3141175259079317E-12</v>
      </c>
      <c r="I56" s="90" t="s">
        <v>68</v>
      </c>
      <c r="J56" s="91"/>
      <c r="K56" s="94" t="s">
        <v>35</v>
      </c>
      <c r="L56" s="66" t="s">
        <v>36</v>
      </c>
      <c r="M56" s="96" t="s">
        <v>37</v>
      </c>
      <c r="N56" s="98" t="s">
        <v>38</v>
      </c>
      <c r="O56" s="96" t="s">
        <v>72</v>
      </c>
      <c r="Q56" s="34" t="s">
        <v>73</v>
      </c>
    </row>
    <row r="57" spans="1:19" x14ac:dyDescent="0.25">
      <c r="A57" s="23" t="s">
        <v>33</v>
      </c>
      <c r="B57" s="13"/>
      <c r="C57" s="64">
        <v>60.222320766476699</v>
      </c>
      <c r="D57" s="18">
        <v>-3.1966127258762542</v>
      </c>
      <c r="E57" s="17">
        <v>144.83495360810517</v>
      </c>
      <c r="F57" s="18">
        <v>-171.37223234073707</v>
      </c>
      <c r="G57" s="19">
        <v>-3.8363425002765852</v>
      </c>
      <c r="I57" s="14" t="s">
        <v>23</v>
      </c>
      <c r="J57" s="41">
        <v>20</v>
      </c>
      <c r="K57" s="95"/>
      <c r="L57" s="40" t="s">
        <v>9</v>
      </c>
      <c r="M57" s="97"/>
      <c r="N57" s="99"/>
      <c r="O57" s="97"/>
      <c r="Q57" s="14" t="s">
        <v>75</v>
      </c>
      <c r="R57" s="21">
        <f>IF(J57=16,201,IF(J57=20,314,IF(J57=25,490,"Err")))</f>
        <v>314</v>
      </c>
      <c r="S57" s="16" t="s">
        <v>25</v>
      </c>
    </row>
    <row r="58" spans="1:19" x14ac:dyDescent="0.25">
      <c r="A58" s="20" t="s">
        <v>39</v>
      </c>
      <c r="B58" s="13"/>
      <c r="C58" s="64">
        <v>58.790803778945097</v>
      </c>
      <c r="D58" s="18">
        <v>-3.3519553854471691</v>
      </c>
      <c r="E58" s="18">
        <v>144.74283661015406</v>
      </c>
      <c r="F58" s="17">
        <v>-171.87372098065359</v>
      </c>
      <c r="G58" s="19">
        <v>-4.0227734814816145</v>
      </c>
      <c r="I58" s="14" t="s">
        <v>40</v>
      </c>
      <c r="J58" s="24">
        <f>MAX(rhoMin,(K58*R57/(B51*B54)))</f>
        <v>1.2076923076923077E-2</v>
      </c>
      <c r="K58" s="15">
        <v>4</v>
      </c>
      <c r="L58" s="39">
        <f>IF(M58&lt;2,(B51-(2*(J51+clrCover))-(K58*J57))/(K58-1),(B51-(2*(J51+clrCover))-(N58*J57))/((N58)-1))</f>
        <v>60</v>
      </c>
      <c r="M58" s="15">
        <v>2</v>
      </c>
      <c r="N58" s="22">
        <f>IF(M58&lt;2,K58,CEILING(K58/2,1))</f>
        <v>2</v>
      </c>
      <c r="O58" s="22">
        <f>K58-N58</f>
        <v>2</v>
      </c>
      <c r="Q58" s="37" t="s">
        <v>74</v>
      </c>
      <c r="R58" s="38">
        <f>rhoMin*B51*B54</f>
        <v>343.2</v>
      </c>
      <c r="S58" s="22">
        <f>ROUNDUP(R58/R57,0)</f>
        <v>2</v>
      </c>
    </row>
    <row r="59" spans="1:19" x14ac:dyDescent="0.25">
      <c r="A59" s="12" t="s">
        <v>26</v>
      </c>
      <c r="B59" s="49">
        <f>B52-clrCover-J51-(IF(M61&gt;1,1.5*J60,0.5*J60))</f>
        <v>520</v>
      </c>
      <c r="C59" s="64">
        <v>-53.839730634565115</v>
      </c>
      <c r="D59" s="18">
        <v>3.7734147967795515</v>
      </c>
      <c r="E59" s="18">
        <v>-137.50513205405088</v>
      </c>
      <c r="F59" s="17">
        <v>167.47183888159111</v>
      </c>
      <c r="G59" s="19">
        <v>4.5285784664729203</v>
      </c>
      <c r="I59" s="90" t="s">
        <v>69</v>
      </c>
      <c r="J59" s="91"/>
      <c r="K59" s="96" t="s">
        <v>35</v>
      </c>
      <c r="L59" s="66" t="s">
        <v>36</v>
      </c>
      <c r="M59" s="96" t="s">
        <v>37</v>
      </c>
      <c r="N59" s="98" t="s">
        <v>38</v>
      </c>
      <c r="O59" s="96" t="s">
        <v>72</v>
      </c>
      <c r="R59" s="36"/>
    </row>
    <row r="60" spans="1:19" x14ac:dyDescent="0.25">
      <c r="A60" s="12" t="s">
        <v>27</v>
      </c>
      <c r="B60" s="50">
        <f>K61*R60</f>
        <v>1256</v>
      </c>
      <c r="C60" s="64">
        <v>-10.24356279618682</v>
      </c>
      <c r="D60" s="18">
        <v>-4.4170767308201908</v>
      </c>
      <c r="E60" s="18">
        <v>-98.847078044463359</v>
      </c>
      <c r="F60" s="18">
        <v>120.47390047578186</v>
      </c>
      <c r="G60" s="17">
        <v>-5.3014315326724164</v>
      </c>
      <c r="I60" s="14" t="s">
        <v>23</v>
      </c>
      <c r="J60" s="41">
        <v>20</v>
      </c>
      <c r="K60" s="97"/>
      <c r="L60" s="40" t="s">
        <v>9</v>
      </c>
      <c r="M60" s="97"/>
      <c r="N60" s="99"/>
      <c r="O60" s="97"/>
      <c r="Q60" s="14" t="s">
        <v>75</v>
      </c>
      <c r="R60" s="21">
        <f>IF(J60=16,201,IF(J60=20,314,IF(J60=25,490,"Err")))</f>
        <v>314</v>
      </c>
      <c r="S60" s="16" t="s">
        <v>25</v>
      </c>
    </row>
    <row r="61" spans="1:19" x14ac:dyDescent="0.25">
      <c r="A61" s="27" t="s">
        <v>28</v>
      </c>
      <c r="B61" s="52">
        <f>phi*B51*(B59^2)*J61*fy*(1-(0.588*J61*fy/fc))/1000000</f>
        <v>216.85494269491198</v>
      </c>
      <c r="C61" s="53">
        <v>-414.0041922412999</v>
      </c>
      <c r="D61" s="28">
        <v>4.3021526089659581</v>
      </c>
      <c r="E61" s="28">
        <v>112.33037905900842</v>
      </c>
      <c r="F61" s="28">
        <v>-151.24067693632136</v>
      </c>
      <c r="G61" s="17">
        <v>5.9154598373281866</v>
      </c>
      <c r="I61" s="14" t="s">
        <v>40</v>
      </c>
      <c r="J61" s="24">
        <f>MAX(rhoMin,(K61*R60/(B51*B59)))</f>
        <v>1.2076923076923077E-2</v>
      </c>
      <c r="K61" s="15">
        <v>4</v>
      </c>
      <c r="L61" s="21">
        <f>IF(M61&lt;2,(B51-(2*(J51+clrCover))-(K61*J60))/(K61-1),(B51-(2*(J51+clrCover))-(N61*J60))/((N61)-1))</f>
        <v>60</v>
      </c>
      <c r="M61" s="15">
        <v>2</v>
      </c>
      <c r="N61" s="22">
        <f>IF(M61&lt;2,K61,CEILING(K61/2,1))</f>
        <v>2</v>
      </c>
      <c r="O61" s="22">
        <f>K61-N61</f>
        <v>2</v>
      </c>
      <c r="Q61" s="37" t="s">
        <v>74</v>
      </c>
      <c r="R61" s="38">
        <f>rhoMin*B51*B59</f>
        <v>343.2</v>
      </c>
      <c r="S61" s="22">
        <f>ROUNDUP(R61/R60,0)</f>
        <v>2</v>
      </c>
    </row>
    <row r="62" spans="1:19" x14ac:dyDescent="0.25">
      <c r="A62" s="65" t="s">
        <v>76</v>
      </c>
    </row>
    <row r="63" spans="1:19" x14ac:dyDescent="0.25">
      <c r="A63" s="70" t="s">
        <v>84</v>
      </c>
      <c r="B63" s="11" t="s">
        <v>11</v>
      </c>
      <c r="C63" s="10" t="s">
        <v>12</v>
      </c>
      <c r="D63" s="10" t="s">
        <v>13</v>
      </c>
      <c r="E63" s="10" t="s">
        <v>14</v>
      </c>
      <c r="F63" s="10" t="s">
        <v>15</v>
      </c>
      <c r="G63" s="11" t="s">
        <v>16</v>
      </c>
      <c r="H63" s="6">
        <v>125</v>
      </c>
      <c r="I63" s="90" t="s">
        <v>34</v>
      </c>
      <c r="J63" s="91"/>
      <c r="K63" s="3"/>
    </row>
    <row r="64" spans="1:19" x14ac:dyDescent="0.25">
      <c r="A64" s="12" t="s">
        <v>17</v>
      </c>
      <c r="B64" s="48">
        <v>200</v>
      </c>
      <c r="C64" s="44" t="s">
        <v>18</v>
      </c>
      <c r="D64" s="44" t="s">
        <v>18</v>
      </c>
      <c r="E64" s="44" t="s">
        <v>18</v>
      </c>
      <c r="F64" s="44" t="s">
        <v>19</v>
      </c>
      <c r="G64" s="45" t="s">
        <v>19</v>
      </c>
      <c r="H64" s="6">
        <v>150</v>
      </c>
      <c r="I64" s="14" t="s">
        <v>20</v>
      </c>
      <c r="J64" s="15">
        <v>12</v>
      </c>
      <c r="K64" s="16" t="s">
        <v>9</v>
      </c>
      <c r="L64" s="22" t="s">
        <v>29</v>
      </c>
      <c r="M64" s="22" t="s">
        <v>30</v>
      </c>
      <c r="N64" s="22" t="s">
        <v>31</v>
      </c>
      <c r="O64" s="22" t="s">
        <v>32</v>
      </c>
      <c r="P64" s="3"/>
    </row>
    <row r="65" spans="1:19" x14ac:dyDescent="0.25">
      <c r="A65" s="12" t="s">
        <v>22</v>
      </c>
      <c r="B65" s="48">
        <v>600</v>
      </c>
      <c r="C65" s="17">
        <v>-1082.3718554091683</v>
      </c>
      <c r="D65" s="63">
        <v>-17.312847436745319</v>
      </c>
      <c r="E65" s="63">
        <v>0</v>
      </c>
      <c r="F65" s="63">
        <v>-15.403015959182484</v>
      </c>
      <c r="G65" s="54">
        <v>0</v>
      </c>
      <c r="H65" s="6">
        <v>175</v>
      </c>
      <c r="I65" s="56"/>
      <c r="J65" s="57"/>
      <c r="K65" s="58"/>
      <c r="L65" s="92" t="s">
        <v>1</v>
      </c>
      <c r="M65" s="93"/>
      <c r="N65" s="22" t="s">
        <v>35</v>
      </c>
      <c r="O65" s="22" t="s">
        <v>9</v>
      </c>
    </row>
    <row r="66" spans="1:19" x14ac:dyDescent="0.25">
      <c r="A66" s="20" t="s">
        <v>24</v>
      </c>
      <c r="B66" s="13"/>
      <c r="C66" s="17">
        <v>991.97851247919095</v>
      </c>
      <c r="D66" s="18">
        <v>0</v>
      </c>
      <c r="E66" s="18">
        <v>91.528632261709689</v>
      </c>
      <c r="F66" s="18">
        <v>0</v>
      </c>
      <c r="G66" s="19">
        <v>-7.1376736143736803</v>
      </c>
      <c r="H66" s="6">
        <v>200</v>
      </c>
      <c r="I66" s="59" t="s">
        <v>70</v>
      </c>
      <c r="J66" s="60"/>
      <c r="K66" s="61"/>
      <c r="L66" s="25">
        <f>MAX(ABS(E69),ABS(E70))*1000/(B67*B64)</f>
        <v>10.008076918936931</v>
      </c>
      <c r="M66" s="25">
        <f>L66-phiVc</f>
        <v>9.3455674850418351</v>
      </c>
      <c r="N66" s="26">
        <f>M66*O66*B64/(phiV*fys*0.25*PI()*(J64^2))</f>
        <v>8.0128929898628982</v>
      </c>
      <c r="O66" s="15">
        <v>100</v>
      </c>
    </row>
    <row r="67" spans="1:19" x14ac:dyDescent="0.25">
      <c r="A67" s="12" t="s">
        <v>26</v>
      </c>
      <c r="B67" s="49">
        <f>B65-clrCover-J64-(IF(M71&gt;1,1.5*J70,0.5*J70))</f>
        <v>510.5</v>
      </c>
      <c r="C67" s="64">
        <v>-1082.3718554091683</v>
      </c>
      <c r="D67" s="17">
        <v>-17.312847436745319</v>
      </c>
      <c r="E67" s="18">
        <v>-35.625476808180245</v>
      </c>
      <c r="F67" s="18">
        <v>-15.403015959182484</v>
      </c>
      <c r="G67" s="19">
        <v>7.6465076756022308</v>
      </c>
      <c r="H67" s="6">
        <v>250</v>
      </c>
      <c r="I67" s="59" t="s">
        <v>71</v>
      </c>
      <c r="J67" s="60"/>
      <c r="K67" s="61"/>
      <c r="L67" s="25">
        <f>MAX(ABS(E69),ABS(E70))*1000/(B72*B64)</f>
        <v>9.8631723303422838</v>
      </c>
      <c r="M67" s="25">
        <f>L67-phiVc</f>
        <v>9.2006628964471879</v>
      </c>
      <c r="N67" s="26">
        <f>M67*O67*B64/(phiV*fys*0.25*PI()*(J64^2))</f>
        <v>7.8886517424472187</v>
      </c>
      <c r="O67" s="15">
        <v>100</v>
      </c>
    </row>
    <row r="68" spans="1:19" x14ac:dyDescent="0.25">
      <c r="A68" s="12" t="s">
        <v>27</v>
      </c>
      <c r="B68" s="50">
        <f>K71*R70</f>
        <v>1960</v>
      </c>
      <c r="C68" s="64">
        <v>991.97851247919095</v>
      </c>
      <c r="D68" s="17">
        <v>16.160770325677895</v>
      </c>
      <c r="E68" s="18">
        <v>91.528632261709689</v>
      </c>
      <c r="F68" s="18">
        <v>40.673823533097213</v>
      </c>
      <c r="G68" s="19">
        <v>-7.1376736143736803</v>
      </c>
      <c r="H68" s="6">
        <v>300</v>
      </c>
    </row>
    <row r="69" spans="1:19" x14ac:dyDescent="0.25">
      <c r="A69" s="12" t="s">
        <v>28</v>
      </c>
      <c r="B69" s="51">
        <f>-phi*B64*(B67^2)*J71*fy*(1-(0.588*J71*fy/fc))/1000000</f>
        <v>-308.28949038719998</v>
      </c>
      <c r="C69" s="64">
        <v>555.65615252601333</v>
      </c>
      <c r="D69" s="18">
        <v>-12.990965688058553</v>
      </c>
      <c r="E69" s="17">
        <v>-1021.8246534234606</v>
      </c>
      <c r="F69" s="18">
        <v>-334.63878573397642</v>
      </c>
      <c r="G69" s="19">
        <v>19.342458357189244</v>
      </c>
      <c r="I69" s="90" t="s">
        <v>68</v>
      </c>
      <c r="J69" s="91"/>
      <c r="K69" s="94" t="s">
        <v>35</v>
      </c>
      <c r="L69" s="68" t="s">
        <v>36</v>
      </c>
      <c r="M69" s="96" t="s">
        <v>37</v>
      </c>
      <c r="N69" s="98" t="s">
        <v>38</v>
      </c>
      <c r="O69" s="96" t="s">
        <v>72</v>
      </c>
      <c r="Q69" s="34" t="s">
        <v>73</v>
      </c>
    </row>
    <row r="70" spans="1:19" x14ac:dyDescent="0.25">
      <c r="A70" s="23" t="s">
        <v>33</v>
      </c>
      <c r="B70" s="13"/>
      <c r="C70" s="64">
        <v>-361.27547989011879</v>
      </c>
      <c r="D70" s="18">
        <v>13.589216119747777</v>
      </c>
      <c r="E70" s="17">
        <v>526.91439896573308</v>
      </c>
      <c r="F70" s="18">
        <v>-87.157824199054915</v>
      </c>
      <c r="G70" s="19">
        <v>-12.476791302511625</v>
      </c>
      <c r="I70" s="14" t="s">
        <v>23</v>
      </c>
      <c r="J70" s="41">
        <v>25</v>
      </c>
      <c r="K70" s="95"/>
      <c r="L70" s="40" t="s">
        <v>9</v>
      </c>
      <c r="M70" s="97"/>
      <c r="N70" s="99"/>
      <c r="O70" s="97"/>
      <c r="Q70" s="14" t="s">
        <v>75</v>
      </c>
      <c r="R70" s="21">
        <f>IF(J70=16,201,IF(J70=20,314,IF(J70=25,490,"Err")))</f>
        <v>490</v>
      </c>
      <c r="S70" s="16" t="s">
        <v>25</v>
      </c>
    </row>
    <row r="71" spans="1:19" x14ac:dyDescent="0.25">
      <c r="A71" s="20" t="s">
        <v>39</v>
      </c>
      <c r="B71" s="13"/>
      <c r="C71" s="64">
        <v>555.65615252601333</v>
      </c>
      <c r="D71" s="18">
        <v>-12.990965688058553</v>
      </c>
      <c r="E71" s="18">
        <v>-1021.8246534234606</v>
      </c>
      <c r="F71" s="17">
        <v>-334.63878573397642</v>
      </c>
      <c r="G71" s="19">
        <v>19.342458357189244</v>
      </c>
      <c r="I71" s="14" t="s">
        <v>40</v>
      </c>
      <c r="J71" s="24">
        <f>MAX(rhoMin,(K71*R70/(B64*B67)))</f>
        <v>1.9196865817825662E-2</v>
      </c>
      <c r="K71" s="15">
        <v>4</v>
      </c>
      <c r="L71" s="39">
        <f>IF(M71&lt;2,(B64-(2*(J64+clrCover))-(K71*J70))/(K71-1),(B64-(2*(J64+clrCover))-(N71*J70))/((N71)-1))</f>
        <v>46</v>
      </c>
      <c r="M71" s="15">
        <v>2</v>
      </c>
      <c r="N71" s="22">
        <f>IF(M71&lt;2,K71,CEILING(K71/2,1))</f>
        <v>2</v>
      </c>
      <c r="O71" s="22">
        <f>K71-N71</f>
        <v>2</v>
      </c>
      <c r="Q71" s="37" t="s">
        <v>74</v>
      </c>
      <c r="R71" s="38">
        <f>rhoMin*B64*B67</f>
        <v>336.93</v>
      </c>
      <c r="S71" s="22">
        <f>ROUNDUP(R71/R70,0)</f>
        <v>1</v>
      </c>
    </row>
    <row r="72" spans="1:19" x14ac:dyDescent="0.25">
      <c r="A72" s="12" t="s">
        <v>26</v>
      </c>
      <c r="B72" s="49">
        <f>B65-clrCover-J64-(IF(M74&gt;1,1.5*J73,0.5*J73))</f>
        <v>518</v>
      </c>
      <c r="C72" s="64">
        <v>-361.27547989011879</v>
      </c>
      <c r="D72" s="18">
        <v>13.589216119747777</v>
      </c>
      <c r="E72" s="18">
        <v>525.78831303128243</v>
      </c>
      <c r="F72" s="17">
        <v>145.31402645479056</v>
      </c>
      <c r="G72" s="19">
        <v>-18.478695134030946</v>
      </c>
      <c r="I72" s="90" t="s">
        <v>69</v>
      </c>
      <c r="J72" s="91"/>
      <c r="K72" s="96" t="s">
        <v>35</v>
      </c>
      <c r="L72" s="68" t="s">
        <v>36</v>
      </c>
      <c r="M72" s="96" t="s">
        <v>37</v>
      </c>
      <c r="N72" s="98" t="s">
        <v>38</v>
      </c>
      <c r="O72" s="96" t="s">
        <v>72</v>
      </c>
      <c r="R72" s="36"/>
    </row>
    <row r="73" spans="1:19" x14ac:dyDescent="0.25">
      <c r="A73" s="12" t="s">
        <v>27</v>
      </c>
      <c r="B73" s="50">
        <f>K74*R73</f>
        <v>1256</v>
      </c>
      <c r="C73" s="64">
        <v>-361.27547989011879</v>
      </c>
      <c r="D73" s="18">
        <v>13.589216119747777</v>
      </c>
      <c r="E73" s="18">
        <v>525.78831303128243</v>
      </c>
      <c r="F73" s="18">
        <v>145.31402645479056</v>
      </c>
      <c r="G73" s="17">
        <v>-18.478695134030946</v>
      </c>
      <c r="I73" s="14" t="s">
        <v>23</v>
      </c>
      <c r="J73" s="41">
        <v>20</v>
      </c>
      <c r="K73" s="97"/>
      <c r="L73" s="40" t="s">
        <v>9</v>
      </c>
      <c r="M73" s="97"/>
      <c r="N73" s="99"/>
      <c r="O73" s="97"/>
      <c r="Q73" s="14" t="s">
        <v>75</v>
      </c>
      <c r="R73" s="21">
        <f>IF(J73=16,201,IF(J73=20,314,IF(J73=25,490,"Err")))</f>
        <v>314</v>
      </c>
      <c r="S73" s="16" t="s">
        <v>25</v>
      </c>
    </row>
    <row r="74" spans="1:19" x14ac:dyDescent="0.25">
      <c r="A74" s="27" t="s">
        <v>28</v>
      </c>
      <c r="B74" s="52">
        <f>phi*B64*(B72^2)*J74*fy*(1-(0.588*J74*fy/fc))/1000000</f>
        <v>215.91897149491203</v>
      </c>
      <c r="C74" s="53">
        <v>555.65615252601333</v>
      </c>
      <c r="D74" s="28">
        <v>-12.990965688058553</v>
      </c>
      <c r="E74" s="28">
        <v>-1021.8246534234606</v>
      </c>
      <c r="F74" s="28">
        <v>-334.63878573397642</v>
      </c>
      <c r="G74" s="17">
        <v>19.342458357189244</v>
      </c>
      <c r="I74" s="14" t="s">
        <v>40</v>
      </c>
      <c r="J74" s="24">
        <f>MAX(rhoMin,(K74*R73/(B64*B72)))</f>
        <v>1.2123552123552124E-2</v>
      </c>
      <c r="K74" s="15">
        <v>4</v>
      </c>
      <c r="L74" s="21">
        <f>IF(M74&lt;2,(B64-(2*(J64+clrCover))-(K74*J73))/(K74-1),(B64-(2*(J64+clrCover))-(N74*J73))/((N74)-1))</f>
        <v>56</v>
      </c>
      <c r="M74" s="15">
        <v>2</v>
      </c>
      <c r="N74" s="22">
        <f>IF(M74&lt;2,K74,CEILING(K74/2,1))</f>
        <v>2</v>
      </c>
      <c r="O74" s="22">
        <f>K74-N74</f>
        <v>2</v>
      </c>
      <c r="Q74" s="37" t="s">
        <v>74</v>
      </c>
      <c r="R74" s="38">
        <f>rhoMin*B64*B72</f>
        <v>341.88</v>
      </c>
      <c r="S74" s="22">
        <f>ROUNDUP(R74/R73,0)</f>
        <v>2</v>
      </c>
    </row>
    <row r="75" spans="1:19" x14ac:dyDescent="0.25">
      <c r="A75" s="65" t="s">
        <v>76</v>
      </c>
    </row>
    <row r="76" spans="1:19" x14ac:dyDescent="0.25">
      <c r="A76" s="62" t="s">
        <v>85</v>
      </c>
      <c r="B76" s="11" t="s">
        <v>11</v>
      </c>
      <c r="C76" s="10" t="s">
        <v>12</v>
      </c>
      <c r="D76" s="10" t="s">
        <v>13</v>
      </c>
      <c r="E76" s="10" t="s">
        <v>14</v>
      </c>
      <c r="F76" s="10" t="s">
        <v>15</v>
      </c>
      <c r="G76" s="11" t="s">
        <v>16</v>
      </c>
      <c r="H76" s="6">
        <v>125</v>
      </c>
      <c r="I76" s="90" t="s">
        <v>34</v>
      </c>
      <c r="J76" s="91"/>
      <c r="K76" s="3"/>
    </row>
    <row r="77" spans="1:19" x14ac:dyDescent="0.25">
      <c r="A77" s="12" t="s">
        <v>17</v>
      </c>
      <c r="B77" s="48">
        <v>300</v>
      </c>
      <c r="C77" s="44" t="s">
        <v>18</v>
      </c>
      <c r="D77" s="44" t="s">
        <v>18</v>
      </c>
      <c r="E77" s="44" t="s">
        <v>18</v>
      </c>
      <c r="F77" s="44" t="s">
        <v>19</v>
      </c>
      <c r="G77" s="45" t="s">
        <v>19</v>
      </c>
      <c r="H77" s="6">
        <v>150</v>
      </c>
      <c r="I77" s="14" t="s">
        <v>20</v>
      </c>
      <c r="J77" s="15">
        <v>10</v>
      </c>
      <c r="K77" s="16" t="s">
        <v>9</v>
      </c>
      <c r="L77" s="22" t="s">
        <v>29</v>
      </c>
      <c r="M77" s="22" t="s">
        <v>30</v>
      </c>
      <c r="N77" s="22" t="s">
        <v>31</v>
      </c>
      <c r="O77" s="22" t="s">
        <v>32</v>
      </c>
      <c r="P77" s="3"/>
    </row>
    <row r="78" spans="1:19" x14ac:dyDescent="0.25">
      <c r="A78" s="12" t="s">
        <v>22</v>
      </c>
      <c r="B78" s="48">
        <v>400</v>
      </c>
      <c r="C78" s="17">
        <v>-108.78328187409943</v>
      </c>
      <c r="D78" s="63">
        <v>-2.0393982653595004</v>
      </c>
      <c r="E78" s="63">
        <v>0</v>
      </c>
      <c r="F78" s="63">
        <v>20.112992019104368</v>
      </c>
      <c r="G78" s="54">
        <v>0</v>
      </c>
      <c r="H78" s="6">
        <v>175</v>
      </c>
      <c r="I78" s="56"/>
      <c r="J78" s="57"/>
      <c r="K78" s="58"/>
      <c r="L78" s="92" t="s">
        <v>1</v>
      </c>
      <c r="M78" s="93"/>
      <c r="N78" s="22" t="s">
        <v>35</v>
      </c>
      <c r="O78" s="22" t="s">
        <v>9</v>
      </c>
    </row>
    <row r="79" spans="1:19" x14ac:dyDescent="0.25">
      <c r="A79" s="20" t="s">
        <v>24</v>
      </c>
      <c r="B79" s="13"/>
      <c r="C79" s="17">
        <v>87.992586336908758</v>
      </c>
      <c r="D79" s="18">
        <v>0</v>
      </c>
      <c r="E79" s="18">
        <v>34.952706336617489</v>
      </c>
      <c r="F79" s="18">
        <v>0</v>
      </c>
      <c r="G79" s="19">
        <v>-0.14428376716912339</v>
      </c>
      <c r="H79" s="6">
        <v>200</v>
      </c>
      <c r="I79" s="59" t="s">
        <v>70</v>
      </c>
      <c r="J79" s="60"/>
      <c r="K79" s="61"/>
      <c r="L79" s="25">
        <f>MAX(ABS(E82),ABS(E83))*1000/(B80*B77)</f>
        <v>0.8766539498715703</v>
      </c>
      <c r="M79" s="25">
        <f>L79-phiVc</f>
        <v>0.21414451597647466</v>
      </c>
      <c r="N79" s="26">
        <f>M79*O79*B77/(phiV*fys*0.25*PI()*(J77^2))</f>
        <v>0.39659238695188126</v>
      </c>
      <c r="O79" s="15">
        <v>100</v>
      </c>
    </row>
    <row r="80" spans="1:19" x14ac:dyDescent="0.25">
      <c r="A80" s="12" t="s">
        <v>26</v>
      </c>
      <c r="B80" s="49">
        <f>B78-clrCover-J77-(IF(M84&gt;1,1.5*J83,0.5*J83))</f>
        <v>340</v>
      </c>
      <c r="C80" s="64">
        <v>-106.18510014330134</v>
      </c>
      <c r="D80" s="17">
        <v>-23.721004787814618</v>
      </c>
      <c r="E80" s="18">
        <v>22.025979640488067</v>
      </c>
      <c r="F80" s="18">
        <v>-10.569455539433365</v>
      </c>
      <c r="G80" s="19">
        <v>-1.0252322452121718</v>
      </c>
      <c r="H80" s="6">
        <v>250</v>
      </c>
      <c r="I80" s="59" t="s">
        <v>71</v>
      </c>
      <c r="J80" s="60"/>
      <c r="K80" s="61"/>
      <c r="L80" s="25">
        <f>MAX(ABS(E82),ABS(E83))*1000/(B85*B77)</f>
        <v>0.8766539498715703</v>
      </c>
      <c r="M80" s="25">
        <f>L80-phiVc</f>
        <v>0.21414451597647466</v>
      </c>
      <c r="N80" s="26">
        <f>M80*O80*B77/(phiV*fys*0.25*PI()*(J77^2))</f>
        <v>0.39659238695188126</v>
      </c>
      <c r="O80" s="15">
        <v>100</v>
      </c>
    </row>
    <row r="81" spans="1:19" x14ac:dyDescent="0.25">
      <c r="A81" s="12" t="s">
        <v>27</v>
      </c>
      <c r="B81" s="50">
        <f>K84*R83</f>
        <v>942</v>
      </c>
      <c r="C81" s="64">
        <v>49.523096404147971</v>
      </c>
      <c r="D81" s="17">
        <v>14.408207670292761</v>
      </c>
      <c r="E81" s="18">
        <v>29.888506903403954</v>
      </c>
      <c r="F81" s="18">
        <v>-4.8472738851524202</v>
      </c>
      <c r="G81" s="19">
        <v>5.3662786938045688</v>
      </c>
      <c r="H81" s="6">
        <v>300</v>
      </c>
    </row>
    <row r="82" spans="1:19" x14ac:dyDescent="0.25">
      <c r="A82" s="12" t="s">
        <v>28</v>
      </c>
      <c r="B82" s="51">
        <f>-phi*B77*(B80^2)*J84*fy*(1-(0.588*J84*fy/fc))/1000000</f>
        <v>-109.399739510592</v>
      </c>
      <c r="C82" s="64">
        <v>51.608294237390169</v>
      </c>
      <c r="D82" s="18">
        <v>1.9821704303105399</v>
      </c>
      <c r="E82" s="17">
        <v>-89.418702886900164</v>
      </c>
      <c r="F82" s="18">
        <v>-101.66507266321948</v>
      </c>
      <c r="G82" s="19">
        <v>-1.3979294613128508</v>
      </c>
      <c r="I82" s="90" t="s">
        <v>68</v>
      </c>
      <c r="J82" s="91"/>
      <c r="K82" s="94" t="s">
        <v>35</v>
      </c>
      <c r="L82" s="66" t="s">
        <v>36</v>
      </c>
      <c r="M82" s="96" t="s">
        <v>37</v>
      </c>
      <c r="N82" s="98" t="s">
        <v>38</v>
      </c>
      <c r="O82" s="96" t="s">
        <v>72</v>
      </c>
      <c r="Q82" s="34" t="s">
        <v>73</v>
      </c>
    </row>
    <row r="83" spans="1:19" x14ac:dyDescent="0.25">
      <c r="A83" s="23" t="s">
        <v>33</v>
      </c>
      <c r="B83" s="13"/>
      <c r="C83" s="64">
        <v>28.536558052419412</v>
      </c>
      <c r="D83" s="18">
        <v>-1.9453847414439018</v>
      </c>
      <c r="E83" s="17">
        <v>71.194010901911994</v>
      </c>
      <c r="F83" s="18">
        <v>-82.893626016199164</v>
      </c>
      <c r="G83" s="19">
        <v>-2.3717680552275264</v>
      </c>
      <c r="I83" s="14" t="s">
        <v>23</v>
      </c>
      <c r="J83" s="41">
        <v>20</v>
      </c>
      <c r="K83" s="95"/>
      <c r="L83" s="40" t="s">
        <v>9</v>
      </c>
      <c r="M83" s="97"/>
      <c r="N83" s="99"/>
      <c r="O83" s="97"/>
      <c r="Q83" s="14" t="s">
        <v>75</v>
      </c>
      <c r="R83" s="21">
        <f>IF(J83=16,201,IF(J83=20,314,IF(J83=25,490,"Err")))</f>
        <v>314</v>
      </c>
      <c r="S83" s="16" t="s">
        <v>25</v>
      </c>
    </row>
    <row r="84" spans="1:19" x14ac:dyDescent="0.25">
      <c r="A84" s="20" t="s">
        <v>39</v>
      </c>
      <c r="B84" s="13"/>
      <c r="C84" s="64">
        <v>51.608294237390169</v>
      </c>
      <c r="D84" s="18">
        <v>1.9821704303105399</v>
      </c>
      <c r="E84" s="18">
        <v>-89.418702886900164</v>
      </c>
      <c r="F84" s="17">
        <v>-101.66507266321948</v>
      </c>
      <c r="G84" s="19">
        <v>-1.3979294613128508</v>
      </c>
      <c r="I84" s="14" t="s">
        <v>40</v>
      </c>
      <c r="J84" s="24">
        <f>MAX(rhoMin,(K84*R83/(B77*B80)))</f>
        <v>9.2352941176470586E-3</v>
      </c>
      <c r="K84" s="15">
        <v>3</v>
      </c>
      <c r="L84" s="39">
        <f>IF(M84&lt;2,(B77-(2*(J77+clrCover))-(K84*J83))/(K84-1),(B77-(2*(J77+clrCover))-(N84*J83))/((N84)-1))</f>
        <v>70</v>
      </c>
      <c r="M84" s="15">
        <v>1</v>
      </c>
      <c r="N84" s="22">
        <f>IF(M84&lt;2,K84,CEILING(K84/2,1))</f>
        <v>3</v>
      </c>
      <c r="O84" s="22">
        <f>K84-N84</f>
        <v>0</v>
      </c>
      <c r="Q84" s="37" t="s">
        <v>74</v>
      </c>
      <c r="R84" s="38">
        <f>rhoMin*B77*B80</f>
        <v>336.6</v>
      </c>
      <c r="S84" s="22">
        <f>ROUNDUP(R84/R83,0)</f>
        <v>2</v>
      </c>
    </row>
    <row r="85" spans="1:19" x14ac:dyDescent="0.25">
      <c r="A85" s="12" t="s">
        <v>26</v>
      </c>
      <c r="B85" s="49">
        <f>B78-clrCover-J77-(IF(M87&gt;1,1.5*J86,0.5*J86))</f>
        <v>340</v>
      </c>
      <c r="C85" s="64">
        <v>77.09692055135497</v>
      </c>
      <c r="D85" s="18">
        <v>3.2936539282209778</v>
      </c>
      <c r="E85" s="18">
        <v>42.49673368456989</v>
      </c>
      <c r="F85" s="17">
        <v>78.517600952302871</v>
      </c>
      <c r="G85" s="19">
        <v>-5.4578363993027335</v>
      </c>
      <c r="I85" s="90" t="s">
        <v>69</v>
      </c>
      <c r="J85" s="91"/>
      <c r="K85" s="96" t="s">
        <v>35</v>
      </c>
      <c r="L85" s="66" t="s">
        <v>36</v>
      </c>
      <c r="M85" s="96" t="s">
        <v>37</v>
      </c>
      <c r="N85" s="98" t="s">
        <v>38</v>
      </c>
      <c r="O85" s="96" t="s">
        <v>72</v>
      </c>
      <c r="R85" s="36"/>
    </row>
    <row r="86" spans="1:19" x14ac:dyDescent="0.25">
      <c r="A86" s="12" t="s">
        <v>27</v>
      </c>
      <c r="B86" s="50">
        <f>K87*R86</f>
        <v>628</v>
      </c>
      <c r="C86" s="64">
        <v>-106.18510014330134</v>
      </c>
      <c r="D86" s="18">
        <v>-23.721004787814618</v>
      </c>
      <c r="E86" s="18">
        <v>32.775777804695032</v>
      </c>
      <c r="F86" s="18">
        <v>-47.703510140185848</v>
      </c>
      <c r="G86" s="17">
        <v>-33.172270152035495</v>
      </c>
      <c r="I86" s="14" t="s">
        <v>23</v>
      </c>
      <c r="J86" s="41">
        <v>20</v>
      </c>
      <c r="K86" s="97"/>
      <c r="L86" s="40" t="s">
        <v>9</v>
      </c>
      <c r="M86" s="97"/>
      <c r="N86" s="99"/>
      <c r="O86" s="97"/>
      <c r="Q86" s="14" t="s">
        <v>75</v>
      </c>
      <c r="R86" s="21">
        <f>IF(J86=16,201,IF(J86=20,314,IF(J86=25,490,"Err")))</f>
        <v>314</v>
      </c>
      <c r="S86" s="16" t="s">
        <v>25</v>
      </c>
    </row>
    <row r="87" spans="1:19" x14ac:dyDescent="0.25">
      <c r="A87" s="27" t="s">
        <v>28</v>
      </c>
      <c r="B87" s="52">
        <f>phi*B77*(B85^2)*J87*fy*(1-(0.588*J87*fy/fc))/1000000</f>
        <v>75.141290449151995</v>
      </c>
      <c r="C87" s="53">
        <v>-107.96700182466743</v>
      </c>
      <c r="D87" s="28">
        <v>13.456897026328395</v>
      </c>
      <c r="E87" s="28">
        <v>31.534134932719823</v>
      </c>
      <c r="F87" s="28">
        <v>-42.581383252173815</v>
      </c>
      <c r="G87" s="17">
        <v>26.460265503059123</v>
      </c>
      <c r="I87" s="14" t="s">
        <v>40</v>
      </c>
      <c r="J87" s="24">
        <f>MAX(rhoMin,(K87*R86/(B77*B85)))</f>
        <v>6.1568627450980396E-3</v>
      </c>
      <c r="K87" s="15">
        <v>2</v>
      </c>
      <c r="L87" s="21">
        <f>IF(M87&lt;2,(B77-(2*(J77+clrCover))-(K87*J86))/(K87-1),(B77-(2*(J77+clrCover))-(N87*J86))/((N87)-1))</f>
        <v>160</v>
      </c>
      <c r="M87" s="15">
        <v>1</v>
      </c>
      <c r="N87" s="22">
        <f>IF(M87&lt;2,K87,CEILING(K87/2,1))</f>
        <v>2</v>
      </c>
      <c r="O87" s="22">
        <f>K87-N87</f>
        <v>0</v>
      </c>
      <c r="Q87" s="37" t="s">
        <v>74</v>
      </c>
      <c r="R87" s="38">
        <f>rhoMin*B77*B85</f>
        <v>336.6</v>
      </c>
      <c r="S87" s="22">
        <f>ROUNDUP(R87/R86,0)</f>
        <v>2</v>
      </c>
    </row>
    <row r="88" spans="1:19" x14ac:dyDescent="0.25">
      <c r="A88" s="65" t="s">
        <v>76</v>
      </c>
    </row>
    <row r="89" spans="1:19" x14ac:dyDescent="0.25">
      <c r="A89" s="62" t="s">
        <v>86</v>
      </c>
      <c r="B89" s="11" t="s">
        <v>11</v>
      </c>
      <c r="C89" s="10" t="s">
        <v>12</v>
      </c>
      <c r="D89" s="10" t="s">
        <v>13</v>
      </c>
      <c r="E89" s="10" t="s">
        <v>14</v>
      </c>
      <c r="F89" s="10" t="s">
        <v>15</v>
      </c>
      <c r="G89" s="11" t="s">
        <v>16</v>
      </c>
      <c r="H89" s="6">
        <v>125</v>
      </c>
      <c r="I89" s="90" t="s">
        <v>34</v>
      </c>
      <c r="J89" s="91"/>
      <c r="K89" s="3"/>
    </row>
    <row r="90" spans="1:19" x14ac:dyDescent="0.25">
      <c r="A90" s="12" t="s">
        <v>17</v>
      </c>
      <c r="B90" s="48">
        <v>300</v>
      </c>
      <c r="C90" s="44" t="s">
        <v>18</v>
      </c>
      <c r="D90" s="44" t="s">
        <v>18</v>
      </c>
      <c r="E90" s="44" t="s">
        <v>18</v>
      </c>
      <c r="F90" s="44" t="s">
        <v>19</v>
      </c>
      <c r="G90" s="45" t="s">
        <v>19</v>
      </c>
      <c r="H90" s="6">
        <v>150</v>
      </c>
      <c r="I90" s="14" t="s">
        <v>20</v>
      </c>
      <c r="J90" s="15">
        <v>10</v>
      </c>
      <c r="K90" s="16" t="s">
        <v>9</v>
      </c>
      <c r="L90" s="22" t="s">
        <v>29</v>
      </c>
      <c r="M90" s="22" t="s">
        <v>30</v>
      </c>
      <c r="N90" s="22" t="s">
        <v>31</v>
      </c>
      <c r="O90" s="22" t="s">
        <v>32</v>
      </c>
      <c r="P90" s="3"/>
    </row>
    <row r="91" spans="1:19" x14ac:dyDescent="0.25">
      <c r="A91" s="12" t="s">
        <v>22</v>
      </c>
      <c r="B91" s="48">
        <v>500</v>
      </c>
      <c r="C91" s="17">
        <v>-495.54947846578119</v>
      </c>
      <c r="D91" s="63">
        <v>-12.263885278729852</v>
      </c>
      <c r="E91" s="63">
        <v>0</v>
      </c>
      <c r="F91" s="63">
        <v>-201.61167288503472</v>
      </c>
      <c r="G91" s="54">
        <v>0</v>
      </c>
      <c r="H91" s="6">
        <v>175</v>
      </c>
      <c r="I91" s="56"/>
      <c r="J91" s="57"/>
      <c r="K91" s="58"/>
      <c r="L91" s="92" t="s">
        <v>1</v>
      </c>
      <c r="M91" s="93"/>
      <c r="N91" s="22" t="s">
        <v>35</v>
      </c>
      <c r="O91" s="22" t="s">
        <v>9</v>
      </c>
    </row>
    <row r="92" spans="1:19" x14ac:dyDescent="0.25">
      <c r="A92" s="20" t="s">
        <v>24</v>
      </c>
      <c r="B92" s="13"/>
      <c r="C92" s="17">
        <v>565.63252546959336</v>
      </c>
      <c r="D92" s="18">
        <v>0</v>
      </c>
      <c r="E92" s="18">
        <v>86.48836947020699</v>
      </c>
      <c r="F92" s="18">
        <v>0</v>
      </c>
      <c r="G92" s="19">
        <v>-25.665731490701344</v>
      </c>
      <c r="H92" s="6">
        <v>200</v>
      </c>
      <c r="I92" s="59" t="s">
        <v>70</v>
      </c>
      <c r="J92" s="60"/>
      <c r="K92" s="61"/>
      <c r="L92" s="25">
        <f>MAX(ABS(E95),ABS(E96))*1000/(B93*B90)</f>
        <v>1.0615519016909347</v>
      </c>
      <c r="M92" s="25">
        <f>L92-phiVc</f>
        <v>0.39904246779583907</v>
      </c>
      <c r="N92" s="26">
        <f>M92*O92*B90/(phiV*fys*0.25*PI()*(J90^2))</f>
        <v>0.73902058185653807</v>
      </c>
      <c r="O92" s="15">
        <v>100</v>
      </c>
    </row>
    <row r="93" spans="1:19" x14ac:dyDescent="0.25">
      <c r="A93" s="12" t="s">
        <v>26</v>
      </c>
      <c r="B93" s="49">
        <f>B91-clrCover-J90-(IF(M97&gt;1,1.5*J96,0.5*J96))</f>
        <v>420</v>
      </c>
      <c r="C93" s="64">
        <v>-232.67207711748975</v>
      </c>
      <c r="D93" s="17">
        <v>-27.865419568211923</v>
      </c>
      <c r="E93" s="18">
        <v>9.0741402425725823</v>
      </c>
      <c r="F93" s="18">
        <v>44.905992987052869</v>
      </c>
      <c r="G93" s="19">
        <v>46.693138589963432</v>
      </c>
      <c r="H93" s="6">
        <v>250</v>
      </c>
      <c r="I93" s="59" t="s">
        <v>71</v>
      </c>
      <c r="J93" s="60"/>
      <c r="K93" s="61"/>
      <c r="L93" s="25">
        <f>MAX(ABS(E95),ABS(E96))*1000/(B98*B90)</f>
        <v>1.0615519016909347</v>
      </c>
      <c r="M93" s="25">
        <f>L93-phiVc</f>
        <v>0.39904246779583907</v>
      </c>
      <c r="N93" s="26">
        <f>M93*O93*B90/(phiV*fys*0.25*PI()*(J90^2))</f>
        <v>0.73902058185653807</v>
      </c>
      <c r="O93" s="15">
        <v>100</v>
      </c>
    </row>
    <row r="94" spans="1:19" x14ac:dyDescent="0.25">
      <c r="A94" s="12" t="s">
        <v>27</v>
      </c>
      <c r="B94" s="50">
        <f>K97*R96</f>
        <v>1570</v>
      </c>
      <c r="C94" s="64">
        <v>7.5990560930558342</v>
      </c>
      <c r="D94" s="17">
        <v>23.616406790770249</v>
      </c>
      <c r="E94" s="18">
        <v>-25.338778001837372</v>
      </c>
      <c r="F94" s="18">
        <v>-7.2666566097723288E-13</v>
      </c>
      <c r="G94" s="19">
        <v>-4.6678479748152311E-12</v>
      </c>
      <c r="H94" s="6">
        <v>300</v>
      </c>
    </row>
    <row r="95" spans="1:19" x14ac:dyDescent="0.25">
      <c r="A95" s="12" t="s">
        <v>28</v>
      </c>
      <c r="B95" s="51">
        <f>-phi*B90*(B93^2)*J97*fy*(1-(0.588*J97*fy/fc))/1000000</f>
        <v>-218.09080530719999</v>
      </c>
      <c r="C95" s="64">
        <v>-92.983918838421459</v>
      </c>
      <c r="D95" s="18">
        <v>19.146962839984365</v>
      </c>
      <c r="E95" s="17">
        <v>-133.75553961305778</v>
      </c>
      <c r="F95" s="18">
        <v>-159.3369546278264</v>
      </c>
      <c r="G95" s="19">
        <v>-18.781041667186003</v>
      </c>
      <c r="I95" s="90" t="s">
        <v>68</v>
      </c>
      <c r="J95" s="91"/>
      <c r="K95" s="94" t="s">
        <v>35</v>
      </c>
      <c r="L95" s="66" t="s">
        <v>36</v>
      </c>
      <c r="M95" s="96" t="s">
        <v>37</v>
      </c>
      <c r="N95" s="98" t="s">
        <v>38</v>
      </c>
      <c r="O95" s="96" t="s">
        <v>72</v>
      </c>
      <c r="Q95" s="34" t="s">
        <v>73</v>
      </c>
    </row>
    <row r="96" spans="1:19" x14ac:dyDescent="0.25">
      <c r="A96" s="23" t="s">
        <v>33</v>
      </c>
      <c r="B96" s="13"/>
      <c r="C96" s="64">
        <v>565.63252546959336</v>
      </c>
      <c r="D96" s="18">
        <v>12.728459176568082</v>
      </c>
      <c r="E96" s="17">
        <v>126.99670183204863</v>
      </c>
      <c r="F96" s="18">
        <v>2.4475298232573551E-12</v>
      </c>
      <c r="G96" s="19">
        <v>1.2121226689032481E-12</v>
      </c>
      <c r="I96" s="14" t="s">
        <v>23</v>
      </c>
      <c r="J96" s="41">
        <v>20</v>
      </c>
      <c r="K96" s="95"/>
      <c r="L96" s="40" t="s">
        <v>9</v>
      </c>
      <c r="M96" s="97"/>
      <c r="N96" s="99"/>
      <c r="O96" s="97"/>
      <c r="Q96" s="14" t="s">
        <v>75</v>
      </c>
      <c r="R96" s="21">
        <f>IF(J96=16,201,IF(J96=20,314,IF(J96=25,490,"Err")))</f>
        <v>314</v>
      </c>
      <c r="S96" s="16" t="s">
        <v>25</v>
      </c>
    </row>
    <row r="97" spans="1:19" x14ac:dyDescent="0.25">
      <c r="A97" s="20" t="s">
        <v>39</v>
      </c>
      <c r="B97" s="13"/>
      <c r="C97" s="64">
        <v>-495.54947846578119</v>
      </c>
      <c r="D97" s="18">
        <v>-12.263885278729852</v>
      </c>
      <c r="E97" s="18">
        <v>-115.17631757284097</v>
      </c>
      <c r="F97" s="17">
        <v>-201.61167288503472</v>
      </c>
      <c r="G97" s="19">
        <v>24.728962259319918</v>
      </c>
      <c r="I97" s="14" t="s">
        <v>40</v>
      </c>
      <c r="J97" s="24">
        <f>MAX(rhoMin,(K97*R96/(B90*B93)))</f>
        <v>1.246031746031746E-2</v>
      </c>
      <c r="K97" s="15">
        <v>5</v>
      </c>
      <c r="L97" s="39">
        <f>IF(M97&lt;2,(B90-(2*(J90+clrCover))-(K97*J96))/(K97-1),(B90-(2*(J90+clrCover))-(N97*J96))/((N97)-1))</f>
        <v>70</v>
      </c>
      <c r="M97" s="15">
        <v>2</v>
      </c>
      <c r="N97" s="22">
        <f>IF(M97&lt;2,K97,CEILING(K97/2,1))</f>
        <v>3</v>
      </c>
      <c r="O97" s="22">
        <f>K97-N97</f>
        <v>2</v>
      </c>
      <c r="Q97" s="37" t="s">
        <v>74</v>
      </c>
      <c r="R97" s="38">
        <f>rhoMin*B90*B93</f>
        <v>415.8</v>
      </c>
      <c r="S97" s="22">
        <f>ROUNDUP(R97/R96,0)</f>
        <v>2</v>
      </c>
    </row>
    <row r="98" spans="1:19" x14ac:dyDescent="0.25">
      <c r="A98" s="12" t="s">
        <v>26</v>
      </c>
      <c r="B98" s="49">
        <f>B91-clrCover-J90-(IF(M100&gt;1,1.5*J99,0.5*J99))</f>
        <v>420</v>
      </c>
      <c r="C98" s="64">
        <v>565.63252546959336</v>
      </c>
      <c r="D98" s="18">
        <v>12.728459176568082</v>
      </c>
      <c r="E98" s="18">
        <v>86.48836947020699</v>
      </c>
      <c r="F98" s="17">
        <v>215.23620578538049</v>
      </c>
      <c r="G98" s="19">
        <v>-25.665731490701344</v>
      </c>
      <c r="I98" s="90" t="s">
        <v>69</v>
      </c>
      <c r="J98" s="91"/>
      <c r="K98" s="96" t="s">
        <v>35</v>
      </c>
      <c r="L98" s="66" t="s">
        <v>36</v>
      </c>
      <c r="M98" s="96" t="s">
        <v>37</v>
      </c>
      <c r="N98" s="98" t="s">
        <v>38</v>
      </c>
      <c r="O98" s="96" t="s">
        <v>72</v>
      </c>
      <c r="R98" s="36"/>
    </row>
    <row r="99" spans="1:19" x14ac:dyDescent="0.25">
      <c r="A99" s="12" t="s">
        <v>27</v>
      </c>
      <c r="B99" s="50">
        <f>K100*R99</f>
        <v>1570</v>
      </c>
      <c r="C99" s="64">
        <v>-232.67207711748975</v>
      </c>
      <c r="D99" s="18">
        <v>-27.865419568211923</v>
      </c>
      <c r="E99" s="18">
        <v>70.771379539961131</v>
      </c>
      <c r="F99" s="18">
        <v>-77.702268984289816</v>
      </c>
      <c r="G99" s="17">
        <v>-38.885380321703181</v>
      </c>
      <c r="I99" s="14" t="s">
        <v>23</v>
      </c>
      <c r="J99" s="41">
        <v>20</v>
      </c>
      <c r="K99" s="97"/>
      <c r="L99" s="40" t="s">
        <v>9</v>
      </c>
      <c r="M99" s="97"/>
      <c r="N99" s="99"/>
      <c r="O99" s="97"/>
      <c r="Q99" s="14" t="s">
        <v>75</v>
      </c>
      <c r="R99" s="21">
        <f>IF(J99=16,201,IF(J99=20,314,IF(J99=25,490,"Err")))</f>
        <v>314</v>
      </c>
      <c r="S99" s="16" t="s">
        <v>25</v>
      </c>
    </row>
    <row r="100" spans="1:19" x14ac:dyDescent="0.25">
      <c r="A100" s="27" t="s">
        <v>28</v>
      </c>
      <c r="B100" s="52">
        <f>phi*B90*(B98^2)*J100*fy*(1-(0.588*J100*fy/fc))/1000000</f>
        <v>218.09080530719999</v>
      </c>
      <c r="C100" s="53">
        <v>-232.67207711748975</v>
      </c>
      <c r="D100" s="28">
        <v>-27.865419568211923</v>
      </c>
      <c r="E100" s="28">
        <v>9.0741402425725823</v>
      </c>
      <c r="F100" s="28">
        <v>44.905992987052869</v>
      </c>
      <c r="G100" s="17">
        <v>46.693138589963432</v>
      </c>
      <c r="I100" s="14" t="s">
        <v>40</v>
      </c>
      <c r="J100" s="24">
        <f>MAX(rhoMin,(K100*R99/(B90*B98)))</f>
        <v>1.246031746031746E-2</v>
      </c>
      <c r="K100" s="15">
        <v>5</v>
      </c>
      <c r="L100" s="21">
        <f>IF(M100&lt;2,(B90-(2*(J90+clrCover))-(K100*J99))/(K100-1),(B90-(2*(J90+clrCover))-(N100*J99))/((N100)-1))</f>
        <v>70</v>
      </c>
      <c r="M100" s="15">
        <v>2</v>
      </c>
      <c r="N100" s="22">
        <f>IF(M100&lt;2,K100,CEILING(K100/2,1))</f>
        <v>3</v>
      </c>
      <c r="O100" s="22">
        <f>K100-N100</f>
        <v>2</v>
      </c>
      <c r="Q100" s="37" t="s">
        <v>74</v>
      </c>
      <c r="R100" s="38">
        <f>rhoMin*B90*B98</f>
        <v>415.8</v>
      </c>
      <c r="S100" s="22">
        <f>ROUNDUP(R100/R99,0)</f>
        <v>2</v>
      </c>
    </row>
    <row r="101" spans="1:19" x14ac:dyDescent="0.25">
      <c r="A101" s="65" t="s">
        <v>76</v>
      </c>
    </row>
    <row r="102" spans="1:19" x14ac:dyDescent="0.25">
      <c r="A102" s="62" t="s">
        <v>89</v>
      </c>
      <c r="B102" s="11" t="s">
        <v>11</v>
      </c>
      <c r="C102" s="10" t="s">
        <v>12</v>
      </c>
      <c r="D102" s="10" t="s">
        <v>13</v>
      </c>
      <c r="E102" s="10" t="s">
        <v>14</v>
      </c>
      <c r="F102" s="10" t="s">
        <v>15</v>
      </c>
      <c r="G102" s="11" t="s">
        <v>16</v>
      </c>
      <c r="H102" s="6">
        <v>125</v>
      </c>
      <c r="I102" s="90" t="s">
        <v>34</v>
      </c>
      <c r="J102" s="91"/>
      <c r="K102" s="3"/>
    </row>
    <row r="103" spans="1:19" x14ac:dyDescent="0.25">
      <c r="A103" s="12" t="s">
        <v>17</v>
      </c>
      <c r="B103" s="48">
        <v>300</v>
      </c>
      <c r="C103" s="44" t="s">
        <v>18</v>
      </c>
      <c r="D103" s="44" t="s">
        <v>18</v>
      </c>
      <c r="E103" s="44" t="s">
        <v>18</v>
      </c>
      <c r="F103" s="44" t="s">
        <v>19</v>
      </c>
      <c r="G103" s="45" t="s">
        <v>19</v>
      </c>
      <c r="H103" s="6">
        <v>150</v>
      </c>
      <c r="I103" s="14" t="s">
        <v>20</v>
      </c>
      <c r="J103" s="15">
        <v>10</v>
      </c>
      <c r="K103" s="16" t="s">
        <v>9</v>
      </c>
      <c r="L103" s="22" t="s">
        <v>29</v>
      </c>
      <c r="M103" s="22" t="s">
        <v>30</v>
      </c>
      <c r="N103" s="22" t="s">
        <v>31</v>
      </c>
      <c r="O103" s="22" t="s">
        <v>32</v>
      </c>
      <c r="P103" s="3"/>
    </row>
    <row r="104" spans="1:19" x14ac:dyDescent="0.25">
      <c r="A104" s="12" t="s">
        <v>22</v>
      </c>
      <c r="B104" s="48">
        <v>600</v>
      </c>
      <c r="C104" s="17">
        <v>-542.8039916766121</v>
      </c>
      <c r="D104" s="63">
        <v>-22.843255993820105</v>
      </c>
      <c r="E104" s="63">
        <v>0</v>
      </c>
      <c r="F104" s="63">
        <v>-84.438211368578649</v>
      </c>
      <c r="G104" s="54">
        <v>0</v>
      </c>
      <c r="H104" s="6">
        <v>175</v>
      </c>
      <c r="I104" s="56"/>
      <c r="J104" s="57"/>
      <c r="K104" s="58"/>
      <c r="L104" s="92" t="s">
        <v>1</v>
      </c>
      <c r="M104" s="93"/>
      <c r="N104" s="22" t="s">
        <v>35</v>
      </c>
      <c r="O104" s="22" t="s">
        <v>9</v>
      </c>
    </row>
    <row r="105" spans="1:19" x14ac:dyDescent="0.25">
      <c r="A105" s="20" t="s">
        <v>24</v>
      </c>
      <c r="B105" s="13"/>
      <c r="C105" s="17">
        <v>482.6508673848785</v>
      </c>
      <c r="D105" s="18">
        <v>0</v>
      </c>
      <c r="E105" s="18">
        <v>-57.967829106200071</v>
      </c>
      <c r="F105" s="18">
        <v>0</v>
      </c>
      <c r="G105" s="19">
        <v>-23.9231998716843</v>
      </c>
      <c r="H105" s="6">
        <v>200</v>
      </c>
      <c r="I105" s="59" t="s">
        <v>70</v>
      </c>
      <c r="J105" s="60"/>
      <c r="K105" s="61"/>
      <c r="L105" s="25">
        <f>MAX(ABS(E108),ABS(E109))*1000/(B106*B103)</f>
        <v>1.3741078627017795</v>
      </c>
      <c r="M105" s="25">
        <f>L105-phiVc</f>
        <v>0.71159842880668389</v>
      </c>
      <c r="N105" s="26">
        <f>M105*O105*B103/(phiV*fys*0.25*PI()*(J103^2))</f>
        <v>1.3178694684044789</v>
      </c>
      <c r="O105" s="15">
        <v>100</v>
      </c>
    </row>
    <row r="106" spans="1:19" x14ac:dyDescent="0.25">
      <c r="A106" s="12" t="s">
        <v>26</v>
      </c>
      <c r="B106" s="49">
        <f>B104-clrCover-J103-(IF(M110&gt;1,1.5*J109,0.5*J109))</f>
        <v>520</v>
      </c>
      <c r="C106" s="64">
        <v>-3.4415286485989403</v>
      </c>
      <c r="D106" s="17">
        <v>-58.649949611102102</v>
      </c>
      <c r="E106" s="18">
        <v>-14.071479133150181</v>
      </c>
      <c r="F106" s="18">
        <v>-8.0323758249181088E-2</v>
      </c>
      <c r="G106" s="19">
        <v>-2.158481004115461</v>
      </c>
      <c r="H106" s="6">
        <v>250</v>
      </c>
      <c r="I106" s="59" t="s">
        <v>71</v>
      </c>
      <c r="J106" s="60"/>
      <c r="K106" s="61"/>
      <c r="L106" s="25">
        <f>MAX(ABS(E108),ABS(E109))*1000/(B111*B103)</f>
        <v>1.3741078627017795</v>
      </c>
      <c r="M106" s="25">
        <f>L106-phiVc</f>
        <v>0.71159842880668389</v>
      </c>
      <c r="N106" s="26">
        <f>M106*O106*B103/(phiV*fys*0.25*PI()*(J103^2))</f>
        <v>1.3178694684044789</v>
      </c>
      <c r="O106" s="15">
        <v>100</v>
      </c>
    </row>
    <row r="107" spans="1:19" x14ac:dyDescent="0.25">
      <c r="A107" s="12" t="s">
        <v>27</v>
      </c>
      <c r="B107" s="50">
        <f>K110*R109</f>
        <v>1570</v>
      </c>
      <c r="C107" s="64">
        <v>-185.95134535477251</v>
      </c>
      <c r="D107" s="17">
        <v>49.942116584527113</v>
      </c>
      <c r="E107" s="18">
        <v>-133.81227319969784</v>
      </c>
      <c r="F107" s="18">
        <v>-240.74825110228562</v>
      </c>
      <c r="G107" s="19">
        <v>-24.071770751095684</v>
      </c>
      <c r="H107" s="6">
        <v>300</v>
      </c>
    </row>
    <row r="108" spans="1:19" x14ac:dyDescent="0.25">
      <c r="A108" s="12" t="s">
        <v>28</v>
      </c>
      <c r="B108" s="51">
        <f>-phi*B103*(B106^2)*J110*fy*(1-(0.588*J110*fy/fc))/1000000</f>
        <v>-276.58900530720001</v>
      </c>
      <c r="C108" s="64">
        <v>-56.048855570418723</v>
      </c>
      <c r="D108" s="18">
        <v>1.4652421895206076</v>
      </c>
      <c r="E108" s="17">
        <v>-214.36082658147762</v>
      </c>
      <c r="F108" s="18">
        <v>-276.83219443718025</v>
      </c>
      <c r="G108" s="19">
        <v>-0.84987615084199497</v>
      </c>
      <c r="I108" s="90" t="s">
        <v>68</v>
      </c>
      <c r="J108" s="91"/>
      <c r="K108" s="94" t="s">
        <v>35</v>
      </c>
      <c r="L108" s="66" t="s">
        <v>36</v>
      </c>
      <c r="M108" s="96" t="s">
        <v>37</v>
      </c>
      <c r="N108" s="98" t="s">
        <v>38</v>
      </c>
      <c r="O108" s="96" t="s">
        <v>72</v>
      </c>
      <c r="Q108" s="34" t="s">
        <v>73</v>
      </c>
    </row>
    <row r="109" spans="1:19" x14ac:dyDescent="0.25">
      <c r="A109" s="23" t="s">
        <v>33</v>
      </c>
      <c r="B109" s="13"/>
      <c r="C109" s="64">
        <v>-69.718827933365773</v>
      </c>
      <c r="D109" s="18">
        <v>8.2469811014891352</v>
      </c>
      <c r="E109" s="17">
        <v>182.86584329323233</v>
      </c>
      <c r="F109" s="18">
        <v>-261.24898288882321</v>
      </c>
      <c r="G109" s="19">
        <v>4.43395269008934</v>
      </c>
      <c r="I109" s="14" t="s">
        <v>23</v>
      </c>
      <c r="J109" s="41">
        <v>20</v>
      </c>
      <c r="K109" s="95"/>
      <c r="L109" s="40" t="s">
        <v>9</v>
      </c>
      <c r="M109" s="97"/>
      <c r="N109" s="99"/>
      <c r="O109" s="97"/>
      <c r="Q109" s="14" t="s">
        <v>75</v>
      </c>
      <c r="R109" s="21">
        <f>IF(J109=16,201,IF(J109=20,314,IF(J109=25,490,"Err")))</f>
        <v>314</v>
      </c>
      <c r="S109" s="16" t="s">
        <v>25</v>
      </c>
    </row>
    <row r="110" spans="1:19" x14ac:dyDescent="0.25">
      <c r="A110" s="20" t="s">
        <v>39</v>
      </c>
      <c r="B110" s="13"/>
      <c r="C110" s="64">
        <v>-56.048855570418723</v>
      </c>
      <c r="D110" s="18">
        <v>1.4652421895206076</v>
      </c>
      <c r="E110" s="18">
        <v>-214.36082658147762</v>
      </c>
      <c r="F110" s="17">
        <v>-276.83219443718025</v>
      </c>
      <c r="G110" s="19">
        <v>-0.84987615084199497</v>
      </c>
      <c r="I110" s="14" t="s">
        <v>40</v>
      </c>
      <c r="J110" s="24">
        <f>MAX(rhoMin,(K110*R109/(B103*B106)))</f>
        <v>1.0064102564102563E-2</v>
      </c>
      <c r="K110" s="15">
        <v>5</v>
      </c>
      <c r="L110" s="39">
        <f>IF(M110&lt;2,(B103-(2*(J103+clrCover))-(K110*J109))/(K110-1),(B103-(2*(J103+clrCover))-(N110*J109))/((N110)-1))</f>
        <v>70</v>
      </c>
      <c r="M110" s="15">
        <v>2</v>
      </c>
      <c r="N110" s="22">
        <f>IF(M110&lt;2,K110,CEILING(K110/2,1))</f>
        <v>3</v>
      </c>
      <c r="O110" s="22">
        <f>K110-N110</f>
        <v>2</v>
      </c>
      <c r="Q110" s="37" t="s">
        <v>74</v>
      </c>
      <c r="R110" s="38">
        <f>rhoMin*B103*B106</f>
        <v>514.79999999999995</v>
      </c>
      <c r="S110" s="22">
        <f>ROUNDUP(R110/R109,0)</f>
        <v>2</v>
      </c>
    </row>
    <row r="111" spans="1:19" x14ac:dyDescent="0.25">
      <c r="A111" s="12" t="s">
        <v>26</v>
      </c>
      <c r="B111" s="49">
        <f>B104-clrCover-J103-(IF(M113&gt;1,1.5*J112,0.5*J112))</f>
        <v>520</v>
      </c>
      <c r="C111" s="64">
        <v>34.147439628379296</v>
      </c>
      <c r="D111" s="18">
        <v>-0.94353627817626706</v>
      </c>
      <c r="E111" s="18">
        <v>-90.564091217011807</v>
      </c>
      <c r="F111" s="17">
        <v>207.65826386439397</v>
      </c>
      <c r="G111" s="19">
        <v>-1.7256817527888075</v>
      </c>
      <c r="I111" s="90" t="s">
        <v>69</v>
      </c>
      <c r="J111" s="91"/>
      <c r="K111" s="96" t="s">
        <v>35</v>
      </c>
      <c r="L111" s="66" t="s">
        <v>36</v>
      </c>
      <c r="M111" s="96" t="s">
        <v>37</v>
      </c>
      <c r="N111" s="98" t="s">
        <v>38</v>
      </c>
      <c r="O111" s="96" t="s">
        <v>72</v>
      </c>
      <c r="R111" s="36"/>
    </row>
    <row r="112" spans="1:19" x14ac:dyDescent="0.25">
      <c r="A112" s="12" t="s">
        <v>27</v>
      </c>
      <c r="B112" s="50">
        <f>K113*R112</f>
        <v>1570</v>
      </c>
      <c r="C112" s="64">
        <v>18.052762970975433</v>
      </c>
      <c r="D112" s="18">
        <v>-17.426512112686396</v>
      </c>
      <c r="E112" s="18">
        <v>48.019197392652288</v>
      </c>
      <c r="F112" s="18">
        <v>-23.822818637655896</v>
      </c>
      <c r="G112" s="17">
        <v>-26.335817857657663</v>
      </c>
      <c r="I112" s="14" t="s">
        <v>23</v>
      </c>
      <c r="J112" s="41">
        <v>20</v>
      </c>
      <c r="K112" s="97"/>
      <c r="L112" s="40" t="s">
        <v>9</v>
      </c>
      <c r="M112" s="97"/>
      <c r="N112" s="99"/>
      <c r="O112" s="97"/>
      <c r="Q112" s="14" t="s">
        <v>75</v>
      </c>
      <c r="R112" s="21">
        <f>IF(J112=16,201,IF(J112=20,314,IF(J112=25,490,"Err")))</f>
        <v>314</v>
      </c>
      <c r="S112" s="16" t="s">
        <v>25</v>
      </c>
    </row>
    <row r="113" spans="1:19" x14ac:dyDescent="0.25">
      <c r="A113" s="27" t="s">
        <v>28</v>
      </c>
      <c r="B113" s="52">
        <f>phi*B103*(B111^2)*J113*fy*(1-(0.588*J113*fy/fc))/1000000</f>
        <v>276.58900530720001</v>
      </c>
      <c r="C113" s="53">
        <v>125.79822106303895</v>
      </c>
      <c r="D113" s="28">
        <v>-56.466641874664951</v>
      </c>
      <c r="E113" s="28">
        <v>-9.5175061734415074</v>
      </c>
      <c r="F113" s="28">
        <v>101.41872154563777</v>
      </c>
      <c r="G113" s="17">
        <v>28.33433100511834</v>
      </c>
      <c r="I113" s="14" t="s">
        <v>40</v>
      </c>
      <c r="J113" s="24">
        <f>MAX(rhoMin,(K113*R112/(B103*B111)))</f>
        <v>1.0064102564102563E-2</v>
      </c>
      <c r="K113" s="15">
        <v>5</v>
      </c>
      <c r="L113" s="21">
        <f>IF(M113&lt;2,(B103-(2*(J103+clrCover))-(K113*J112))/(K113-1),(B103-(2*(J103+clrCover))-(N113*J112))/((N113)-1))</f>
        <v>70</v>
      </c>
      <c r="M113" s="15">
        <v>2</v>
      </c>
      <c r="N113" s="22">
        <f>IF(M113&lt;2,K113,CEILING(K113/2,1))</f>
        <v>3</v>
      </c>
      <c r="O113" s="22">
        <f>K113-N113</f>
        <v>2</v>
      </c>
      <c r="Q113" s="37" t="s">
        <v>74</v>
      </c>
      <c r="R113" s="38">
        <f>rhoMin*B103*B111</f>
        <v>514.79999999999995</v>
      </c>
      <c r="S113" s="22">
        <f>ROUNDUP(R113/R112,0)</f>
        <v>2</v>
      </c>
    </row>
    <row r="114" spans="1:19" x14ac:dyDescent="0.25">
      <c r="A114" s="65" t="s">
        <v>76</v>
      </c>
    </row>
    <row r="115" spans="1:19" x14ac:dyDescent="0.25">
      <c r="A115" s="62" t="s">
        <v>88</v>
      </c>
      <c r="B115" s="11" t="s">
        <v>11</v>
      </c>
      <c r="C115" s="10" t="s">
        <v>12</v>
      </c>
      <c r="D115" s="10" t="s">
        <v>13</v>
      </c>
      <c r="E115" s="10" t="s">
        <v>14</v>
      </c>
      <c r="F115" s="10" t="s">
        <v>15</v>
      </c>
      <c r="G115" s="11" t="s">
        <v>16</v>
      </c>
      <c r="H115" s="6">
        <v>125</v>
      </c>
      <c r="I115" s="90" t="s">
        <v>34</v>
      </c>
      <c r="J115" s="91"/>
      <c r="K115" s="3"/>
    </row>
    <row r="116" spans="1:19" x14ac:dyDescent="0.25">
      <c r="A116" s="12" t="s">
        <v>17</v>
      </c>
      <c r="B116" s="48">
        <v>400</v>
      </c>
      <c r="C116" s="44" t="s">
        <v>18</v>
      </c>
      <c r="D116" s="44" t="s">
        <v>18</v>
      </c>
      <c r="E116" s="44" t="s">
        <v>18</v>
      </c>
      <c r="F116" s="44" t="s">
        <v>19</v>
      </c>
      <c r="G116" s="45" t="s">
        <v>19</v>
      </c>
      <c r="H116" s="6">
        <v>150</v>
      </c>
      <c r="I116" s="14" t="s">
        <v>20</v>
      </c>
      <c r="J116" s="15">
        <v>10</v>
      </c>
      <c r="K116" s="16" t="s">
        <v>9</v>
      </c>
      <c r="L116" s="22" t="s">
        <v>29</v>
      </c>
      <c r="M116" s="22" t="s">
        <v>30</v>
      </c>
      <c r="N116" s="22" t="s">
        <v>31</v>
      </c>
      <c r="O116" s="22" t="s">
        <v>32</v>
      </c>
      <c r="P116" s="3"/>
    </row>
    <row r="117" spans="1:19" x14ac:dyDescent="0.25">
      <c r="A117" s="12" t="s">
        <v>22</v>
      </c>
      <c r="B117" s="48">
        <v>700</v>
      </c>
      <c r="C117" s="17">
        <v>-1087.4164504046025</v>
      </c>
      <c r="D117" s="63">
        <v>-52.87891504708179</v>
      </c>
      <c r="E117" s="63">
        <v>0</v>
      </c>
      <c r="F117" s="63">
        <v>-192.20526050805762</v>
      </c>
      <c r="G117" s="54">
        <v>0</v>
      </c>
      <c r="H117" s="6">
        <v>175</v>
      </c>
      <c r="I117" s="56"/>
      <c r="J117" s="57"/>
      <c r="K117" s="58"/>
      <c r="L117" s="92" t="s">
        <v>1</v>
      </c>
      <c r="M117" s="93"/>
      <c r="N117" s="22" t="s">
        <v>35</v>
      </c>
      <c r="O117" s="22" t="s">
        <v>9</v>
      </c>
    </row>
    <row r="118" spans="1:19" x14ac:dyDescent="0.25">
      <c r="A118" s="20" t="s">
        <v>24</v>
      </c>
      <c r="B118" s="13"/>
      <c r="C118" s="17">
        <v>1009.4952375492061</v>
      </c>
      <c r="D118" s="18">
        <v>0</v>
      </c>
      <c r="E118" s="18">
        <v>63.564233197442832</v>
      </c>
      <c r="F118" s="18">
        <v>0</v>
      </c>
      <c r="G118" s="19">
        <v>-50.18284560351595</v>
      </c>
      <c r="H118" s="6">
        <v>200</v>
      </c>
      <c r="I118" s="59" t="s">
        <v>70</v>
      </c>
      <c r="J118" s="60"/>
      <c r="K118" s="61"/>
      <c r="L118" s="25">
        <f>MAX(ABS(E121),ABS(E122))*1000/(B119*B116)</f>
        <v>1.8269482772143832</v>
      </c>
      <c r="M118" s="25">
        <f>L118-phiVc</f>
        <v>1.1644388433192876</v>
      </c>
      <c r="N118" s="26">
        <f>M118*O118*B116/(phiV*fys*0.25*PI()*(J116^2))</f>
        <v>2.8753640392529238</v>
      </c>
      <c r="O118" s="15">
        <v>100</v>
      </c>
    </row>
    <row r="119" spans="1:19" x14ac:dyDescent="0.25">
      <c r="A119" s="12" t="s">
        <v>26</v>
      </c>
      <c r="B119" s="49">
        <f>B117-clrCover-J116-(IF(M123&gt;1,1.5*J122,0.5*J122))</f>
        <v>620</v>
      </c>
      <c r="C119" s="64">
        <v>-174.00366469585896</v>
      </c>
      <c r="D119" s="17">
        <v>-202.02786529269218</v>
      </c>
      <c r="E119" s="18">
        <v>217.92444644828075</v>
      </c>
      <c r="F119" s="18">
        <v>-315.00421167377175</v>
      </c>
      <c r="G119" s="19">
        <v>-15.05391696730028</v>
      </c>
      <c r="H119" s="6">
        <v>250</v>
      </c>
      <c r="I119" s="59" t="s">
        <v>71</v>
      </c>
      <c r="J119" s="60"/>
      <c r="K119" s="61"/>
      <c r="L119" s="25">
        <f>MAX(ABS(E121),ABS(E122))*1000/(B124*B116)</f>
        <v>1.7698561435514337</v>
      </c>
      <c r="M119" s="25">
        <f>L119-phiVc</f>
        <v>1.1073467096563381</v>
      </c>
      <c r="N119" s="26">
        <f>M119*O119*B116/(phiV*fys*0.25*PI()*(J116^2))</f>
        <v>2.7343856881780679</v>
      </c>
      <c r="O119" s="15">
        <v>100</v>
      </c>
    </row>
    <row r="120" spans="1:19" x14ac:dyDescent="0.25">
      <c r="A120" s="12" t="s">
        <v>27</v>
      </c>
      <c r="B120" s="50">
        <f>K123*R122</f>
        <v>2826</v>
      </c>
      <c r="C120" s="64">
        <v>157.03903481408358</v>
      </c>
      <c r="D120" s="17">
        <v>181.04284435434343</v>
      </c>
      <c r="E120" s="18">
        <v>7.4058851100044993</v>
      </c>
      <c r="F120" s="18">
        <v>107.2364725082347</v>
      </c>
      <c r="G120" s="19">
        <v>13.455109323812797</v>
      </c>
      <c r="H120" s="6">
        <v>300</v>
      </c>
    </row>
    <row r="121" spans="1:19" x14ac:dyDescent="0.25">
      <c r="A121" s="12" t="s">
        <v>28</v>
      </c>
      <c r="B121" s="51">
        <f>-phi*B116*(B119^2)*J123*fy*(1-(0.588*J123*fy/fc))/1000000</f>
        <v>-585.767939696496</v>
      </c>
      <c r="C121" s="64">
        <v>-28.469300778885767</v>
      </c>
      <c r="D121" s="18">
        <v>2.5822812416978711</v>
      </c>
      <c r="E121" s="17">
        <v>-343.84358309490455</v>
      </c>
      <c r="F121" s="18">
        <v>-450.21874926656932</v>
      </c>
      <c r="G121" s="19">
        <v>-1.5973193345036674</v>
      </c>
      <c r="I121" s="90" t="s">
        <v>68</v>
      </c>
      <c r="J121" s="91"/>
      <c r="K121" s="94" t="s">
        <v>35</v>
      </c>
      <c r="L121" s="66" t="s">
        <v>36</v>
      </c>
      <c r="M121" s="96" t="s">
        <v>37</v>
      </c>
      <c r="N121" s="98" t="s">
        <v>38</v>
      </c>
      <c r="O121" s="96" t="s">
        <v>72</v>
      </c>
      <c r="Q121" s="34" t="s">
        <v>73</v>
      </c>
    </row>
    <row r="122" spans="1:19" x14ac:dyDescent="0.25">
      <c r="A122" s="23" t="s">
        <v>33</v>
      </c>
      <c r="B122" s="13"/>
      <c r="C122" s="64">
        <v>-74.570275330734475</v>
      </c>
      <c r="D122" s="18">
        <v>11.914306590073531</v>
      </c>
      <c r="E122" s="17">
        <v>453.08317274916703</v>
      </c>
      <c r="F122" s="18">
        <v>-506.80874251711936</v>
      </c>
      <c r="G122" s="19">
        <v>3.7752125556926757</v>
      </c>
      <c r="I122" s="14" t="s">
        <v>23</v>
      </c>
      <c r="J122" s="41">
        <v>20</v>
      </c>
      <c r="K122" s="95"/>
      <c r="L122" s="40" t="s">
        <v>9</v>
      </c>
      <c r="M122" s="97"/>
      <c r="N122" s="99"/>
      <c r="O122" s="97"/>
      <c r="Q122" s="14" t="s">
        <v>75</v>
      </c>
      <c r="R122" s="21">
        <f>IF(J122=16,201,IF(J122=20,314,IF(J122=25,490,"Err")))</f>
        <v>314</v>
      </c>
      <c r="S122" s="16" t="s">
        <v>25</v>
      </c>
    </row>
    <row r="123" spans="1:19" x14ac:dyDescent="0.25">
      <c r="A123" s="20" t="s">
        <v>39</v>
      </c>
      <c r="B123" s="13"/>
      <c r="C123" s="64">
        <v>-317.31817625196015</v>
      </c>
      <c r="D123" s="18">
        <v>6.3844292123981183E-2</v>
      </c>
      <c r="E123" s="18">
        <v>332.0689046608814</v>
      </c>
      <c r="F123" s="17">
        <v>-553.86994304831069</v>
      </c>
      <c r="G123" s="19">
        <v>0.54448024750456936</v>
      </c>
      <c r="I123" s="14" t="s">
        <v>40</v>
      </c>
      <c r="J123" s="24">
        <f>MAX(rhoMin,(K123*R122/(B116*B119)))</f>
        <v>1.1395161290322581E-2</v>
      </c>
      <c r="K123" s="15">
        <v>9</v>
      </c>
      <c r="L123" s="39">
        <f>IF(M123&lt;2,(B116-(2*(J116+clrCover))-(K123*J122))/(K123-1),(B116-(2*(J116+clrCover))-(N123*J122))/((N123)-1))</f>
        <v>50</v>
      </c>
      <c r="M123" s="15">
        <v>2</v>
      </c>
      <c r="N123" s="22">
        <f>IF(M123&lt;2,K123,CEILING(K123/2,1))</f>
        <v>5</v>
      </c>
      <c r="O123" s="22">
        <f>K123-N123</f>
        <v>4</v>
      </c>
      <c r="Q123" s="37" t="s">
        <v>74</v>
      </c>
      <c r="R123" s="38">
        <f>rhoMin*B116*B119</f>
        <v>818.40000000000009</v>
      </c>
      <c r="S123" s="22">
        <f>ROUNDUP(R123/R122,0)</f>
        <v>3</v>
      </c>
    </row>
    <row r="124" spans="1:19" x14ac:dyDescent="0.25">
      <c r="A124" s="12" t="s">
        <v>26</v>
      </c>
      <c r="B124" s="49">
        <f>B117-clrCover-J116-(IF(M126&gt;1,1.5*J125,0.5*J125))</f>
        <v>640</v>
      </c>
      <c r="C124" s="64">
        <v>-17.927297956251547</v>
      </c>
      <c r="D124" s="18">
        <v>-0.77272040535509268</v>
      </c>
      <c r="E124" s="18">
        <v>14.631146566369425</v>
      </c>
      <c r="F124" s="17">
        <v>240.81409179390914</v>
      </c>
      <c r="G124" s="19">
        <v>-0.42304243508460959</v>
      </c>
      <c r="I124" s="90" t="s">
        <v>69</v>
      </c>
      <c r="J124" s="91"/>
      <c r="K124" s="96" t="s">
        <v>35</v>
      </c>
      <c r="L124" s="66" t="s">
        <v>36</v>
      </c>
      <c r="M124" s="96" t="s">
        <v>37</v>
      </c>
      <c r="N124" s="98" t="s">
        <v>38</v>
      </c>
      <c r="O124" s="96" t="s">
        <v>72</v>
      </c>
      <c r="R124" s="36"/>
    </row>
    <row r="125" spans="1:19" x14ac:dyDescent="0.25">
      <c r="A125" s="12" t="s">
        <v>27</v>
      </c>
      <c r="B125" s="50">
        <f>K126*R125</f>
        <v>1256</v>
      </c>
      <c r="C125" s="64">
        <v>993.08944003542024</v>
      </c>
      <c r="D125" s="18">
        <v>66.099875674143078</v>
      </c>
      <c r="E125" s="18">
        <v>121.46301847488265</v>
      </c>
      <c r="F125" s="18">
        <v>42.03821322442559</v>
      </c>
      <c r="G125" s="17">
        <v>-51.661388184651202</v>
      </c>
      <c r="I125" s="14" t="s">
        <v>23</v>
      </c>
      <c r="J125" s="41">
        <v>20</v>
      </c>
      <c r="K125" s="97"/>
      <c r="L125" s="40" t="s">
        <v>9</v>
      </c>
      <c r="M125" s="97"/>
      <c r="N125" s="99"/>
      <c r="O125" s="97"/>
      <c r="Q125" s="14" t="s">
        <v>75</v>
      </c>
      <c r="R125" s="21">
        <f>IF(J125=16,201,IF(J125=20,314,IF(J125=25,490,"Err")))</f>
        <v>314</v>
      </c>
      <c r="S125" s="16" t="s">
        <v>25</v>
      </c>
    </row>
    <row r="126" spans="1:19" x14ac:dyDescent="0.25">
      <c r="A126" s="27" t="s">
        <v>28</v>
      </c>
      <c r="B126" s="52">
        <f>phi*B116*(B124^2)*J126*fy*(1-(0.588*J126*fy/fc))/1000000</f>
        <v>286.26199934745597</v>
      </c>
      <c r="C126" s="53">
        <v>-1071.0106528908166</v>
      </c>
      <c r="D126" s="28">
        <v>-55.31405649609551</v>
      </c>
      <c r="E126" s="28">
        <v>185.72481015160673</v>
      </c>
      <c r="F126" s="28">
        <v>-168.30570420603775</v>
      </c>
      <c r="G126" s="17">
        <v>44.201532996496546</v>
      </c>
      <c r="I126" s="14" t="s">
        <v>40</v>
      </c>
      <c r="J126" s="24">
        <f>MAX(rhoMin,(K126*R125/(B116*B124)))</f>
        <v>4.90625E-3</v>
      </c>
      <c r="K126" s="15">
        <v>4</v>
      </c>
      <c r="L126" s="21">
        <f>IF(M126&lt;2,(B116-(2*(J116+clrCover))-(K126*J125))/(K126-1),(B116-(2*(J116+clrCover))-(N126*J125))/((N126)-1))</f>
        <v>73.333333333333329</v>
      </c>
      <c r="M126" s="15">
        <v>1</v>
      </c>
      <c r="N126" s="22">
        <f>IF(M126&lt;2,K126,CEILING(K126/2,1))</f>
        <v>4</v>
      </c>
      <c r="O126" s="22">
        <f>K126-N126</f>
        <v>0</v>
      </c>
      <c r="Q126" s="37" t="s">
        <v>74</v>
      </c>
      <c r="R126" s="38">
        <f>rhoMin*B116*B124</f>
        <v>844.80000000000007</v>
      </c>
      <c r="S126" s="22">
        <f>ROUNDUP(R126/R125,0)</f>
        <v>3</v>
      </c>
    </row>
    <row r="127" spans="1:19" x14ac:dyDescent="0.25">
      <c r="A127" s="65" t="s">
        <v>76</v>
      </c>
    </row>
    <row r="128" spans="1:19" x14ac:dyDescent="0.25">
      <c r="A128" s="62" t="s">
        <v>87</v>
      </c>
      <c r="B128" s="11" t="s">
        <v>11</v>
      </c>
      <c r="C128" s="10" t="s">
        <v>12</v>
      </c>
      <c r="D128" s="10" t="s">
        <v>13</v>
      </c>
      <c r="E128" s="10" t="s">
        <v>14</v>
      </c>
      <c r="F128" s="10" t="s">
        <v>15</v>
      </c>
      <c r="G128" s="11" t="s">
        <v>16</v>
      </c>
      <c r="H128" s="6">
        <v>125</v>
      </c>
      <c r="I128" s="90" t="s">
        <v>34</v>
      </c>
      <c r="J128" s="91"/>
      <c r="K128" s="3"/>
    </row>
    <row r="129" spans="1:19" x14ac:dyDescent="0.25">
      <c r="A129" s="12" t="s">
        <v>17</v>
      </c>
      <c r="B129" s="48">
        <v>400</v>
      </c>
      <c r="C129" s="44" t="s">
        <v>18</v>
      </c>
      <c r="D129" s="44" t="s">
        <v>18</v>
      </c>
      <c r="E129" s="44" t="s">
        <v>18</v>
      </c>
      <c r="F129" s="44" t="s">
        <v>19</v>
      </c>
      <c r="G129" s="45" t="s">
        <v>19</v>
      </c>
      <c r="H129" s="6">
        <v>150</v>
      </c>
      <c r="I129" s="14" t="s">
        <v>20</v>
      </c>
      <c r="J129" s="15">
        <v>10</v>
      </c>
      <c r="K129" s="16" t="s">
        <v>9</v>
      </c>
      <c r="L129" s="22" t="s">
        <v>29</v>
      </c>
      <c r="M129" s="22" t="s">
        <v>30</v>
      </c>
      <c r="N129" s="22" t="s">
        <v>31</v>
      </c>
      <c r="O129" s="22" t="s">
        <v>32</v>
      </c>
      <c r="P129" s="3"/>
    </row>
    <row r="130" spans="1:19" x14ac:dyDescent="0.25">
      <c r="A130" s="12" t="s">
        <v>22</v>
      </c>
      <c r="B130" s="48">
        <v>700</v>
      </c>
      <c r="C130" s="17">
        <v>-66.9696391135532</v>
      </c>
      <c r="D130" s="63">
        <v>2.9734426858951251</v>
      </c>
      <c r="E130" s="63">
        <v>0</v>
      </c>
      <c r="F130" s="63">
        <v>-178.46510972306041</v>
      </c>
      <c r="G130" s="54">
        <v>0</v>
      </c>
      <c r="H130" s="6">
        <v>175</v>
      </c>
      <c r="I130" s="56"/>
      <c r="J130" s="57"/>
      <c r="K130" s="58"/>
      <c r="L130" s="92" t="s">
        <v>1</v>
      </c>
      <c r="M130" s="93"/>
      <c r="N130" s="22" t="s">
        <v>35</v>
      </c>
      <c r="O130" s="22" t="s">
        <v>9</v>
      </c>
    </row>
    <row r="131" spans="1:19" x14ac:dyDescent="0.25">
      <c r="A131" s="20" t="s">
        <v>24</v>
      </c>
      <c r="B131" s="13"/>
      <c r="C131" s="17">
        <v>48.573102323063644</v>
      </c>
      <c r="D131" s="18">
        <v>0</v>
      </c>
      <c r="E131" s="18">
        <v>-43.262936218521865</v>
      </c>
      <c r="F131" s="18">
        <v>0</v>
      </c>
      <c r="G131" s="19">
        <v>-4.2582319636769537</v>
      </c>
      <c r="H131" s="6">
        <v>200</v>
      </c>
      <c r="I131" s="59" t="s">
        <v>70</v>
      </c>
      <c r="J131" s="60"/>
      <c r="K131" s="61"/>
      <c r="L131" s="25">
        <f>MAX(ABS(E134),ABS(E135))*1000/(B132*B129)</f>
        <v>1.0542709586548313</v>
      </c>
      <c r="M131" s="25">
        <f>L131-phiVc</f>
        <v>0.39176152475973569</v>
      </c>
      <c r="N131" s="26">
        <f>M131*O131*B129/(phiV*fys*0.25*PI()*(J129^2))</f>
        <v>0.96738184810635441</v>
      </c>
      <c r="O131" s="15">
        <v>100</v>
      </c>
    </row>
    <row r="132" spans="1:19" x14ac:dyDescent="0.25">
      <c r="A132" s="12" t="s">
        <v>26</v>
      </c>
      <c r="B132" s="49">
        <f>B130-clrCover-J129-(IF(M136&gt;1,1.5*J138,0.5*J138))</f>
        <v>620</v>
      </c>
      <c r="C132" s="64">
        <v>-37.070224108892802</v>
      </c>
      <c r="D132" s="17">
        <v>-6.9099170372084266</v>
      </c>
      <c r="E132" s="18">
        <v>100.61098188695165</v>
      </c>
      <c r="F132" s="18">
        <v>-68.123005727829792</v>
      </c>
      <c r="G132" s="19">
        <v>2.7278073764617874</v>
      </c>
      <c r="H132" s="6">
        <v>250</v>
      </c>
      <c r="I132" s="59" t="s">
        <v>71</v>
      </c>
      <c r="J132" s="60"/>
      <c r="K132" s="61"/>
      <c r="L132" s="25">
        <f>MAX(ABS(E134),ABS(E135))*1000/(B137*B129)</f>
        <v>1.0213249911968678</v>
      </c>
      <c r="M132" s="25">
        <f>L132-phiVc</f>
        <v>0.35881555730177217</v>
      </c>
      <c r="N132" s="26">
        <f>M132*O132*B129/(phiV*fys*0.25*PI()*(J129^2))</f>
        <v>0.88602794050482825</v>
      </c>
      <c r="O132" s="15">
        <v>100</v>
      </c>
    </row>
    <row r="133" spans="1:19" x14ac:dyDescent="0.25">
      <c r="A133" s="12" t="s">
        <v>27</v>
      </c>
      <c r="B133" s="50">
        <f>K136*R135</f>
        <v>1884</v>
      </c>
      <c r="C133" s="64">
        <v>12.877467433454662</v>
      </c>
      <c r="D133" s="17">
        <v>8.7947141455704774</v>
      </c>
      <c r="E133" s="18">
        <v>119.65001167922323</v>
      </c>
      <c r="F133" s="18">
        <v>-48.495484941614315</v>
      </c>
      <c r="G133" s="19">
        <v>-3.0314429736127071</v>
      </c>
      <c r="H133" s="6">
        <v>300</v>
      </c>
    </row>
    <row r="134" spans="1:19" x14ac:dyDescent="0.25">
      <c r="A134" s="12" t="s">
        <v>28</v>
      </c>
      <c r="B134" s="51">
        <f>-phi*B129*(B132^2)*J136*fy*(1-(0.588*J136*fy/fc))/1000000</f>
        <v>-405.41684253177601</v>
      </c>
      <c r="C134" s="64">
        <v>-7.0053618431640228</v>
      </c>
      <c r="D134" s="18">
        <v>0.10022301545408374</v>
      </c>
      <c r="E134" s="17">
        <v>-249.4550478208526</v>
      </c>
      <c r="F134" s="18">
        <v>-350.30815553858923</v>
      </c>
      <c r="G134" s="19">
        <v>-0.27613829140797125</v>
      </c>
      <c r="I134" s="90" t="s">
        <v>68</v>
      </c>
      <c r="J134" s="91"/>
      <c r="K134" s="94" t="s">
        <v>35</v>
      </c>
      <c r="L134" s="66" t="s">
        <v>36</v>
      </c>
      <c r="M134" s="96" t="s">
        <v>37</v>
      </c>
      <c r="N134" s="98" t="s">
        <v>38</v>
      </c>
      <c r="O134" s="96" t="s">
        <v>72</v>
      </c>
      <c r="Q134" s="34" t="s">
        <v>73</v>
      </c>
    </row>
    <row r="135" spans="1:19" x14ac:dyDescent="0.25">
      <c r="A135" s="23" t="s">
        <v>33</v>
      </c>
      <c r="B135" s="13"/>
      <c r="C135" s="64">
        <v>-33.242344874623569</v>
      </c>
      <c r="D135" s="18">
        <v>3.0775935398386989</v>
      </c>
      <c r="E135" s="17">
        <v>261.45919774639816</v>
      </c>
      <c r="F135" s="18">
        <v>-376.81948191773353</v>
      </c>
      <c r="G135" s="19">
        <v>2.4164567017176606</v>
      </c>
      <c r="I135" s="14" t="s">
        <v>23</v>
      </c>
      <c r="J135" s="41">
        <v>20</v>
      </c>
      <c r="K135" s="95"/>
      <c r="L135" s="40" t="s">
        <v>9</v>
      </c>
      <c r="M135" s="97"/>
      <c r="N135" s="99"/>
      <c r="O135" s="97"/>
      <c r="Q135" s="14" t="s">
        <v>75</v>
      </c>
      <c r="R135" s="21">
        <f>IF(J135=16,201,IF(J135=20,314,IF(J135=25,490,"Err")))</f>
        <v>314</v>
      </c>
      <c r="S135" s="16" t="s">
        <v>25</v>
      </c>
    </row>
    <row r="136" spans="1:19" x14ac:dyDescent="0.25">
      <c r="A136" s="20" t="s">
        <v>39</v>
      </c>
      <c r="B136" s="13"/>
      <c r="C136" s="64">
        <v>-66.9696391135532</v>
      </c>
      <c r="D136" s="18">
        <v>2.9734426858951251</v>
      </c>
      <c r="E136" s="18">
        <v>206.84180303673736</v>
      </c>
      <c r="F136" s="17">
        <v>-381.28488603490473</v>
      </c>
      <c r="G136" s="19">
        <v>2.6043409439931011</v>
      </c>
      <c r="I136" s="14" t="s">
        <v>40</v>
      </c>
      <c r="J136" s="24">
        <f>MAX(rhoMin,(K136*R135/(B129*B132)))</f>
        <v>7.5967741935483871E-3</v>
      </c>
      <c r="K136" s="15">
        <v>6</v>
      </c>
      <c r="L136" s="39">
        <f>IF(M136&lt;2,(B129-(2*(J129+clrCover))-(K136*J135))/(K136-1),(B129-(2*(J129+clrCover))-(N136*J135))/((N136)-1))</f>
        <v>120</v>
      </c>
      <c r="M136" s="15">
        <v>2</v>
      </c>
      <c r="N136" s="22">
        <f>IF(M136&lt;2,K136,CEILING(K136/2,1))</f>
        <v>3</v>
      </c>
      <c r="O136" s="22">
        <f>K136-N136</f>
        <v>3</v>
      </c>
      <c r="Q136" s="37" t="s">
        <v>74</v>
      </c>
      <c r="R136" s="38">
        <f>rhoMin*B129*B132</f>
        <v>818.40000000000009</v>
      </c>
      <c r="S136" s="22">
        <f>ROUNDUP(R136/R135,0)</f>
        <v>3</v>
      </c>
    </row>
    <row r="137" spans="1:19" x14ac:dyDescent="0.25">
      <c r="A137" s="12" t="s">
        <v>26</v>
      </c>
      <c r="B137" s="49">
        <f>B130-clrCover-J129-(IF(M139&gt;1,1.5*J138,0.5*J138))</f>
        <v>640</v>
      </c>
      <c r="C137" s="64">
        <v>-2.7443430437956882</v>
      </c>
      <c r="D137" s="18">
        <v>0.52923466454013901</v>
      </c>
      <c r="E137" s="18">
        <v>46.197828738066143</v>
      </c>
      <c r="F137" s="17">
        <v>200.16676390838731</v>
      </c>
      <c r="G137" s="19">
        <v>-0.53598563425631585</v>
      </c>
      <c r="I137" s="90" t="s">
        <v>69</v>
      </c>
      <c r="J137" s="91"/>
      <c r="K137" s="96" t="s">
        <v>35</v>
      </c>
      <c r="L137" s="66" t="s">
        <v>36</v>
      </c>
      <c r="M137" s="96" t="s">
        <v>37</v>
      </c>
      <c r="N137" s="98" t="s">
        <v>38</v>
      </c>
      <c r="O137" s="96" t="s">
        <v>72</v>
      </c>
      <c r="R137" s="36"/>
    </row>
    <row r="138" spans="1:19" x14ac:dyDescent="0.25">
      <c r="A138" s="12" t="s">
        <v>27</v>
      </c>
      <c r="B138" s="50">
        <f>K139*R138</f>
        <v>942</v>
      </c>
      <c r="C138" s="64">
        <v>-37.070224108892802</v>
      </c>
      <c r="D138" s="18">
        <v>-6.9099170372084266</v>
      </c>
      <c r="E138" s="18">
        <v>112.1700754376174</v>
      </c>
      <c r="F138" s="18">
        <v>-176.48177222762266</v>
      </c>
      <c r="G138" s="17">
        <v>-4.3099439739856384</v>
      </c>
      <c r="I138" s="14" t="s">
        <v>23</v>
      </c>
      <c r="J138" s="41">
        <v>20</v>
      </c>
      <c r="K138" s="97"/>
      <c r="L138" s="40" t="s">
        <v>9</v>
      </c>
      <c r="M138" s="97"/>
      <c r="N138" s="99"/>
      <c r="O138" s="97"/>
      <c r="Q138" s="14" t="s">
        <v>75</v>
      </c>
      <c r="R138" s="21">
        <f>IF(J138=16,201,IF(J138=20,314,IF(J138=25,490,"Err")))</f>
        <v>314</v>
      </c>
      <c r="S138" s="16" t="s">
        <v>25</v>
      </c>
    </row>
    <row r="139" spans="1:19" x14ac:dyDescent="0.25">
      <c r="A139" s="27" t="s">
        <v>28</v>
      </c>
      <c r="B139" s="52">
        <f>phi*B129*(B137^2)*J139*fy*(1-(0.588*J139*fy/fc))/1000000</f>
        <v>217.18064663294399</v>
      </c>
      <c r="C139" s="53">
        <v>12.877467433454662</v>
      </c>
      <c r="D139" s="28">
        <v>8.7947141455704774</v>
      </c>
      <c r="E139" s="28">
        <v>135.06213641344425</v>
      </c>
      <c r="F139" s="28">
        <v>-178.20766198815215</v>
      </c>
      <c r="G139" s="17">
        <v>5.9259744630216682</v>
      </c>
      <c r="I139" s="14" t="s">
        <v>40</v>
      </c>
      <c r="J139" s="24">
        <f>MAX(rhoMin,(K139*R138/(B129*B137)))</f>
        <v>3.6796874999999998E-3</v>
      </c>
      <c r="K139" s="15">
        <v>3</v>
      </c>
      <c r="L139" s="21">
        <f>IF(M139&lt;2,(B129-(2*(J129+clrCover))-(K139*J138))/(K139-1),(B129-(2*(J129+clrCover))-(N139*J138))/((N139)-1))</f>
        <v>120</v>
      </c>
      <c r="M139" s="15">
        <v>1</v>
      </c>
      <c r="N139" s="22">
        <f>IF(M139&lt;2,K139,CEILING(K139/2,1))</f>
        <v>3</v>
      </c>
      <c r="O139" s="22">
        <f>K139-N139</f>
        <v>0</v>
      </c>
      <c r="Q139" s="37" t="s">
        <v>74</v>
      </c>
      <c r="R139" s="38">
        <f>rhoMin*B129*B137</f>
        <v>844.80000000000007</v>
      </c>
      <c r="S139" s="22">
        <f>ROUNDUP(R139/R138,0)</f>
        <v>3</v>
      </c>
    </row>
    <row r="140" spans="1:19" x14ac:dyDescent="0.25">
      <c r="A140" s="65" t="s">
        <v>76</v>
      </c>
    </row>
    <row r="141" spans="1:19" x14ac:dyDescent="0.25">
      <c r="A141" s="62" t="s">
        <v>77</v>
      </c>
      <c r="B141" s="11" t="s">
        <v>11</v>
      </c>
      <c r="C141" s="10" t="s">
        <v>12</v>
      </c>
      <c r="D141" s="10" t="s">
        <v>13</v>
      </c>
      <c r="E141" s="10" t="s">
        <v>14</v>
      </c>
      <c r="F141" s="10" t="s">
        <v>15</v>
      </c>
      <c r="G141" s="11" t="s">
        <v>16</v>
      </c>
      <c r="H141" s="6">
        <v>125</v>
      </c>
      <c r="I141" s="90" t="s">
        <v>34</v>
      </c>
      <c r="J141" s="91"/>
      <c r="K141" s="3"/>
    </row>
    <row r="142" spans="1:19" x14ac:dyDescent="0.25">
      <c r="A142" s="12" t="s">
        <v>17</v>
      </c>
      <c r="B142" s="48">
        <v>300</v>
      </c>
      <c r="C142" s="44" t="s">
        <v>18</v>
      </c>
      <c r="D142" s="44" t="s">
        <v>18</v>
      </c>
      <c r="E142" s="44" t="s">
        <v>18</v>
      </c>
      <c r="F142" s="44" t="s">
        <v>19</v>
      </c>
      <c r="G142" s="45" t="s">
        <v>19</v>
      </c>
      <c r="H142" s="6">
        <v>150</v>
      </c>
      <c r="I142" s="14" t="s">
        <v>20</v>
      </c>
      <c r="J142" s="15">
        <v>10</v>
      </c>
      <c r="K142" s="16" t="s">
        <v>9</v>
      </c>
      <c r="L142" s="22" t="s">
        <v>29</v>
      </c>
      <c r="M142" s="22" t="s">
        <v>30</v>
      </c>
      <c r="N142" s="22" t="s">
        <v>31</v>
      </c>
      <c r="O142" s="22" t="s">
        <v>32</v>
      </c>
      <c r="P142" s="3"/>
    </row>
    <row r="143" spans="1:19" x14ac:dyDescent="0.25">
      <c r="A143" s="12" t="s">
        <v>22</v>
      </c>
      <c r="B143" s="48">
        <v>400</v>
      </c>
      <c r="C143" s="17">
        <v>-24.760395549338629</v>
      </c>
      <c r="D143" s="63">
        <v>-0.23179571126525036</v>
      </c>
      <c r="E143" s="63">
        <v>0</v>
      </c>
      <c r="F143" s="63">
        <v>-96.77069121224379</v>
      </c>
      <c r="G143" s="54">
        <v>0</v>
      </c>
      <c r="H143" s="6">
        <v>175</v>
      </c>
      <c r="I143" s="56"/>
      <c r="J143" s="57"/>
      <c r="K143" s="58"/>
      <c r="L143" s="92" t="s">
        <v>1</v>
      </c>
      <c r="M143" s="93"/>
      <c r="N143" s="22" t="s">
        <v>35</v>
      </c>
      <c r="O143" s="22" t="s">
        <v>9</v>
      </c>
    </row>
    <row r="144" spans="1:19" x14ac:dyDescent="0.25">
      <c r="A144" s="20" t="s">
        <v>24</v>
      </c>
      <c r="B144" s="13"/>
      <c r="C144" s="17">
        <v>92.814516835733016</v>
      </c>
      <c r="D144" s="18">
        <v>0</v>
      </c>
      <c r="E144" s="18">
        <v>-55.472054124566476</v>
      </c>
      <c r="F144" s="18">
        <v>0</v>
      </c>
      <c r="G144" s="19">
        <v>-8.444156051408612</v>
      </c>
      <c r="H144" s="6">
        <v>200</v>
      </c>
      <c r="I144" s="59" t="s">
        <v>70</v>
      </c>
      <c r="J144" s="60"/>
      <c r="K144" s="61"/>
      <c r="L144" s="25">
        <f>MAX(ABS(E147),ABS(E148))*1000/(B145*B142)</f>
        <v>0.87041852244526896</v>
      </c>
      <c r="M144" s="25">
        <f>L144-phiVc</f>
        <v>0.20790908855017332</v>
      </c>
      <c r="N144" s="26">
        <f>M144*O144*B142/(phiV*fys*0.25*PI()*(J142^2))</f>
        <v>0.38504447018461863</v>
      </c>
      <c r="O144" s="15">
        <v>100</v>
      </c>
    </row>
    <row r="145" spans="1:19" x14ac:dyDescent="0.25">
      <c r="A145" s="12" t="s">
        <v>26</v>
      </c>
      <c r="B145" s="49">
        <f>B143-clrCover-J142-(IF(M149&gt;1,1.5*J148,0.5*J148))</f>
        <v>340</v>
      </c>
      <c r="C145" s="64">
        <v>81.635256876145689</v>
      </c>
      <c r="D145" s="17">
        <v>-2.4197958271527717</v>
      </c>
      <c r="E145" s="18">
        <v>-58.270102391232342</v>
      </c>
      <c r="F145" s="18">
        <v>-47.940987994078071</v>
      </c>
      <c r="G145" s="19">
        <v>5.5432473678487018</v>
      </c>
      <c r="H145" s="6">
        <v>250</v>
      </c>
      <c r="I145" s="59" t="s">
        <v>71</v>
      </c>
      <c r="J145" s="60"/>
      <c r="K145" s="61"/>
      <c r="L145" s="25">
        <f>MAX(ABS(E147),ABS(E148))*1000/(B150*B142)</f>
        <v>0.87041852244526896</v>
      </c>
      <c r="M145" s="25">
        <f>L145-phiVc</f>
        <v>0.20790908855017332</v>
      </c>
      <c r="N145" s="26">
        <f>M145*O145*B142/(phiV*fys*0.25*PI()*(J142^2))</f>
        <v>0.38504447018461863</v>
      </c>
      <c r="O145" s="15">
        <v>100</v>
      </c>
    </row>
    <row r="146" spans="1:19" x14ac:dyDescent="0.25">
      <c r="A146" s="12" t="s">
        <v>27</v>
      </c>
      <c r="B146" s="50">
        <f>K149*R148</f>
        <v>1256</v>
      </c>
      <c r="C146" s="64">
        <v>92.814516835733016</v>
      </c>
      <c r="D146" s="17">
        <v>3.7417549699096839</v>
      </c>
      <c r="E146" s="18">
        <v>-55.472054124566476</v>
      </c>
      <c r="F146" s="18">
        <v>-44.387500361698265</v>
      </c>
      <c r="G146" s="19">
        <v>-8.444156051408612</v>
      </c>
      <c r="H146" s="6">
        <v>300</v>
      </c>
    </row>
    <row r="147" spans="1:19" x14ac:dyDescent="0.25">
      <c r="A147" s="12" t="s">
        <v>28</v>
      </c>
      <c r="B147" s="51">
        <f>-phi*B142*(B145^2)*J149*fy*(1-(0.588*J149*fy/fc))/1000000</f>
        <v>-141.45005779660801</v>
      </c>
      <c r="C147" s="64">
        <v>-18.278422867982052</v>
      </c>
      <c r="D147" s="18">
        <v>-0.18930971843733183</v>
      </c>
      <c r="E147" s="17">
        <v>-88.782689289417434</v>
      </c>
      <c r="F147" s="18">
        <v>-112.74091802833387</v>
      </c>
      <c r="G147" s="19">
        <v>1.0044451187215879</v>
      </c>
      <c r="I147" s="90" t="s">
        <v>68</v>
      </c>
      <c r="J147" s="91"/>
      <c r="K147" s="94" t="s">
        <v>35</v>
      </c>
      <c r="L147" s="67" t="s">
        <v>36</v>
      </c>
      <c r="M147" s="96" t="s">
        <v>37</v>
      </c>
      <c r="N147" s="98" t="s">
        <v>38</v>
      </c>
      <c r="O147" s="96" t="s">
        <v>72</v>
      </c>
      <c r="Q147" s="34" t="s">
        <v>73</v>
      </c>
    </row>
    <row r="148" spans="1:19" x14ac:dyDescent="0.25">
      <c r="A148" s="23" t="s">
        <v>33</v>
      </c>
      <c r="B148" s="13"/>
      <c r="C148" s="64">
        <v>-20.513182171436739</v>
      </c>
      <c r="D148" s="18">
        <v>-0.29221817853825988</v>
      </c>
      <c r="E148" s="17">
        <v>85.226813893973173</v>
      </c>
      <c r="F148" s="18">
        <v>-99.703327332253068</v>
      </c>
      <c r="G148" s="19">
        <v>-0.96440405186105971</v>
      </c>
      <c r="I148" s="14" t="s">
        <v>23</v>
      </c>
      <c r="J148" s="41">
        <v>20</v>
      </c>
      <c r="K148" s="95"/>
      <c r="L148" s="40" t="s">
        <v>9</v>
      </c>
      <c r="M148" s="97"/>
      <c r="N148" s="99"/>
      <c r="O148" s="97"/>
      <c r="Q148" s="14" t="s">
        <v>75</v>
      </c>
      <c r="R148" s="21">
        <f>IF(J148=16,201,IF(J148=20,314,IF(J148=25,490,"Err")))</f>
        <v>314</v>
      </c>
      <c r="S148" s="16" t="s">
        <v>25</v>
      </c>
    </row>
    <row r="149" spans="1:19" x14ac:dyDescent="0.25">
      <c r="A149" s="20" t="s">
        <v>39</v>
      </c>
      <c r="B149" s="13"/>
      <c r="C149" s="64">
        <v>-5.567709956344812</v>
      </c>
      <c r="D149" s="18">
        <v>-4.3480303599404177E-2</v>
      </c>
      <c r="E149" s="18">
        <v>-80.182478193046535</v>
      </c>
      <c r="F149" s="17">
        <v>-114.57341410165182</v>
      </c>
      <c r="G149" s="19">
        <v>0.996578126360677</v>
      </c>
      <c r="I149" s="14" t="s">
        <v>40</v>
      </c>
      <c r="J149" s="24">
        <f>MAX(rhoMin,(K149*R148/(B142*B145)))</f>
        <v>1.2313725490196079E-2</v>
      </c>
      <c r="K149" s="15">
        <v>4</v>
      </c>
      <c r="L149" s="39">
        <f>IF(M149&lt;2,(B142-(2*(J142+clrCover))-(K149*J148))/(K149-1),(B142-(2*(J142+clrCover))-(N149*J148))/((N149)-1))</f>
        <v>40</v>
      </c>
      <c r="M149" s="15">
        <v>1</v>
      </c>
      <c r="N149" s="22">
        <f>IF(M149&lt;2,K149,CEILING(K149/2,1))</f>
        <v>4</v>
      </c>
      <c r="O149" s="22">
        <f>K149-N149</f>
        <v>0</v>
      </c>
      <c r="Q149" s="37" t="s">
        <v>74</v>
      </c>
      <c r="R149" s="38">
        <f>rhoMin*B142*B145</f>
        <v>336.6</v>
      </c>
      <c r="S149" s="22">
        <f>ROUNDUP(R149/R148,0)</f>
        <v>2</v>
      </c>
    </row>
    <row r="150" spans="1:19" x14ac:dyDescent="0.25">
      <c r="A150" s="12" t="s">
        <v>26</v>
      </c>
      <c r="B150" s="49">
        <f>B143-clrCover-J142-(IF(M152&gt;1,1.5*J151,0.5*J151))</f>
        <v>340</v>
      </c>
      <c r="C150" s="64">
        <v>-20.513182171436739</v>
      </c>
      <c r="D150" s="18">
        <v>-0.26791234451608525</v>
      </c>
      <c r="E150" s="18">
        <v>-1.6777014636689211</v>
      </c>
      <c r="F150" s="17">
        <v>52.804681424017701</v>
      </c>
      <c r="G150" s="19">
        <v>5.8041169036848403E-2</v>
      </c>
      <c r="I150" s="90" t="s">
        <v>69</v>
      </c>
      <c r="J150" s="91"/>
      <c r="K150" s="96" t="s">
        <v>35</v>
      </c>
      <c r="L150" s="67" t="s">
        <v>36</v>
      </c>
      <c r="M150" s="96" t="s">
        <v>37</v>
      </c>
      <c r="N150" s="98" t="s">
        <v>38</v>
      </c>
      <c r="O150" s="96" t="s">
        <v>72</v>
      </c>
      <c r="R150" s="36"/>
    </row>
    <row r="151" spans="1:19" x14ac:dyDescent="0.25">
      <c r="A151" s="12" t="s">
        <v>27</v>
      </c>
      <c r="B151" s="50">
        <f>K152*R151</f>
        <v>628</v>
      </c>
      <c r="C151" s="64">
        <v>92.814516835733016</v>
      </c>
      <c r="D151" s="18">
        <v>3.7417549699096839</v>
      </c>
      <c r="E151" s="18">
        <v>-55.472054124566476</v>
      </c>
      <c r="F151" s="18">
        <v>-44.387500361698265</v>
      </c>
      <c r="G151" s="17">
        <v>-8.444156051408612</v>
      </c>
      <c r="I151" s="14" t="s">
        <v>23</v>
      </c>
      <c r="J151" s="41">
        <v>20</v>
      </c>
      <c r="K151" s="97"/>
      <c r="L151" s="40" t="s">
        <v>9</v>
      </c>
      <c r="M151" s="97"/>
      <c r="N151" s="99"/>
      <c r="O151" s="97"/>
      <c r="Q151" s="14" t="s">
        <v>75</v>
      </c>
      <c r="R151" s="21">
        <f>IF(J151=16,201,IF(J151=20,314,IF(J151=25,490,"Err")))</f>
        <v>314</v>
      </c>
      <c r="S151" s="16" t="s">
        <v>25</v>
      </c>
    </row>
    <row r="152" spans="1:19" x14ac:dyDescent="0.25">
      <c r="A152" s="27" t="s">
        <v>28</v>
      </c>
      <c r="B152" s="52">
        <f>phi*B142*(B150^2)*J152*fy*(1-(0.588*J152*fy/fc))/1000000</f>
        <v>75.141290449151995</v>
      </c>
      <c r="C152" s="53">
        <v>92.814516835733016</v>
      </c>
      <c r="D152" s="28">
        <v>3.7417549699096839</v>
      </c>
      <c r="E152" s="28">
        <v>48.951037125718315</v>
      </c>
      <c r="F152" s="28">
        <v>-30.06519542158075</v>
      </c>
      <c r="G152" s="17">
        <v>7.992100961788136</v>
      </c>
      <c r="I152" s="14" t="s">
        <v>40</v>
      </c>
      <c r="J152" s="24">
        <f>MAX(rhoMin,(K152*R151/(B142*B150)))</f>
        <v>6.1568627450980396E-3</v>
      </c>
      <c r="K152" s="15">
        <v>2</v>
      </c>
      <c r="L152" s="21">
        <f>IF(M152&lt;2,(B142-(2*(J142+clrCover))-(K152*J151))/(K152-1),(B142-(2*(J142+clrCover))-(N152*J151))/((N152)-1))</f>
        <v>160</v>
      </c>
      <c r="M152" s="15">
        <v>1</v>
      </c>
      <c r="N152" s="22">
        <f>IF(M152&lt;2,K152,CEILING(K152/2,1))</f>
        <v>2</v>
      </c>
      <c r="O152" s="22">
        <f>K152-N152</f>
        <v>0</v>
      </c>
      <c r="Q152" s="37" t="s">
        <v>74</v>
      </c>
      <c r="R152" s="38">
        <f>rhoMin*B142*B150</f>
        <v>336.6</v>
      </c>
      <c r="S152" s="22">
        <f>ROUNDUP(R152/R151,0)</f>
        <v>2</v>
      </c>
    </row>
    <row r="153" spans="1:19" x14ac:dyDescent="0.25">
      <c r="A153" s="65" t="s">
        <v>76</v>
      </c>
    </row>
    <row r="154" spans="1:19" x14ac:dyDescent="0.25">
      <c r="A154" s="62" t="s">
        <v>78</v>
      </c>
      <c r="B154" s="11" t="s">
        <v>11</v>
      </c>
      <c r="C154" s="10" t="s">
        <v>12</v>
      </c>
      <c r="D154" s="10" t="s">
        <v>13</v>
      </c>
      <c r="E154" s="10" t="s">
        <v>14</v>
      </c>
      <c r="F154" s="10" t="s">
        <v>15</v>
      </c>
      <c r="G154" s="11" t="s">
        <v>16</v>
      </c>
      <c r="H154" s="6">
        <v>125</v>
      </c>
      <c r="I154" s="90" t="s">
        <v>34</v>
      </c>
      <c r="J154" s="91"/>
      <c r="K154" s="3"/>
    </row>
    <row r="155" spans="1:19" x14ac:dyDescent="0.25">
      <c r="A155" s="12" t="s">
        <v>17</v>
      </c>
      <c r="B155" s="48">
        <v>300</v>
      </c>
      <c r="C155" s="44" t="s">
        <v>18</v>
      </c>
      <c r="D155" s="44" t="s">
        <v>18</v>
      </c>
      <c r="E155" s="44" t="s">
        <v>18</v>
      </c>
      <c r="F155" s="44" t="s">
        <v>19</v>
      </c>
      <c r="G155" s="45" t="s">
        <v>19</v>
      </c>
      <c r="H155" s="6">
        <v>150</v>
      </c>
      <c r="I155" s="14" t="s">
        <v>20</v>
      </c>
      <c r="J155" s="15">
        <v>10</v>
      </c>
      <c r="K155" s="16" t="s">
        <v>9</v>
      </c>
      <c r="L155" s="22" t="s">
        <v>29</v>
      </c>
      <c r="M155" s="22" t="s">
        <v>30</v>
      </c>
      <c r="N155" s="22" t="s">
        <v>31</v>
      </c>
      <c r="O155" s="22" t="s">
        <v>32</v>
      </c>
      <c r="P155" s="3"/>
    </row>
    <row r="156" spans="1:19" x14ac:dyDescent="0.25">
      <c r="A156" s="12" t="s">
        <v>22</v>
      </c>
      <c r="B156" s="48">
        <v>500</v>
      </c>
      <c r="C156" s="17">
        <v>-228.59500493119157</v>
      </c>
      <c r="D156" s="63">
        <v>10.684515502101997</v>
      </c>
      <c r="E156" s="63">
        <v>0</v>
      </c>
      <c r="F156" s="63">
        <v>41.389743567254477</v>
      </c>
      <c r="G156" s="54">
        <v>0</v>
      </c>
      <c r="H156" s="6">
        <v>175</v>
      </c>
      <c r="I156" s="56"/>
      <c r="J156" s="57"/>
      <c r="K156" s="58"/>
      <c r="L156" s="92" t="s">
        <v>1</v>
      </c>
      <c r="M156" s="93"/>
      <c r="N156" s="22" t="s">
        <v>35</v>
      </c>
      <c r="O156" s="22" t="s">
        <v>9</v>
      </c>
    </row>
    <row r="157" spans="1:19" x14ac:dyDescent="0.25">
      <c r="A157" s="20" t="s">
        <v>24</v>
      </c>
      <c r="B157" s="13"/>
      <c r="C157" s="17">
        <v>193.30740185932467</v>
      </c>
      <c r="D157" s="18">
        <v>0</v>
      </c>
      <c r="E157" s="18">
        <v>-74.879975540085269</v>
      </c>
      <c r="F157" s="18">
        <v>0</v>
      </c>
      <c r="G157" s="19">
        <v>8.2293601908649343</v>
      </c>
      <c r="H157" s="6">
        <v>200</v>
      </c>
      <c r="I157" s="59" t="s">
        <v>70</v>
      </c>
      <c r="J157" s="60"/>
      <c r="K157" s="61"/>
      <c r="L157" s="25">
        <f>MAX(ABS(E160),ABS(E161))*1000/(B158*B155)</f>
        <v>0.64240683323222214</v>
      </c>
      <c r="M157" s="25">
        <f>L157-phiVc</f>
        <v>-2.0102600662873504E-2</v>
      </c>
      <c r="N157" s="26">
        <f>M157*O157*B155/(phiV*fys*0.25*PI()*(J155^2))</f>
        <v>-3.7229710714167037E-2</v>
      </c>
      <c r="O157" s="15">
        <v>100</v>
      </c>
    </row>
    <row r="158" spans="1:19" x14ac:dyDescent="0.25">
      <c r="A158" s="12" t="s">
        <v>26</v>
      </c>
      <c r="B158" s="49">
        <f>B156-clrCover-J155-(IF(M162&gt;1,1.5*J161,0.5*J161))</f>
        <v>440</v>
      </c>
      <c r="C158" s="64">
        <v>21.770054114188664</v>
      </c>
      <c r="D158" s="17">
        <v>-5.6978692953666146</v>
      </c>
      <c r="E158" s="18">
        <v>40.002481491390633</v>
      </c>
      <c r="F158" s="18">
        <v>-2.8710018035035292</v>
      </c>
      <c r="G158" s="19">
        <v>1.7994451418841235</v>
      </c>
      <c r="H158" s="6">
        <v>250</v>
      </c>
      <c r="I158" s="59" t="s">
        <v>71</v>
      </c>
      <c r="J158" s="60"/>
      <c r="K158" s="61"/>
      <c r="L158" s="25">
        <f>MAX(ABS(E160),ABS(E161))*1000/(B163*B155)</f>
        <v>0.64240683323222214</v>
      </c>
      <c r="M158" s="25">
        <f>L158-phiVc</f>
        <v>-2.0102600662873504E-2</v>
      </c>
      <c r="N158" s="26">
        <f>M158*O158*B155/(phiV*fys*0.25*PI()*(J155^2))</f>
        <v>-3.7229710714167037E-2</v>
      </c>
      <c r="O158" s="15">
        <v>100</v>
      </c>
    </row>
    <row r="159" spans="1:19" x14ac:dyDescent="0.25">
      <c r="A159" s="12" t="s">
        <v>27</v>
      </c>
      <c r="B159" s="50">
        <f>K162*R161</f>
        <v>942</v>
      </c>
      <c r="C159" s="64">
        <v>-228.59500493119157</v>
      </c>
      <c r="D159" s="17">
        <v>10.684515502101997</v>
      </c>
      <c r="E159" s="18">
        <v>5.5795088635553034</v>
      </c>
      <c r="F159" s="18">
        <v>41.389743567254477</v>
      </c>
      <c r="G159" s="19">
        <v>-23.331763410726243</v>
      </c>
      <c r="H159" s="6">
        <v>300</v>
      </c>
    </row>
    <row r="160" spans="1:19" x14ac:dyDescent="0.25">
      <c r="A160" s="12" t="s">
        <v>28</v>
      </c>
      <c r="B160" s="51">
        <f>-phi*B155*(B158^2)*J162*fy*(1-(0.588*J162*fy/fc))/1000000</f>
        <v>-144.49865951059198</v>
      </c>
      <c r="C160" s="64">
        <v>183.92055864173449</v>
      </c>
      <c r="D160" s="18">
        <v>-0.17765981466108224</v>
      </c>
      <c r="E160" s="17">
        <v>-84.797701986653323</v>
      </c>
      <c r="F160" s="18">
        <v>-99.596932437457383</v>
      </c>
      <c r="G160" s="19">
        <v>3.9808842773678244</v>
      </c>
      <c r="I160" s="90" t="s">
        <v>68</v>
      </c>
      <c r="J160" s="91"/>
      <c r="K160" s="94" t="s">
        <v>35</v>
      </c>
      <c r="L160" s="67" t="s">
        <v>36</v>
      </c>
      <c r="M160" s="96" t="s">
        <v>37</v>
      </c>
      <c r="N160" s="98" t="s">
        <v>38</v>
      </c>
      <c r="O160" s="96" t="s">
        <v>72</v>
      </c>
      <c r="Q160" s="34" t="s">
        <v>73</v>
      </c>
    </row>
    <row r="161" spans="1:19" x14ac:dyDescent="0.25">
      <c r="A161" s="23" t="s">
        <v>33</v>
      </c>
      <c r="B161" s="13"/>
      <c r="C161" s="64">
        <v>26.354854405949066</v>
      </c>
      <c r="D161" s="18">
        <v>-4.3973072627710508</v>
      </c>
      <c r="E161" s="17">
        <v>76.364553770514846</v>
      </c>
      <c r="F161" s="18">
        <v>-80.960873560787178</v>
      </c>
      <c r="G161" s="19">
        <v>-3.245571386649384</v>
      </c>
      <c r="I161" s="14" t="s">
        <v>23</v>
      </c>
      <c r="J161" s="41">
        <v>20</v>
      </c>
      <c r="K161" s="95"/>
      <c r="L161" s="40" t="s">
        <v>9</v>
      </c>
      <c r="M161" s="97"/>
      <c r="N161" s="99"/>
      <c r="O161" s="97"/>
      <c r="Q161" s="14" t="s">
        <v>75</v>
      </c>
      <c r="R161" s="21">
        <f>IF(J161=16,201,IF(J161=20,314,IF(J161=25,490,"Err")))</f>
        <v>314</v>
      </c>
      <c r="S161" s="16" t="s">
        <v>25</v>
      </c>
    </row>
    <row r="162" spans="1:19" x14ac:dyDescent="0.25">
      <c r="A162" s="20" t="s">
        <v>39</v>
      </c>
      <c r="B162" s="13"/>
      <c r="C162" s="64">
        <v>-16.264717425226451</v>
      </c>
      <c r="D162" s="18">
        <v>-2.664293024580028</v>
      </c>
      <c r="E162" s="18">
        <v>-64.159584816235949</v>
      </c>
      <c r="F162" s="17">
        <v>-124.24542861330443</v>
      </c>
      <c r="G162" s="19">
        <v>1.9447279224136469</v>
      </c>
      <c r="I162" s="14" t="s">
        <v>40</v>
      </c>
      <c r="J162" s="24">
        <f>MAX(rhoMin,(K162*R161/(B155*B158)))</f>
        <v>7.136363636363636E-3</v>
      </c>
      <c r="K162" s="15">
        <v>3</v>
      </c>
      <c r="L162" s="39">
        <f>IF(M162&lt;2,(B155-(2*(J155+clrCover))-(K162*J161))/(K162-1),(B155-(2*(J155+clrCover))-(N162*J161))/((N162)-1))</f>
        <v>70</v>
      </c>
      <c r="M162" s="15">
        <v>1</v>
      </c>
      <c r="N162" s="22">
        <f>IF(M162&lt;2,K162,CEILING(K162/2,1))</f>
        <v>3</v>
      </c>
      <c r="O162" s="22">
        <f>K162-N162</f>
        <v>0</v>
      </c>
      <c r="Q162" s="37" t="s">
        <v>74</v>
      </c>
      <c r="R162" s="38">
        <f>rhoMin*B155*B158</f>
        <v>435.6</v>
      </c>
      <c r="S162" s="22">
        <f>ROUNDUP(R162/R161,0)</f>
        <v>2</v>
      </c>
    </row>
    <row r="163" spans="1:19" x14ac:dyDescent="0.25">
      <c r="A163" s="12" t="s">
        <v>26</v>
      </c>
      <c r="B163" s="49">
        <f>B156-clrCover-J155-(IF(M165&gt;1,1.5*J164,0.5*J164))</f>
        <v>440</v>
      </c>
      <c r="C163" s="64">
        <v>193.30740185932467</v>
      </c>
      <c r="D163" s="18">
        <v>-2.4999729164689124</v>
      </c>
      <c r="E163" s="18">
        <v>-27.421286247248332</v>
      </c>
      <c r="F163" s="17">
        <v>68.807784610728731</v>
      </c>
      <c r="G163" s="19">
        <v>0.35485582769303708</v>
      </c>
      <c r="I163" s="90" t="s">
        <v>69</v>
      </c>
      <c r="J163" s="91"/>
      <c r="K163" s="96" t="s">
        <v>35</v>
      </c>
      <c r="L163" s="67" t="s">
        <v>36</v>
      </c>
      <c r="M163" s="96" t="s">
        <v>37</v>
      </c>
      <c r="N163" s="98" t="s">
        <v>38</v>
      </c>
      <c r="O163" s="96" t="s">
        <v>72</v>
      </c>
      <c r="R163" s="36"/>
    </row>
    <row r="164" spans="1:19" x14ac:dyDescent="0.25">
      <c r="A164" s="12" t="s">
        <v>27</v>
      </c>
      <c r="B164" s="50">
        <f>K165*R164</f>
        <v>628</v>
      </c>
      <c r="C164" s="64">
        <v>-228.59500493119157</v>
      </c>
      <c r="D164" s="18">
        <v>10.684515502101997</v>
      </c>
      <c r="E164" s="18">
        <v>5.5795088635553034</v>
      </c>
      <c r="F164" s="18">
        <v>41.389743567254477</v>
      </c>
      <c r="G164" s="17">
        <v>-23.331763410726243</v>
      </c>
      <c r="I164" s="14" t="s">
        <v>23</v>
      </c>
      <c r="J164" s="41">
        <v>20</v>
      </c>
      <c r="K164" s="97"/>
      <c r="L164" s="40" t="s">
        <v>9</v>
      </c>
      <c r="M164" s="97"/>
      <c r="N164" s="99"/>
      <c r="O164" s="97"/>
      <c r="Q164" s="14" t="s">
        <v>75</v>
      </c>
      <c r="R164" s="21">
        <f>IF(J164=16,201,IF(J164=20,314,IF(J164=25,490,"Err")))</f>
        <v>314</v>
      </c>
      <c r="S164" s="16" t="s">
        <v>25</v>
      </c>
    </row>
    <row r="165" spans="1:19" x14ac:dyDescent="0.25">
      <c r="A165" s="27" t="s">
        <v>28</v>
      </c>
      <c r="B165" s="52">
        <f>phi*B155*(B163^2)*J165*fy*(1-(0.588*J165*fy/fc))/1000000</f>
        <v>98.540570449152</v>
      </c>
      <c r="C165" s="53">
        <v>-40.031866257353364</v>
      </c>
      <c r="D165" s="28">
        <v>8.7555030426225606</v>
      </c>
      <c r="E165" s="28">
        <v>25.444772462406437</v>
      </c>
      <c r="F165" s="28">
        <v>2.6062745257385322</v>
      </c>
      <c r="G165" s="17">
        <v>11.440365402374031</v>
      </c>
      <c r="I165" s="14" t="s">
        <v>40</v>
      </c>
      <c r="J165" s="24">
        <f>MAX(rhoMin,(K165*R164/(B155*B163)))</f>
        <v>4.7575757575757573E-3</v>
      </c>
      <c r="K165" s="15">
        <v>2</v>
      </c>
      <c r="L165" s="21">
        <f>IF(M165&lt;2,(B155-(2*(J155+clrCover))-(K165*J164))/(K165-1),(B155-(2*(J155+clrCover))-(N165*J164))/((N165)-1))</f>
        <v>160</v>
      </c>
      <c r="M165" s="15">
        <v>1</v>
      </c>
      <c r="N165" s="22">
        <f>IF(M165&lt;2,K165,CEILING(K165/2,1))</f>
        <v>2</v>
      </c>
      <c r="O165" s="22">
        <f>K165-N165</f>
        <v>0</v>
      </c>
      <c r="Q165" s="37" t="s">
        <v>74</v>
      </c>
      <c r="R165" s="38">
        <f>rhoMin*B155*B163</f>
        <v>435.6</v>
      </c>
      <c r="S165" s="22">
        <f>ROUNDUP(R165/R164,0)</f>
        <v>2</v>
      </c>
    </row>
    <row r="166" spans="1:19" x14ac:dyDescent="0.25">
      <c r="A166" s="65" t="s">
        <v>76</v>
      </c>
    </row>
    <row r="167" spans="1:19" x14ac:dyDescent="0.25">
      <c r="A167" s="62" t="s">
        <v>79</v>
      </c>
      <c r="B167" s="11" t="s">
        <v>11</v>
      </c>
      <c r="C167" s="10" t="s">
        <v>12</v>
      </c>
      <c r="D167" s="10" t="s">
        <v>13</v>
      </c>
      <c r="E167" s="10" t="s">
        <v>14</v>
      </c>
      <c r="F167" s="10" t="s">
        <v>15</v>
      </c>
      <c r="G167" s="11" t="s">
        <v>16</v>
      </c>
      <c r="H167" s="6">
        <v>125</v>
      </c>
      <c r="I167" s="90" t="s">
        <v>34</v>
      </c>
      <c r="J167" s="91"/>
      <c r="K167" s="3"/>
    </row>
    <row r="168" spans="1:19" x14ac:dyDescent="0.25">
      <c r="A168" s="12" t="s">
        <v>17</v>
      </c>
      <c r="B168" s="48">
        <v>300</v>
      </c>
      <c r="C168" s="44" t="s">
        <v>18</v>
      </c>
      <c r="D168" s="44" t="s">
        <v>18</v>
      </c>
      <c r="E168" s="44" t="s">
        <v>18</v>
      </c>
      <c r="F168" s="44" t="s">
        <v>19</v>
      </c>
      <c r="G168" s="45" t="s">
        <v>19</v>
      </c>
      <c r="H168" s="6">
        <v>150</v>
      </c>
      <c r="I168" s="14" t="s">
        <v>20</v>
      </c>
      <c r="J168" s="15">
        <v>10</v>
      </c>
      <c r="K168" s="16" t="s">
        <v>9</v>
      </c>
      <c r="L168" s="22" t="s">
        <v>29</v>
      </c>
      <c r="M168" s="22" t="s">
        <v>30</v>
      </c>
      <c r="N168" s="22" t="s">
        <v>31</v>
      </c>
      <c r="O168" s="22" t="s">
        <v>32</v>
      </c>
      <c r="P168" s="3"/>
    </row>
    <row r="169" spans="1:19" x14ac:dyDescent="0.25">
      <c r="A169" s="12" t="s">
        <v>22</v>
      </c>
      <c r="B169" s="48">
        <v>600</v>
      </c>
      <c r="C169" s="17">
        <v>-183.39501328118735</v>
      </c>
      <c r="D169" s="63">
        <v>-1.1716607270605826</v>
      </c>
      <c r="E169" s="63">
        <v>0</v>
      </c>
      <c r="F169" s="63">
        <v>3.5844891499436913E-13</v>
      </c>
      <c r="G169" s="54">
        <v>0</v>
      </c>
      <c r="H169" s="6">
        <v>175</v>
      </c>
      <c r="I169" s="56"/>
      <c r="J169" s="57"/>
      <c r="K169" s="58"/>
      <c r="L169" s="92" t="s">
        <v>1</v>
      </c>
      <c r="M169" s="93"/>
      <c r="N169" s="22" t="s">
        <v>35</v>
      </c>
      <c r="O169" s="22" t="s">
        <v>9</v>
      </c>
    </row>
    <row r="170" spans="1:19" x14ac:dyDescent="0.25">
      <c r="A170" s="20" t="s">
        <v>24</v>
      </c>
      <c r="B170" s="13"/>
      <c r="C170" s="17">
        <v>196.94650216455406</v>
      </c>
      <c r="D170" s="18">
        <v>0</v>
      </c>
      <c r="E170" s="18">
        <v>-22.098625704471999</v>
      </c>
      <c r="F170" s="18">
        <v>0</v>
      </c>
      <c r="G170" s="19">
        <v>-6.8210859960338149E-12</v>
      </c>
      <c r="H170" s="6">
        <v>200</v>
      </c>
      <c r="I170" s="59" t="s">
        <v>70</v>
      </c>
      <c r="J170" s="60"/>
      <c r="K170" s="61"/>
      <c r="L170" s="25">
        <f>MAX(ABS(E173),ABS(E174))*1000/(B171*B168)</f>
        <v>1.1722169441873866</v>
      </c>
      <c r="M170" s="25">
        <f>L170-phiVc</f>
        <v>0.509707510292291</v>
      </c>
      <c r="N170" s="26">
        <f>M170*O170*B168/(phiV*fys*0.25*PI()*(J168^2))</f>
        <v>0.94397055760385429</v>
      </c>
      <c r="O170" s="15">
        <v>100</v>
      </c>
    </row>
    <row r="171" spans="1:19" x14ac:dyDescent="0.25">
      <c r="A171" s="12" t="s">
        <v>26</v>
      </c>
      <c r="B171" s="49">
        <f>B169-clrCover-J168-(IF(M175&gt;1,1.5*J174,0.5*J174))</f>
        <v>520</v>
      </c>
      <c r="C171" s="64">
        <v>-72.777493084443392</v>
      </c>
      <c r="D171" s="17">
        <v>-8.8093704383328948</v>
      </c>
      <c r="E171" s="18">
        <v>47.174841433049487</v>
      </c>
      <c r="F171" s="18">
        <v>101.01827228987409</v>
      </c>
      <c r="G171" s="19">
        <v>5.2886707551027694</v>
      </c>
      <c r="H171" s="6">
        <v>250</v>
      </c>
      <c r="I171" s="59" t="s">
        <v>71</v>
      </c>
      <c r="J171" s="60"/>
      <c r="K171" s="61"/>
      <c r="L171" s="25">
        <f>MAX(ABS(E173),ABS(E174))*1000/(B176*B168)</f>
        <v>1.1288015018100761</v>
      </c>
      <c r="M171" s="25">
        <f>L171-phiVc</f>
        <v>0.46629206791498046</v>
      </c>
      <c r="N171" s="26">
        <f>M171*O171*B168/(phiV*fys*0.25*PI()*(J168^2))</f>
        <v>0.86356581856827241</v>
      </c>
      <c r="O171" s="15">
        <v>100</v>
      </c>
    </row>
    <row r="172" spans="1:19" x14ac:dyDescent="0.25">
      <c r="A172" s="12" t="s">
        <v>27</v>
      </c>
      <c r="B172" s="50">
        <f>K175*R174</f>
        <v>1570</v>
      </c>
      <c r="C172" s="64">
        <v>0.91555389750560967</v>
      </c>
      <c r="D172" s="17">
        <v>20.298274306372178</v>
      </c>
      <c r="E172" s="18">
        <v>23.901419757654949</v>
      </c>
      <c r="F172" s="18">
        <v>11.547801666727461</v>
      </c>
      <c r="G172" s="19">
        <v>-8.2882142079730912</v>
      </c>
      <c r="H172" s="6">
        <v>300</v>
      </c>
    </row>
    <row r="173" spans="1:19" x14ac:dyDescent="0.25">
      <c r="A173" s="12" t="s">
        <v>28</v>
      </c>
      <c r="B173" s="51">
        <f>-phi*B168*(B171^2)*J175*fy*(1-(0.588*J175*fy/fc))/1000000</f>
        <v>-276.58900530720001</v>
      </c>
      <c r="C173" s="64">
        <v>14.739101295835205</v>
      </c>
      <c r="D173" s="18">
        <v>1.7118349110984847</v>
      </c>
      <c r="E173" s="17">
        <v>-117.47605646828885</v>
      </c>
      <c r="F173" s="18">
        <v>-202.60382966377085</v>
      </c>
      <c r="G173" s="19">
        <v>-0.7119672713100621</v>
      </c>
      <c r="I173" s="90" t="s">
        <v>68</v>
      </c>
      <c r="J173" s="91"/>
      <c r="K173" s="94" t="s">
        <v>35</v>
      </c>
      <c r="L173" s="67" t="s">
        <v>36</v>
      </c>
      <c r="M173" s="96" t="s">
        <v>37</v>
      </c>
      <c r="N173" s="98" t="s">
        <v>38</v>
      </c>
      <c r="O173" s="96" t="s">
        <v>72</v>
      </c>
      <c r="Q173" s="34" t="s">
        <v>73</v>
      </c>
    </row>
    <row r="174" spans="1:19" x14ac:dyDescent="0.25">
      <c r="A174" s="23" t="s">
        <v>33</v>
      </c>
      <c r="B174" s="13"/>
      <c r="C174" s="64">
        <v>-69.718827933365773</v>
      </c>
      <c r="D174" s="18">
        <v>8.2469811014891352</v>
      </c>
      <c r="E174" s="17">
        <v>182.86584329323233</v>
      </c>
      <c r="F174" s="18">
        <v>-261.24898288882321</v>
      </c>
      <c r="G174" s="19">
        <v>4.43395269008934</v>
      </c>
      <c r="I174" s="14" t="s">
        <v>23</v>
      </c>
      <c r="J174" s="41">
        <v>20</v>
      </c>
      <c r="K174" s="95"/>
      <c r="L174" s="40" t="s">
        <v>9</v>
      </c>
      <c r="M174" s="97"/>
      <c r="N174" s="99"/>
      <c r="O174" s="97"/>
      <c r="Q174" s="14" t="s">
        <v>75</v>
      </c>
      <c r="R174" s="21">
        <f>IF(J174=16,201,IF(J174=20,314,IF(J174=25,490,"Err")))</f>
        <v>314</v>
      </c>
      <c r="S174" s="16" t="s">
        <v>25</v>
      </c>
    </row>
    <row r="175" spans="1:19" x14ac:dyDescent="0.25">
      <c r="A175" s="20" t="s">
        <v>39</v>
      </c>
      <c r="B175" s="13"/>
      <c r="C175" s="64">
        <v>-69.718827933365773</v>
      </c>
      <c r="D175" s="18">
        <v>8.2469811014891352</v>
      </c>
      <c r="E175" s="18">
        <v>182.86584329323233</v>
      </c>
      <c r="F175" s="17">
        <v>-261.24898288882321</v>
      </c>
      <c r="G175" s="19">
        <v>4.43395269008934</v>
      </c>
      <c r="I175" s="14" t="s">
        <v>40</v>
      </c>
      <c r="J175" s="24">
        <f>MAX(rhoMin,(K175*R174/(B168*B171)))</f>
        <v>1.0064102564102563E-2</v>
      </c>
      <c r="K175" s="15">
        <v>5</v>
      </c>
      <c r="L175" s="39">
        <f>IF(M175&lt;2,(B168-(2*(J168+clrCover))-(K175*J174))/(K175-1),(B168-(2*(J168+clrCover))-(N175*J174))/((N175)-1))</f>
        <v>70</v>
      </c>
      <c r="M175" s="15">
        <v>2</v>
      </c>
      <c r="N175" s="22">
        <f>IF(M175&lt;2,K175,CEILING(K175/2,1))</f>
        <v>3</v>
      </c>
      <c r="O175" s="22">
        <f>K175-N175</f>
        <v>2</v>
      </c>
      <c r="Q175" s="37" t="s">
        <v>74</v>
      </c>
      <c r="R175" s="38">
        <f>rhoMin*B168*B171</f>
        <v>514.79999999999995</v>
      </c>
      <c r="S175" s="22">
        <f>ROUNDUP(R175/R174,0)</f>
        <v>2</v>
      </c>
    </row>
    <row r="176" spans="1:19" x14ac:dyDescent="0.25">
      <c r="A176" s="12" t="s">
        <v>26</v>
      </c>
      <c r="B176" s="49">
        <f>B169-clrCover-J168-(IF(M178&gt;1,1.5*J177,0.5*J177))</f>
        <v>540</v>
      </c>
      <c r="C176" s="64">
        <v>95.626159351235458</v>
      </c>
      <c r="D176" s="18">
        <v>5.9701128996510864</v>
      </c>
      <c r="E176" s="18">
        <v>-82.607947679178707</v>
      </c>
      <c r="F176" s="17">
        <v>153.7917824798761</v>
      </c>
      <c r="G176" s="19">
        <v>3.5189121609813978</v>
      </c>
      <c r="I176" s="90" t="s">
        <v>69</v>
      </c>
      <c r="J176" s="91"/>
      <c r="K176" s="96" t="s">
        <v>35</v>
      </c>
      <c r="L176" s="67" t="s">
        <v>36</v>
      </c>
      <c r="M176" s="96" t="s">
        <v>37</v>
      </c>
      <c r="N176" s="98" t="s">
        <v>38</v>
      </c>
      <c r="O176" s="96" t="s">
        <v>72</v>
      </c>
      <c r="R176" s="36"/>
    </row>
    <row r="177" spans="1:19" x14ac:dyDescent="0.25">
      <c r="A177" s="12" t="s">
        <v>27</v>
      </c>
      <c r="B177" s="50">
        <f>K178*R177</f>
        <v>942</v>
      </c>
      <c r="C177" s="64">
        <v>0.91555389750560967</v>
      </c>
      <c r="D177" s="18">
        <v>20.298274306372178</v>
      </c>
      <c r="E177" s="18">
        <v>23.901419757654949</v>
      </c>
      <c r="F177" s="18">
        <v>11.547801666727461</v>
      </c>
      <c r="G177" s="17">
        <v>-8.2882142079730912</v>
      </c>
      <c r="I177" s="14" t="s">
        <v>23</v>
      </c>
      <c r="J177" s="41">
        <v>20</v>
      </c>
      <c r="K177" s="97"/>
      <c r="L177" s="40" t="s">
        <v>9</v>
      </c>
      <c r="M177" s="97"/>
      <c r="N177" s="99"/>
      <c r="O177" s="97"/>
      <c r="Q177" s="14" t="s">
        <v>75</v>
      </c>
      <c r="R177" s="21">
        <f>IF(J177=16,201,IF(J177=20,314,IF(J177=25,490,"Err")))</f>
        <v>314</v>
      </c>
      <c r="S177" s="16" t="s">
        <v>25</v>
      </c>
    </row>
    <row r="178" spans="1:19" x14ac:dyDescent="0.25">
      <c r="A178" s="27" t="s">
        <v>28</v>
      </c>
      <c r="B178" s="52">
        <f>phi*B168*(B176^2)*J178*fy*(1-(0.588*J178*fy/fc))/1000000</f>
        <v>179.59757951059206</v>
      </c>
      <c r="C178" s="53">
        <v>0.91555389750560967</v>
      </c>
      <c r="D178" s="28">
        <v>20.298274306372178</v>
      </c>
      <c r="E178" s="28">
        <v>28.803080571185681</v>
      </c>
      <c r="F178" s="28">
        <v>-13.783298803821527</v>
      </c>
      <c r="G178" s="17">
        <v>11.223501969027158</v>
      </c>
      <c r="I178" s="14" t="s">
        <v>40</v>
      </c>
      <c r="J178" s="24">
        <f>MAX(rhoMin,(K178*R177/(B168*B176)))</f>
        <v>5.8148148148148152E-3</v>
      </c>
      <c r="K178" s="15">
        <v>3</v>
      </c>
      <c r="L178" s="21">
        <f>IF(M178&lt;2,(B168-(2*(J168+clrCover))-(K178*J177))/(K178-1),(B168-(2*(J168+clrCover))-(N178*J177))/((N178)-1))</f>
        <v>70</v>
      </c>
      <c r="M178" s="15">
        <v>1</v>
      </c>
      <c r="N178" s="22">
        <f>IF(M178&lt;2,K178,CEILING(K178/2,1))</f>
        <v>3</v>
      </c>
      <c r="O178" s="22">
        <f>K178-N178</f>
        <v>0</v>
      </c>
      <c r="Q178" s="37" t="s">
        <v>74</v>
      </c>
      <c r="R178" s="38">
        <f>rhoMin*B168*B176</f>
        <v>534.6</v>
      </c>
      <c r="S178" s="22">
        <f>ROUNDUP(R178/R177,0)</f>
        <v>2</v>
      </c>
    </row>
    <row r="179" spans="1:19" x14ac:dyDescent="0.25">
      <c r="A179" s="65" t="s">
        <v>76</v>
      </c>
    </row>
    <row r="180" spans="1:19" x14ac:dyDescent="0.25">
      <c r="A180" s="62" t="s">
        <v>80</v>
      </c>
      <c r="B180" s="11" t="s">
        <v>11</v>
      </c>
      <c r="C180" s="10" t="s">
        <v>12</v>
      </c>
      <c r="D180" s="10" t="s">
        <v>13</v>
      </c>
      <c r="E180" s="10" t="s">
        <v>14</v>
      </c>
      <c r="F180" s="10" t="s">
        <v>15</v>
      </c>
      <c r="G180" s="11" t="s">
        <v>16</v>
      </c>
      <c r="H180" s="6">
        <v>125</v>
      </c>
      <c r="I180" s="90" t="s">
        <v>34</v>
      </c>
      <c r="J180" s="91"/>
      <c r="K180" s="3"/>
    </row>
    <row r="181" spans="1:19" x14ac:dyDescent="0.25">
      <c r="A181" s="12" t="s">
        <v>17</v>
      </c>
      <c r="B181" s="48">
        <v>300</v>
      </c>
      <c r="C181" s="44" t="s">
        <v>18</v>
      </c>
      <c r="D181" s="44" t="s">
        <v>18</v>
      </c>
      <c r="E181" s="44" t="s">
        <v>18</v>
      </c>
      <c r="F181" s="44" t="s">
        <v>19</v>
      </c>
      <c r="G181" s="45" t="s">
        <v>19</v>
      </c>
      <c r="H181" s="6">
        <v>150</v>
      </c>
      <c r="I181" s="14" t="s">
        <v>20</v>
      </c>
      <c r="J181" s="15">
        <v>10</v>
      </c>
      <c r="K181" s="16" t="s">
        <v>9</v>
      </c>
      <c r="L181" s="22" t="s">
        <v>29</v>
      </c>
      <c r="M181" s="22" t="s">
        <v>30</v>
      </c>
      <c r="N181" s="22" t="s">
        <v>31</v>
      </c>
      <c r="O181" s="22" t="s">
        <v>32</v>
      </c>
      <c r="P181" s="3"/>
    </row>
    <row r="182" spans="1:19" x14ac:dyDescent="0.25">
      <c r="A182" s="12" t="s">
        <v>22</v>
      </c>
      <c r="B182" s="48">
        <v>600</v>
      </c>
      <c r="C182" s="17">
        <v>-44.979039842555125</v>
      </c>
      <c r="D182" s="63">
        <v>1.3737081721508644</v>
      </c>
      <c r="E182" s="63">
        <v>0</v>
      </c>
      <c r="F182" s="63">
        <v>70.912785461574913</v>
      </c>
      <c r="G182" s="54">
        <v>0</v>
      </c>
      <c r="H182" s="6">
        <v>175</v>
      </c>
      <c r="I182" s="56"/>
      <c r="J182" s="57"/>
      <c r="K182" s="58"/>
      <c r="L182" s="92" t="s">
        <v>1</v>
      </c>
      <c r="M182" s="93"/>
      <c r="N182" s="22" t="s">
        <v>35</v>
      </c>
      <c r="O182" s="22" t="s">
        <v>9</v>
      </c>
    </row>
    <row r="183" spans="1:19" x14ac:dyDescent="0.25">
      <c r="A183" s="20" t="s">
        <v>24</v>
      </c>
      <c r="B183" s="13"/>
      <c r="C183" s="17">
        <v>41.481054682381625</v>
      </c>
      <c r="D183" s="18">
        <v>0</v>
      </c>
      <c r="E183" s="18">
        <v>2.0152933042467911</v>
      </c>
      <c r="F183" s="18">
        <v>0</v>
      </c>
      <c r="G183" s="19">
        <v>0.70417544744602545</v>
      </c>
      <c r="H183" s="6">
        <v>200</v>
      </c>
      <c r="I183" s="59" t="s">
        <v>70</v>
      </c>
      <c r="J183" s="60"/>
      <c r="K183" s="61"/>
      <c r="L183" s="25">
        <f>MAX(ABS(E186),ABS(E187))*1000/(B184*B181)</f>
        <v>0.53590917162544061</v>
      </c>
      <c r="M183" s="25">
        <f>L183-phiVc</f>
        <v>-0.12660026226965504</v>
      </c>
      <c r="N183" s="26">
        <f>M183*O183*B181/(phiV*fys*0.25*PI()*(J181^2))</f>
        <v>-0.23446176042991676</v>
      </c>
      <c r="O183" s="15">
        <v>100</v>
      </c>
    </row>
    <row r="184" spans="1:19" x14ac:dyDescent="0.25">
      <c r="A184" s="12" t="s">
        <v>26</v>
      </c>
      <c r="B184" s="49">
        <f>B182-clrCover-J181-(IF(M188&gt;1,1.5*J187,0.5*J187))</f>
        <v>540</v>
      </c>
      <c r="C184" s="64">
        <v>14.450840531749009</v>
      </c>
      <c r="D184" s="17">
        <v>-4.2258887005506329</v>
      </c>
      <c r="E184" s="18">
        <v>10.872428796112867</v>
      </c>
      <c r="F184" s="18">
        <v>40.064570427624233</v>
      </c>
      <c r="G184" s="19">
        <v>2.2697010548757981</v>
      </c>
      <c r="H184" s="6">
        <v>250</v>
      </c>
      <c r="I184" s="59" t="s">
        <v>71</v>
      </c>
      <c r="J184" s="60"/>
      <c r="K184" s="61"/>
      <c r="L184" s="25">
        <f>MAX(ABS(E186),ABS(E187))*1000/(B189*B181)</f>
        <v>0.53590917162544061</v>
      </c>
      <c r="M184" s="25">
        <f>L184-phiVc</f>
        <v>-0.12660026226965504</v>
      </c>
      <c r="N184" s="26">
        <f>M184*O184*B181/(phiV*fys*0.25*PI()*(J181^2))</f>
        <v>-0.23446176042991676</v>
      </c>
      <c r="O184" s="15">
        <v>100</v>
      </c>
    </row>
    <row r="185" spans="1:19" x14ac:dyDescent="0.25">
      <c r="A185" s="12" t="s">
        <v>27</v>
      </c>
      <c r="B185" s="50">
        <f>K188*R187</f>
        <v>628</v>
      </c>
      <c r="C185" s="64">
        <v>-15.000251840025376</v>
      </c>
      <c r="D185" s="17">
        <v>5.5164766567833921</v>
      </c>
      <c r="E185" s="18">
        <v>18.575925900740863</v>
      </c>
      <c r="F185" s="18">
        <v>53.443719301121021</v>
      </c>
      <c r="G185" s="19">
        <v>-2.9082428096750479</v>
      </c>
      <c r="H185" s="6">
        <v>300</v>
      </c>
    </row>
    <row r="186" spans="1:19" x14ac:dyDescent="0.25">
      <c r="A186" s="12" t="s">
        <v>28</v>
      </c>
      <c r="B186" s="51">
        <f>-phi*B181*(B184^2)*J188*fy*(1-(0.588*J188*fy/fc))/1000000</f>
        <v>-121.93985044915199</v>
      </c>
      <c r="C186" s="64">
        <v>0.99593187365286007</v>
      </c>
      <c r="D186" s="18">
        <v>3.6335440035083037E-2</v>
      </c>
      <c r="E186" s="17">
        <v>-83.064705446535868</v>
      </c>
      <c r="F186" s="18">
        <v>-5.051026619184994E-12</v>
      </c>
      <c r="G186" s="19">
        <v>2.9364662923470059E-13</v>
      </c>
      <c r="I186" s="90" t="s">
        <v>68</v>
      </c>
      <c r="J186" s="91"/>
      <c r="K186" s="94" t="s">
        <v>35</v>
      </c>
      <c r="L186" s="67" t="s">
        <v>36</v>
      </c>
      <c r="M186" s="96" t="s">
        <v>37</v>
      </c>
      <c r="N186" s="98" t="s">
        <v>38</v>
      </c>
      <c r="O186" s="96" t="s">
        <v>72</v>
      </c>
      <c r="Q186" s="34" t="s">
        <v>73</v>
      </c>
    </row>
    <row r="187" spans="1:19" x14ac:dyDescent="0.25">
      <c r="A187" s="23" t="s">
        <v>33</v>
      </c>
      <c r="B187" s="13"/>
      <c r="C187" s="64">
        <v>1.0487707719393712E-2</v>
      </c>
      <c r="D187" s="18">
        <v>0.23918886963104208</v>
      </c>
      <c r="E187" s="17">
        <v>86.817285803321383</v>
      </c>
      <c r="F187" s="18">
        <v>3.2494199331267733E-12</v>
      </c>
      <c r="G187" s="19">
        <v>2.2810127120465037E-13</v>
      </c>
      <c r="I187" s="14" t="s">
        <v>23</v>
      </c>
      <c r="J187" s="41">
        <v>20</v>
      </c>
      <c r="K187" s="95"/>
      <c r="L187" s="40" t="s">
        <v>9</v>
      </c>
      <c r="M187" s="97"/>
      <c r="N187" s="99"/>
      <c r="O187" s="97"/>
      <c r="Q187" s="14" t="s">
        <v>75</v>
      </c>
      <c r="R187" s="21">
        <f>IF(J187=16,201,IF(J187=20,314,IF(J187=25,490,"Err")))</f>
        <v>314</v>
      </c>
      <c r="S187" s="16" t="s">
        <v>25</v>
      </c>
    </row>
    <row r="188" spans="1:19" x14ac:dyDescent="0.25">
      <c r="A188" s="20" t="s">
        <v>39</v>
      </c>
      <c r="B188" s="13"/>
      <c r="C188" s="64">
        <v>0.99593187365286007</v>
      </c>
      <c r="D188" s="18">
        <v>3.6335440035083037E-2</v>
      </c>
      <c r="E188" s="18">
        <v>-83.064705446535868</v>
      </c>
      <c r="F188" s="17">
        <v>-5.051026619184994E-12</v>
      </c>
      <c r="G188" s="19">
        <v>2.9364662923470059E-13</v>
      </c>
      <c r="I188" s="14" t="s">
        <v>40</v>
      </c>
      <c r="J188" s="24">
        <f>MAX(rhoMin,(K188*R187/(B181*B184)))</f>
        <v>3.8765432098765433E-3</v>
      </c>
      <c r="K188" s="15">
        <v>2</v>
      </c>
      <c r="L188" s="39">
        <f>IF(M188&lt;2,(B181-(2*(J181+clrCover))-(K188*J187))/(K188-1),(B181-(2*(J181+clrCover))-(N188*J187))/((N188)-1))</f>
        <v>160</v>
      </c>
      <c r="M188" s="15">
        <v>1</v>
      </c>
      <c r="N188" s="22">
        <f>IF(M188&lt;2,K188,CEILING(K188/2,1))</f>
        <v>2</v>
      </c>
      <c r="O188" s="22">
        <f>K188-N188</f>
        <v>0</v>
      </c>
      <c r="Q188" s="37" t="s">
        <v>74</v>
      </c>
      <c r="R188" s="38">
        <f>rhoMin*B181*B184</f>
        <v>534.6</v>
      </c>
      <c r="S188" s="22">
        <f>ROUNDUP(R188/R187,0)</f>
        <v>2</v>
      </c>
    </row>
    <row r="189" spans="1:19" x14ac:dyDescent="0.25">
      <c r="A189" s="12" t="s">
        <v>26</v>
      </c>
      <c r="B189" s="49">
        <f>B182-clrCover-J181-(IF(M191&gt;1,1.5*J190,0.5*J190))</f>
        <v>540</v>
      </c>
      <c r="C189" s="64">
        <v>0.49065468423291769</v>
      </c>
      <c r="D189" s="18">
        <v>5.5232885189829814E-2</v>
      </c>
      <c r="E189" s="18">
        <v>-14.072189321618469</v>
      </c>
      <c r="F189" s="17">
        <v>169.82428375833877</v>
      </c>
      <c r="G189" s="19">
        <v>1.9274443873166527E-2</v>
      </c>
      <c r="I189" s="90" t="s">
        <v>69</v>
      </c>
      <c r="J189" s="91"/>
      <c r="K189" s="96" t="s">
        <v>35</v>
      </c>
      <c r="L189" s="67" t="s">
        <v>36</v>
      </c>
      <c r="M189" s="96" t="s">
        <v>37</v>
      </c>
      <c r="N189" s="98" t="s">
        <v>38</v>
      </c>
      <c r="O189" s="96" t="s">
        <v>72</v>
      </c>
      <c r="R189" s="36"/>
    </row>
    <row r="190" spans="1:19" x14ac:dyDescent="0.25">
      <c r="A190" s="12" t="s">
        <v>27</v>
      </c>
      <c r="B190" s="50">
        <f>K191*R190</f>
        <v>942</v>
      </c>
      <c r="C190" s="64">
        <v>-22.032819893093393</v>
      </c>
      <c r="D190" s="18">
        <v>3.9689258725791121</v>
      </c>
      <c r="E190" s="18">
        <v>21.568318745990673</v>
      </c>
      <c r="F190" s="18">
        <v>26.739993064375774</v>
      </c>
      <c r="G190" s="17">
        <v>-4.2831325173875339</v>
      </c>
      <c r="I190" s="14" t="s">
        <v>23</v>
      </c>
      <c r="J190" s="41">
        <v>20</v>
      </c>
      <c r="K190" s="97"/>
      <c r="L190" s="40" t="s">
        <v>9</v>
      </c>
      <c r="M190" s="97"/>
      <c r="N190" s="99"/>
      <c r="O190" s="97"/>
      <c r="Q190" s="14" t="s">
        <v>75</v>
      </c>
      <c r="R190" s="21">
        <f>IF(J190=16,201,IF(J190=20,314,IF(J190=25,490,"Err")))</f>
        <v>314</v>
      </c>
      <c r="S190" s="16" t="s">
        <v>25</v>
      </c>
    </row>
    <row r="191" spans="1:19" x14ac:dyDescent="0.25">
      <c r="A191" s="27" t="s">
        <v>28</v>
      </c>
      <c r="B191" s="52">
        <f>phi*B181*(B189^2)*J191*fy*(1-(0.588*J191*fy/fc))/1000000</f>
        <v>179.59757951059206</v>
      </c>
      <c r="C191" s="53">
        <v>18.865658488664501</v>
      </c>
      <c r="D191" s="28">
        <v>-3.1169453468954824</v>
      </c>
      <c r="E191" s="28">
        <v>21.059169500335756</v>
      </c>
      <c r="F191" s="28">
        <v>25.324490581968288</v>
      </c>
      <c r="G191" s="17">
        <v>3.3637035305807235</v>
      </c>
      <c r="I191" s="14" t="s">
        <v>40</v>
      </c>
      <c r="J191" s="24">
        <f>MAX(rhoMin,(K191*R190/(B181*B189)))</f>
        <v>5.8148148148148152E-3</v>
      </c>
      <c r="K191" s="15">
        <v>3</v>
      </c>
      <c r="L191" s="21">
        <f>IF(M191&lt;2,(B181-(2*(J181+clrCover))-(K191*J190))/(K191-1),(B181-(2*(J181+clrCover))-(N191*J190))/((N191)-1))</f>
        <v>70</v>
      </c>
      <c r="M191" s="15">
        <v>1</v>
      </c>
      <c r="N191" s="22">
        <f>IF(M191&lt;2,K191,CEILING(K191/2,1))</f>
        <v>3</v>
      </c>
      <c r="O191" s="22">
        <f>K191-N191</f>
        <v>0</v>
      </c>
      <c r="Q191" s="37" t="s">
        <v>74</v>
      </c>
      <c r="R191" s="38">
        <f>rhoMin*B181*B189</f>
        <v>534.6</v>
      </c>
      <c r="S191" s="22">
        <f>ROUNDUP(R191/R190,0)</f>
        <v>2</v>
      </c>
    </row>
    <row r="192" spans="1:19" x14ac:dyDescent="0.25">
      <c r="A192" s="65" t="s">
        <v>76</v>
      </c>
    </row>
    <row r="193" spans="1:19" x14ac:dyDescent="0.25">
      <c r="A193" s="69" t="s">
        <v>81</v>
      </c>
      <c r="B193" s="11" t="s">
        <v>11</v>
      </c>
      <c r="C193" s="10" t="s">
        <v>12</v>
      </c>
      <c r="D193" s="10" t="s">
        <v>13</v>
      </c>
      <c r="E193" s="10" t="s">
        <v>14</v>
      </c>
      <c r="F193" s="10" t="s">
        <v>15</v>
      </c>
      <c r="G193" s="11" t="s">
        <v>16</v>
      </c>
      <c r="H193" s="6">
        <v>125</v>
      </c>
      <c r="I193" s="90" t="s">
        <v>34</v>
      </c>
      <c r="J193" s="91"/>
      <c r="K193" s="3"/>
    </row>
    <row r="194" spans="1:19" x14ac:dyDescent="0.25">
      <c r="A194" s="12" t="s">
        <v>17</v>
      </c>
      <c r="B194" s="48">
        <v>200</v>
      </c>
      <c r="C194" s="44" t="s">
        <v>18</v>
      </c>
      <c r="D194" s="44" t="s">
        <v>18</v>
      </c>
      <c r="E194" s="44" t="s">
        <v>18</v>
      </c>
      <c r="F194" s="44" t="s">
        <v>19</v>
      </c>
      <c r="G194" s="45" t="s">
        <v>19</v>
      </c>
      <c r="H194" s="6">
        <v>150</v>
      </c>
      <c r="I194" s="14" t="s">
        <v>20</v>
      </c>
      <c r="J194" s="15">
        <v>12</v>
      </c>
      <c r="K194" s="16" t="s">
        <v>9</v>
      </c>
      <c r="L194" s="22" t="s">
        <v>29</v>
      </c>
      <c r="M194" s="22" t="s">
        <v>30</v>
      </c>
      <c r="N194" s="22" t="s">
        <v>31</v>
      </c>
      <c r="O194" s="22" t="s">
        <v>32</v>
      </c>
      <c r="P194" s="3"/>
    </row>
    <row r="195" spans="1:19" x14ac:dyDescent="0.25">
      <c r="A195" s="12" t="s">
        <v>22</v>
      </c>
      <c r="B195" s="48">
        <v>600</v>
      </c>
      <c r="C195" s="17">
        <v>-570.42009188544375</v>
      </c>
      <c r="D195" s="63">
        <v>-5.0232215858115143</v>
      </c>
      <c r="E195" s="63">
        <v>0</v>
      </c>
      <c r="F195" s="63">
        <v>6.4973619373631658E-12</v>
      </c>
      <c r="G195" s="54">
        <v>0</v>
      </c>
      <c r="H195" s="6">
        <v>175</v>
      </c>
      <c r="I195" s="56"/>
      <c r="J195" s="57"/>
      <c r="K195" s="58"/>
      <c r="L195" s="92" t="s">
        <v>1</v>
      </c>
      <c r="M195" s="93"/>
      <c r="N195" s="22" t="s">
        <v>35</v>
      </c>
      <c r="O195" s="22" t="s">
        <v>9</v>
      </c>
    </row>
    <row r="196" spans="1:19" x14ac:dyDescent="0.25">
      <c r="A196" s="20" t="s">
        <v>24</v>
      </c>
      <c r="B196" s="13"/>
      <c r="C196" s="17">
        <v>789.52650614865331</v>
      </c>
      <c r="D196" s="18">
        <v>0</v>
      </c>
      <c r="E196" s="18">
        <v>-87.765703064635474</v>
      </c>
      <c r="F196" s="18">
        <v>0</v>
      </c>
      <c r="G196" s="19">
        <v>2.1700112817768516E-13</v>
      </c>
      <c r="H196" s="6">
        <v>200</v>
      </c>
      <c r="I196" s="59" t="s">
        <v>70</v>
      </c>
      <c r="J196" s="60"/>
      <c r="K196" s="61"/>
      <c r="L196" s="25">
        <f>MAX(ABS(E199),ABS(E200))*1000/(B197*B194)</f>
        <v>4.5590384625506113</v>
      </c>
      <c r="M196" s="25">
        <f>L196-phiVc</f>
        <v>3.8965290286555154</v>
      </c>
      <c r="N196" s="26">
        <f>M196*O196*B194/(phiV*fys*0.25*PI()*(J194^2))</f>
        <v>3.3408854185135981</v>
      </c>
      <c r="O196" s="15">
        <v>100</v>
      </c>
    </row>
    <row r="197" spans="1:19" x14ac:dyDescent="0.25">
      <c r="A197" s="12" t="s">
        <v>26</v>
      </c>
      <c r="B197" s="49">
        <f>B195-clrCover-J194-(IF(M201&gt;1,1.5*J200,0.5*J200))</f>
        <v>518</v>
      </c>
      <c r="C197" s="64">
        <v>705.67907890834101</v>
      </c>
      <c r="D197" s="17">
        <v>-6.8506355942195238</v>
      </c>
      <c r="E197" s="18">
        <v>470.75827841893698</v>
      </c>
      <c r="F197" s="18">
        <v>77.151494749420237</v>
      </c>
      <c r="G197" s="19">
        <v>-4.0796787373330226</v>
      </c>
      <c r="H197" s="6">
        <v>250</v>
      </c>
      <c r="I197" s="59" t="s">
        <v>71</v>
      </c>
      <c r="J197" s="60"/>
      <c r="K197" s="61"/>
      <c r="L197" s="25">
        <f>MAX(ABS(E199),ABS(E200))*1000/(B202*B194)</f>
        <v>4.5590384625506113</v>
      </c>
      <c r="M197" s="25">
        <f>L197-phiVc</f>
        <v>3.8965290286555154</v>
      </c>
      <c r="N197" s="26">
        <f>M197*O197*B194/(phiV*fys*0.25*PI()*(J194^2))</f>
        <v>3.3408854185135981</v>
      </c>
      <c r="O197" s="15">
        <v>100</v>
      </c>
    </row>
    <row r="198" spans="1:19" x14ac:dyDescent="0.25">
      <c r="A198" s="12" t="s">
        <v>27</v>
      </c>
      <c r="B198" s="50">
        <f>K201*R200</f>
        <v>1256</v>
      </c>
      <c r="C198" s="64">
        <v>-297.86587645128895</v>
      </c>
      <c r="D198" s="17">
        <v>7.0622689978004258</v>
      </c>
      <c r="E198" s="18">
        <v>-276.27387088591246</v>
      </c>
      <c r="F198" s="18">
        <v>-72.944283412433904</v>
      </c>
      <c r="G198" s="19">
        <v>4.2580131270081809</v>
      </c>
      <c r="H198" s="6">
        <v>300</v>
      </c>
    </row>
    <row r="199" spans="1:19" x14ac:dyDescent="0.25">
      <c r="A199" s="12" t="s">
        <v>28</v>
      </c>
      <c r="B199" s="51">
        <f>-phi*B194*(B197^2)*J201*fy*(1-(0.588*J201*fy/fc))/1000000</f>
        <v>-215.91897149491203</v>
      </c>
      <c r="C199" s="64">
        <v>-297.86587645128895</v>
      </c>
      <c r="D199" s="18">
        <v>7.0622689978004258</v>
      </c>
      <c r="E199" s="17">
        <v>-276.27387088591246</v>
      </c>
      <c r="F199" s="18">
        <v>-72.944283412433904</v>
      </c>
      <c r="G199" s="19">
        <v>4.2580131270081809</v>
      </c>
      <c r="I199" s="90" t="s">
        <v>68</v>
      </c>
      <c r="J199" s="91"/>
      <c r="K199" s="94" t="s">
        <v>35</v>
      </c>
      <c r="L199" s="68" t="s">
        <v>36</v>
      </c>
      <c r="M199" s="96" t="s">
        <v>37</v>
      </c>
      <c r="N199" s="98" t="s">
        <v>38</v>
      </c>
      <c r="O199" s="96" t="s">
        <v>72</v>
      </c>
      <c r="Q199" s="34" t="s">
        <v>73</v>
      </c>
    </row>
    <row r="200" spans="1:19" x14ac:dyDescent="0.25">
      <c r="A200" s="23" t="s">
        <v>33</v>
      </c>
      <c r="B200" s="13"/>
      <c r="C200" s="64">
        <v>705.67907890834101</v>
      </c>
      <c r="D200" s="18">
        <v>-6.8506355942195238</v>
      </c>
      <c r="E200" s="17">
        <v>472.31638472024332</v>
      </c>
      <c r="F200" s="18">
        <v>-138.96978064818515</v>
      </c>
      <c r="G200" s="19">
        <v>-7.2195533618481997</v>
      </c>
      <c r="I200" s="14" t="s">
        <v>23</v>
      </c>
      <c r="J200" s="41">
        <v>20</v>
      </c>
      <c r="K200" s="95"/>
      <c r="L200" s="40" t="s">
        <v>9</v>
      </c>
      <c r="M200" s="97"/>
      <c r="N200" s="99"/>
      <c r="O200" s="97"/>
      <c r="Q200" s="14" t="s">
        <v>75</v>
      </c>
      <c r="R200" s="21">
        <f>IF(J200=16,201,IF(J200=20,314,IF(J200=25,490,"Err")))</f>
        <v>314</v>
      </c>
      <c r="S200" s="16" t="s">
        <v>25</v>
      </c>
    </row>
    <row r="201" spans="1:19" x14ac:dyDescent="0.25">
      <c r="A201" s="20" t="s">
        <v>39</v>
      </c>
      <c r="B201" s="13"/>
      <c r="C201" s="64">
        <v>705.67907890834101</v>
      </c>
      <c r="D201" s="18">
        <v>-6.8506355942195238</v>
      </c>
      <c r="E201" s="18">
        <v>472.31638472024332</v>
      </c>
      <c r="F201" s="17">
        <v>-138.96978064818515</v>
      </c>
      <c r="G201" s="19">
        <v>-7.2195533618481997</v>
      </c>
      <c r="I201" s="14" t="s">
        <v>40</v>
      </c>
      <c r="J201" s="24">
        <f>MAX(rhoMin,(K201*R200/(B194*B197)))</f>
        <v>1.2123552123552124E-2</v>
      </c>
      <c r="K201" s="15">
        <v>4</v>
      </c>
      <c r="L201" s="39">
        <f>IF(M201&lt;2,(B194-(2*(J194+clrCover))-(K201*J200))/(K201-1),(B194-(2*(J194+clrCover))-(N201*J200))/((N201)-1))</f>
        <v>56</v>
      </c>
      <c r="M201" s="15">
        <v>2</v>
      </c>
      <c r="N201" s="22">
        <f>IF(M201&lt;2,K201,CEILING(K201/2,1))</f>
        <v>2</v>
      </c>
      <c r="O201" s="22">
        <f>K201-N201</f>
        <v>2</v>
      </c>
      <c r="Q201" s="37" t="s">
        <v>74</v>
      </c>
      <c r="R201" s="38">
        <f>rhoMin*B194*B197</f>
        <v>341.88</v>
      </c>
      <c r="S201" s="22">
        <f>ROUNDUP(R201/R200,0)</f>
        <v>2</v>
      </c>
    </row>
    <row r="202" spans="1:19" x14ac:dyDescent="0.25">
      <c r="A202" s="12" t="s">
        <v>26</v>
      </c>
      <c r="B202" s="49">
        <f>B195-clrCover-J194-(IF(M204&gt;1,1.5*J203,0.5*J203))</f>
        <v>518</v>
      </c>
      <c r="C202" s="64">
        <v>705.67907890834101</v>
      </c>
      <c r="D202" s="18">
        <v>-6.8506355942195238</v>
      </c>
      <c r="E202" s="18">
        <v>470.75827841893698</v>
      </c>
      <c r="F202" s="17">
        <v>77.151494749420237</v>
      </c>
      <c r="G202" s="19">
        <v>-4.0796787373330226</v>
      </c>
      <c r="I202" s="90" t="s">
        <v>69</v>
      </c>
      <c r="J202" s="91"/>
      <c r="K202" s="96" t="s">
        <v>35</v>
      </c>
      <c r="L202" s="68" t="s">
        <v>36</v>
      </c>
      <c r="M202" s="96" t="s">
        <v>37</v>
      </c>
      <c r="N202" s="98" t="s">
        <v>38</v>
      </c>
      <c r="O202" s="96" t="s">
        <v>72</v>
      </c>
      <c r="R202" s="36"/>
    </row>
    <row r="203" spans="1:19" x14ac:dyDescent="0.25">
      <c r="A203" s="12" t="s">
        <v>27</v>
      </c>
      <c r="B203" s="50">
        <f>K204*R203</f>
        <v>942</v>
      </c>
      <c r="C203" s="64">
        <v>631.78255281109875</v>
      </c>
      <c r="D203" s="18">
        <v>-6.7408748864440771</v>
      </c>
      <c r="E203" s="18">
        <v>431.17707528426433</v>
      </c>
      <c r="F203" s="18">
        <v>-120.73094598767281</v>
      </c>
      <c r="G203" s="17">
        <v>-7.2392477708347034</v>
      </c>
      <c r="I203" s="14" t="s">
        <v>23</v>
      </c>
      <c r="J203" s="41">
        <v>20</v>
      </c>
      <c r="K203" s="97"/>
      <c r="L203" s="40" t="s">
        <v>9</v>
      </c>
      <c r="M203" s="97"/>
      <c r="N203" s="99"/>
      <c r="O203" s="97"/>
      <c r="Q203" s="14" t="s">
        <v>75</v>
      </c>
      <c r="R203" s="21">
        <f>IF(J203=16,201,IF(J203=20,314,IF(J203=25,490,"Err")))</f>
        <v>314</v>
      </c>
      <c r="S203" s="16" t="s">
        <v>25</v>
      </c>
    </row>
    <row r="204" spans="1:19" x14ac:dyDescent="0.25">
      <c r="A204" s="27" t="s">
        <v>28</v>
      </c>
      <c r="B204" s="52">
        <f>phi*B194*(B202^2)*J204*fy*(1-(0.588*J204*fy/fc))/1000000</f>
        <v>166.90752286588801</v>
      </c>
      <c r="C204" s="53">
        <v>-223.96935035404661</v>
      </c>
      <c r="D204" s="28">
        <v>6.9525082900249782</v>
      </c>
      <c r="E204" s="28">
        <v>-233.96598172395369</v>
      </c>
      <c r="F204" s="28">
        <v>35.174605643595257</v>
      </c>
      <c r="G204" s="17">
        <v>7.5145808031123318</v>
      </c>
      <c r="I204" s="14" t="s">
        <v>40</v>
      </c>
      <c r="J204" s="24">
        <f>MAX(rhoMin,(K204*R203/(B194*B202)))</f>
        <v>9.092664092664092E-3</v>
      </c>
      <c r="K204" s="15">
        <v>3</v>
      </c>
      <c r="L204" s="21">
        <f>IF(M204&lt;2,(B194-(2*(J194+clrCover))-(K204*J203))/(K204-1),(B194-(2*(J194+clrCover))-(N204*J203))/((N204)-1))</f>
        <v>56</v>
      </c>
      <c r="M204" s="15">
        <v>2</v>
      </c>
      <c r="N204" s="22">
        <f>IF(M204&lt;2,K204,CEILING(K204/2,1))</f>
        <v>2</v>
      </c>
      <c r="O204" s="22">
        <f>K204-N204</f>
        <v>1</v>
      </c>
      <c r="Q204" s="37" t="s">
        <v>74</v>
      </c>
      <c r="R204" s="38">
        <f>rhoMin*B194*B202</f>
        <v>341.88</v>
      </c>
      <c r="S204" s="22">
        <f>ROUNDUP(R204/R203,0)</f>
        <v>2</v>
      </c>
    </row>
    <row r="205" spans="1:19" x14ac:dyDescent="0.25">
      <c r="A205" s="65" t="s">
        <v>76</v>
      </c>
    </row>
    <row r="206" spans="1:19" x14ac:dyDescent="0.25">
      <c r="A206" s="69" t="s">
        <v>82</v>
      </c>
      <c r="B206" s="11" t="s">
        <v>11</v>
      </c>
      <c r="C206" s="10" t="s">
        <v>12</v>
      </c>
      <c r="D206" s="10" t="s">
        <v>13</v>
      </c>
      <c r="E206" s="10" t="s">
        <v>14</v>
      </c>
      <c r="F206" s="10" t="s">
        <v>15</v>
      </c>
      <c r="G206" s="11" t="s">
        <v>16</v>
      </c>
      <c r="H206" s="6">
        <v>125</v>
      </c>
      <c r="I206" s="90" t="s">
        <v>34</v>
      </c>
      <c r="J206" s="91"/>
      <c r="K206" s="3"/>
    </row>
    <row r="207" spans="1:19" x14ac:dyDescent="0.25">
      <c r="A207" s="12" t="s">
        <v>17</v>
      </c>
      <c r="B207" s="48">
        <v>200</v>
      </c>
      <c r="C207" s="44" t="s">
        <v>18</v>
      </c>
      <c r="D207" s="44" t="s">
        <v>18</v>
      </c>
      <c r="E207" s="44" t="s">
        <v>18</v>
      </c>
      <c r="F207" s="44" t="s">
        <v>19</v>
      </c>
      <c r="G207" s="45" t="s">
        <v>19</v>
      </c>
      <c r="H207" s="6">
        <v>150</v>
      </c>
      <c r="I207" s="14" t="s">
        <v>20</v>
      </c>
      <c r="J207" s="15">
        <v>12</v>
      </c>
      <c r="K207" s="16" t="s">
        <v>9</v>
      </c>
      <c r="L207" s="22" t="s">
        <v>29</v>
      </c>
      <c r="M207" s="22" t="s">
        <v>30</v>
      </c>
      <c r="N207" s="22" t="s">
        <v>31</v>
      </c>
      <c r="O207" s="22" t="s">
        <v>32</v>
      </c>
      <c r="P207" s="3"/>
    </row>
    <row r="208" spans="1:19" x14ac:dyDescent="0.25">
      <c r="A208" s="12" t="s">
        <v>22</v>
      </c>
      <c r="B208" s="48">
        <v>600</v>
      </c>
      <c r="C208" s="17">
        <v>-58.472604110971297</v>
      </c>
      <c r="D208" s="63">
        <v>1.3368521926345123</v>
      </c>
      <c r="E208" s="63">
        <v>0</v>
      </c>
      <c r="F208" s="63">
        <v>-1.1113144182672839E-12</v>
      </c>
      <c r="G208" s="54">
        <v>0</v>
      </c>
      <c r="H208" s="6">
        <v>175</v>
      </c>
      <c r="I208" s="56"/>
      <c r="J208" s="57"/>
      <c r="K208" s="58"/>
      <c r="L208" s="92" t="s">
        <v>1</v>
      </c>
      <c r="M208" s="93"/>
      <c r="N208" s="22" t="s">
        <v>35</v>
      </c>
      <c r="O208" s="22" t="s">
        <v>9</v>
      </c>
    </row>
    <row r="209" spans="1:19" x14ac:dyDescent="0.25">
      <c r="A209" s="20" t="s">
        <v>24</v>
      </c>
      <c r="B209" s="13"/>
      <c r="C209" s="17">
        <v>68.900888760372254</v>
      </c>
      <c r="D209" s="18">
        <v>0</v>
      </c>
      <c r="E209" s="18">
        <v>183.03418097334671</v>
      </c>
      <c r="F209" s="18">
        <v>0</v>
      </c>
      <c r="G209" s="19">
        <v>-1.8940191637284443E-13</v>
      </c>
      <c r="H209" s="6">
        <v>200</v>
      </c>
      <c r="I209" s="59" t="s">
        <v>70</v>
      </c>
      <c r="J209" s="60"/>
      <c r="K209" s="61"/>
      <c r="L209" s="25">
        <f>MAX(ABS(E212),ABS(E213))*1000/(B210*B207)</f>
        <v>1.9638209174515129</v>
      </c>
      <c r="M209" s="25">
        <f>L209-phiVc</f>
        <v>1.3013114835564172</v>
      </c>
      <c r="N209" s="26">
        <f>M209*O209*B207/(phiV*fys*0.25*PI()*(J207^2))</f>
        <v>1.1157449433548901</v>
      </c>
      <c r="O209" s="15">
        <v>100</v>
      </c>
    </row>
    <row r="210" spans="1:19" x14ac:dyDescent="0.25">
      <c r="A210" s="12" t="s">
        <v>26</v>
      </c>
      <c r="B210" s="49">
        <f>B208-clrCover-J207-(IF(M214&gt;1,1.5*J213,0.5*J213))</f>
        <v>510.5</v>
      </c>
      <c r="C210" s="64">
        <v>-43.394200375432504</v>
      </c>
      <c r="D210" s="17">
        <v>-3.4769972129100348</v>
      </c>
      <c r="E210" s="18">
        <v>-127.54951654106527</v>
      </c>
      <c r="F210" s="18">
        <v>1.740238531056093E-12</v>
      </c>
      <c r="G210" s="19">
        <v>2.3559099560088724E-12</v>
      </c>
      <c r="H210" s="6">
        <v>250</v>
      </c>
      <c r="I210" s="59" t="s">
        <v>71</v>
      </c>
      <c r="J210" s="60"/>
      <c r="K210" s="61"/>
      <c r="L210" s="25">
        <f>MAX(ABS(E212),ABS(E213))*1000/(B215*B207)</f>
        <v>1.9638209174515129</v>
      </c>
      <c r="M210" s="25">
        <f>L210-phiVc</f>
        <v>1.3013114835564172</v>
      </c>
      <c r="N210" s="26">
        <f>M210*O210*B207/(phiV*fys*0.25*PI()*(J207^2))</f>
        <v>1.1157449433548901</v>
      </c>
      <c r="O210" s="15">
        <v>100</v>
      </c>
    </row>
    <row r="211" spans="1:19" x14ac:dyDescent="0.25">
      <c r="A211" s="12" t="s">
        <v>27</v>
      </c>
      <c r="B211" s="50">
        <f>K214*R213</f>
        <v>1960</v>
      </c>
      <c r="C211" s="64">
        <v>53.822485024833469</v>
      </c>
      <c r="D211" s="17">
        <v>2.972217508877518</v>
      </c>
      <c r="E211" s="18">
        <v>126.55374992531647</v>
      </c>
      <c r="F211" s="18">
        <v>-2.1095758029332503E-12</v>
      </c>
      <c r="G211" s="19">
        <v>-2.6625002647051587E-12</v>
      </c>
      <c r="H211" s="6">
        <v>300</v>
      </c>
    </row>
    <row r="212" spans="1:19" x14ac:dyDescent="0.25">
      <c r="A212" s="12" t="s">
        <v>28</v>
      </c>
      <c r="B212" s="51">
        <f>-phi*B207*(B210^2)*J214*fy*(1-(0.588*J214*fy/fc))/1000000</f>
        <v>-308.28949038719998</v>
      </c>
      <c r="C212" s="64">
        <v>49.037499250750564</v>
      </c>
      <c r="D212" s="18">
        <v>1.9738178960579118</v>
      </c>
      <c r="E212" s="17">
        <v>-197.84074984869324</v>
      </c>
      <c r="F212" s="18">
        <v>-9.9191765912110042E-14</v>
      </c>
      <c r="G212" s="19">
        <v>-2.2973542179727244E-12</v>
      </c>
      <c r="I212" s="90" t="s">
        <v>68</v>
      </c>
      <c r="J212" s="91"/>
      <c r="K212" s="94" t="s">
        <v>35</v>
      </c>
      <c r="L212" s="68" t="s">
        <v>36</v>
      </c>
      <c r="M212" s="96" t="s">
        <v>37</v>
      </c>
      <c r="N212" s="98" t="s">
        <v>38</v>
      </c>
      <c r="O212" s="96" t="s">
        <v>72</v>
      </c>
      <c r="Q212" s="34" t="s">
        <v>73</v>
      </c>
    </row>
    <row r="213" spans="1:19" x14ac:dyDescent="0.25">
      <c r="A213" s="23" t="s">
        <v>33</v>
      </c>
      <c r="B213" s="13"/>
      <c r="C213" s="64">
        <v>-18.860326237097784</v>
      </c>
      <c r="D213" s="18">
        <v>-1.3619546156042737</v>
      </c>
      <c r="E213" s="17">
        <v>200.50611567179945</v>
      </c>
      <c r="F213" s="18">
        <v>-238.79672615682026</v>
      </c>
      <c r="G213" s="19">
        <v>-1.6345188117492588</v>
      </c>
      <c r="I213" s="14" t="s">
        <v>23</v>
      </c>
      <c r="J213" s="41">
        <v>25</v>
      </c>
      <c r="K213" s="95"/>
      <c r="L213" s="40" t="s">
        <v>9</v>
      </c>
      <c r="M213" s="97"/>
      <c r="N213" s="99"/>
      <c r="O213" s="97"/>
      <c r="Q213" s="14" t="s">
        <v>75</v>
      </c>
      <c r="R213" s="21">
        <f>IF(J213=16,201,IF(J213=20,314,IF(J213=25,490,"Err")))</f>
        <v>490</v>
      </c>
      <c r="S213" s="16" t="s">
        <v>25</v>
      </c>
    </row>
    <row r="214" spans="1:19" x14ac:dyDescent="0.25">
      <c r="A214" s="20" t="s">
        <v>39</v>
      </c>
      <c r="B214" s="13"/>
      <c r="C214" s="64">
        <v>-18.860326237097784</v>
      </c>
      <c r="D214" s="18">
        <v>-1.3619546156042737</v>
      </c>
      <c r="E214" s="18">
        <v>200.50611567179945</v>
      </c>
      <c r="F214" s="17">
        <v>-238.79672615682026</v>
      </c>
      <c r="G214" s="19">
        <v>-1.6345188117492588</v>
      </c>
      <c r="I214" s="14" t="s">
        <v>40</v>
      </c>
      <c r="J214" s="24">
        <f>MAX(rhoMin,(K214*R213/(B207*B210)))</f>
        <v>1.9196865817825662E-2</v>
      </c>
      <c r="K214" s="15">
        <v>4</v>
      </c>
      <c r="L214" s="39">
        <f>IF(M214&lt;2,(B207-(2*(J207+clrCover))-(K214*J213))/(K214-1),(B207-(2*(J207+clrCover))-(N214*J213))/((N214)-1))</f>
        <v>46</v>
      </c>
      <c r="M214" s="15">
        <v>2</v>
      </c>
      <c r="N214" s="22">
        <f>IF(M214&lt;2,K214,CEILING(K214/2,1))</f>
        <v>2</v>
      </c>
      <c r="O214" s="22">
        <f>K214-N214</f>
        <v>2</v>
      </c>
      <c r="Q214" s="37" t="s">
        <v>74</v>
      </c>
      <c r="R214" s="38">
        <f>rhoMin*B207*B210</f>
        <v>336.93</v>
      </c>
      <c r="S214" s="22">
        <f>ROUNDUP(R214/R213,0)</f>
        <v>1</v>
      </c>
    </row>
    <row r="215" spans="1:19" x14ac:dyDescent="0.25">
      <c r="A215" s="12" t="s">
        <v>26</v>
      </c>
      <c r="B215" s="49">
        <f>B208-clrCover-J207-(IF(M217&gt;1,1.5*J216,0.5*J216))</f>
        <v>510.5</v>
      </c>
      <c r="C215" s="64">
        <v>49.037499250750564</v>
      </c>
      <c r="D215" s="18">
        <v>1.9738178960579118</v>
      </c>
      <c r="E215" s="18">
        <v>-193.76091173228431</v>
      </c>
      <c r="F215" s="17">
        <v>234.98590747213433</v>
      </c>
      <c r="G215" s="19">
        <v>2.3688325918583804</v>
      </c>
      <c r="I215" s="90" t="s">
        <v>69</v>
      </c>
      <c r="J215" s="91"/>
      <c r="K215" s="96" t="s">
        <v>35</v>
      </c>
      <c r="L215" s="68" t="s">
        <v>36</v>
      </c>
      <c r="M215" s="96" t="s">
        <v>37</v>
      </c>
      <c r="N215" s="98" t="s">
        <v>38</v>
      </c>
      <c r="O215" s="96" t="s">
        <v>72</v>
      </c>
      <c r="R215" s="36"/>
    </row>
    <row r="216" spans="1:19" x14ac:dyDescent="0.25">
      <c r="A216" s="12" t="s">
        <v>27</v>
      </c>
      <c r="B216" s="50">
        <f>K217*R216</f>
        <v>1960</v>
      </c>
      <c r="C216" s="64">
        <v>-43.394200375432504</v>
      </c>
      <c r="D216" s="18">
        <v>-3.4769972129100348</v>
      </c>
      <c r="E216" s="18">
        <v>-123.46938997258965</v>
      </c>
      <c r="F216" s="18">
        <v>150.63796132464608</v>
      </c>
      <c r="G216" s="17">
        <v>-4.1731340396501189</v>
      </c>
      <c r="I216" s="14" t="s">
        <v>23</v>
      </c>
      <c r="J216" s="41">
        <v>25</v>
      </c>
      <c r="K216" s="97"/>
      <c r="L216" s="40" t="s">
        <v>9</v>
      </c>
      <c r="M216" s="97"/>
      <c r="N216" s="99"/>
      <c r="O216" s="97"/>
      <c r="Q216" s="14" t="s">
        <v>75</v>
      </c>
      <c r="R216" s="21">
        <f>IF(J216=16,201,IF(J216=20,314,IF(J216=25,490,"Err")))</f>
        <v>490</v>
      </c>
      <c r="S216" s="16" t="s">
        <v>25</v>
      </c>
    </row>
    <row r="217" spans="1:19" x14ac:dyDescent="0.25">
      <c r="A217" s="27" t="s">
        <v>28</v>
      </c>
      <c r="B217" s="52">
        <f>phi*B207*(B215^2)*J217*fy*(1-(0.588*J217*fy/fc))/1000000</f>
        <v>308.28949038719998</v>
      </c>
      <c r="C217" s="53">
        <v>53.822485024833469</v>
      </c>
      <c r="D217" s="28">
        <v>2.972217508877518</v>
      </c>
      <c r="E217" s="28">
        <v>129.61384485167318</v>
      </c>
      <c r="F217" s="28">
        <v>-153.72772023666161</v>
      </c>
      <c r="G217" s="17">
        <v>3.567291343658471</v>
      </c>
      <c r="I217" s="14" t="s">
        <v>40</v>
      </c>
      <c r="J217" s="24">
        <f>MAX(rhoMin,(K217*R216/(B207*B215)))</f>
        <v>1.9196865817825662E-2</v>
      </c>
      <c r="K217" s="15">
        <v>4</v>
      </c>
      <c r="L217" s="21">
        <f>IF(M217&lt;2,(B207-(2*(J207+clrCover))-(K217*J216))/(K217-1),(B207-(2*(J207+clrCover))-(N217*J216))/((N217)-1))</f>
        <v>46</v>
      </c>
      <c r="M217" s="15">
        <v>2</v>
      </c>
      <c r="N217" s="22">
        <f>IF(M217&lt;2,K217,CEILING(K217/2,1))</f>
        <v>2</v>
      </c>
      <c r="O217" s="22">
        <f>K217-N217</f>
        <v>2</v>
      </c>
      <c r="Q217" s="37" t="s">
        <v>74</v>
      </c>
      <c r="R217" s="38">
        <f>rhoMin*B207*B215</f>
        <v>336.93</v>
      </c>
      <c r="S217" s="22">
        <f>ROUNDUP(R217/R216,0)</f>
        <v>1</v>
      </c>
    </row>
    <row r="218" spans="1:19" x14ac:dyDescent="0.25">
      <c r="A218" s="65" t="s">
        <v>76</v>
      </c>
    </row>
    <row r="219" spans="1:19" x14ac:dyDescent="0.25">
      <c r="A219" s="69" t="s">
        <v>93</v>
      </c>
      <c r="B219" s="11" t="s">
        <v>11</v>
      </c>
      <c r="C219" s="10" t="s">
        <v>12</v>
      </c>
      <c r="D219" s="10" t="s">
        <v>13</v>
      </c>
      <c r="E219" s="10" t="s">
        <v>14</v>
      </c>
      <c r="F219" s="10" t="s">
        <v>15</v>
      </c>
      <c r="G219" s="11" t="s">
        <v>16</v>
      </c>
      <c r="H219" s="6">
        <v>125</v>
      </c>
      <c r="I219" s="90" t="s">
        <v>34</v>
      </c>
      <c r="J219" s="91"/>
      <c r="K219" s="3"/>
    </row>
    <row r="220" spans="1:19" x14ac:dyDescent="0.25">
      <c r="A220" s="12" t="s">
        <v>17</v>
      </c>
      <c r="B220" s="48">
        <v>200</v>
      </c>
      <c r="C220" s="44" t="s">
        <v>18</v>
      </c>
      <c r="D220" s="44" t="s">
        <v>18</v>
      </c>
      <c r="E220" s="44" t="s">
        <v>18</v>
      </c>
      <c r="F220" s="44" t="s">
        <v>19</v>
      </c>
      <c r="G220" s="45" t="s">
        <v>19</v>
      </c>
      <c r="H220" s="6">
        <v>150</v>
      </c>
      <c r="I220" s="14" t="s">
        <v>20</v>
      </c>
      <c r="J220" s="15">
        <v>12</v>
      </c>
      <c r="K220" s="16" t="s">
        <v>9</v>
      </c>
      <c r="L220" s="22" t="s">
        <v>29</v>
      </c>
      <c r="M220" s="22" t="s">
        <v>30</v>
      </c>
      <c r="N220" s="22" t="s">
        <v>31</v>
      </c>
      <c r="O220" s="22" t="s">
        <v>32</v>
      </c>
      <c r="P220" s="3"/>
    </row>
    <row r="221" spans="1:19" x14ac:dyDescent="0.25">
      <c r="A221" s="12" t="s">
        <v>22</v>
      </c>
      <c r="B221" s="48">
        <v>600</v>
      </c>
      <c r="C221" s="17">
        <v>-587.68946350634724</v>
      </c>
      <c r="D221" s="63">
        <v>3.4170652995499937</v>
      </c>
      <c r="E221" s="63">
        <v>0</v>
      </c>
      <c r="F221" s="63">
        <v>-5.7173773952890077</v>
      </c>
      <c r="G221" s="54">
        <v>0</v>
      </c>
      <c r="H221" s="6">
        <v>175</v>
      </c>
      <c r="I221" s="56"/>
      <c r="J221" s="57"/>
      <c r="K221" s="58"/>
      <c r="L221" s="92" t="s">
        <v>1</v>
      </c>
      <c r="M221" s="93"/>
      <c r="N221" s="22" t="s">
        <v>35</v>
      </c>
      <c r="O221" s="22" t="s">
        <v>9</v>
      </c>
    </row>
    <row r="222" spans="1:19" x14ac:dyDescent="0.25">
      <c r="A222" s="20" t="s">
        <v>24</v>
      </c>
      <c r="B222" s="13"/>
      <c r="C222" s="17">
        <v>681.43670361936859</v>
      </c>
      <c r="D222" s="18">
        <v>0</v>
      </c>
      <c r="E222" s="18">
        <v>53.616640251475943</v>
      </c>
      <c r="F222" s="18">
        <v>0</v>
      </c>
      <c r="G222" s="19">
        <v>1.6761799809541054</v>
      </c>
      <c r="H222" s="6">
        <v>200</v>
      </c>
      <c r="I222" s="59" t="s">
        <v>70</v>
      </c>
      <c r="J222" s="60"/>
      <c r="K222" s="61"/>
      <c r="L222" s="25">
        <f>MAX(ABS(E225),ABS(E226))*1000/(B223*B220)</f>
        <v>7.0107270606706154</v>
      </c>
      <c r="M222" s="25">
        <f>L222-phiVc</f>
        <v>6.3482176267755195</v>
      </c>
      <c r="N222" s="26">
        <f>M222*O222*B220/(phiV*fys*0.25*PI()*(J220^2))</f>
        <v>5.4429641218824223</v>
      </c>
      <c r="O222" s="15">
        <v>100</v>
      </c>
    </row>
    <row r="223" spans="1:19" x14ac:dyDescent="0.25">
      <c r="A223" s="12" t="s">
        <v>26</v>
      </c>
      <c r="B223" s="49">
        <f>B221-clrCover-J220-(IF(M227&gt;1,1.5*J226,0.5*J226))</f>
        <v>518</v>
      </c>
      <c r="C223" s="64">
        <v>-17.857341399584772</v>
      </c>
      <c r="D223" s="17">
        <v>-42.780803939957238</v>
      </c>
      <c r="E223" s="18">
        <v>-32.974376958671797</v>
      </c>
      <c r="F223" s="18">
        <v>5.3314286185139572</v>
      </c>
      <c r="G223" s="19">
        <v>11.783055429733821</v>
      </c>
      <c r="H223" s="6">
        <v>250</v>
      </c>
      <c r="I223" s="59" t="s">
        <v>71</v>
      </c>
      <c r="J223" s="60"/>
      <c r="K223" s="61"/>
      <c r="L223" s="25">
        <f>MAX(ABS(E225),ABS(E226))*1000/(B228*B220)</f>
        <v>7.0107270606706154</v>
      </c>
      <c r="M223" s="25">
        <f>L223-phiVc</f>
        <v>6.3482176267755195</v>
      </c>
      <c r="N223" s="26">
        <f>M223*O223*B220/(phiV*fys*0.25*PI()*(J220^2))</f>
        <v>5.4429641218824223</v>
      </c>
      <c r="O223" s="15">
        <v>100</v>
      </c>
    </row>
    <row r="224" spans="1:19" x14ac:dyDescent="0.25">
      <c r="A224" s="12" t="s">
        <v>27</v>
      </c>
      <c r="B224" s="50">
        <f>K227*R226</f>
        <v>1256</v>
      </c>
      <c r="C224" s="64">
        <v>99.999502576802271</v>
      </c>
      <c r="D224" s="17">
        <v>87.975935563586773</v>
      </c>
      <c r="E224" s="18">
        <v>-176.50732927666283</v>
      </c>
      <c r="F224" s="18">
        <v>-74.082242751764568</v>
      </c>
      <c r="G224" s="19">
        <v>-23.446630105161837</v>
      </c>
      <c r="H224" s="6">
        <v>300</v>
      </c>
    </row>
    <row r="225" spans="1:19" x14ac:dyDescent="0.25">
      <c r="A225" s="12" t="s">
        <v>28</v>
      </c>
      <c r="B225" s="51">
        <f>-phi*B220*(B223^2)*J227*fy*(1-(0.588*J227*fy/fc))/1000000</f>
        <v>-215.91897149491203</v>
      </c>
      <c r="C225" s="64">
        <v>4.7745619911435933</v>
      </c>
      <c r="D225" s="18">
        <v>44.543313345002566</v>
      </c>
      <c r="E225" s="17">
        <v>-726.31132348547578</v>
      </c>
      <c r="F225" s="18">
        <v>-220.62163605220792</v>
      </c>
      <c r="G225" s="19">
        <v>-11.704779505837088</v>
      </c>
      <c r="I225" s="90" t="s">
        <v>68</v>
      </c>
      <c r="J225" s="91"/>
      <c r="K225" s="94" t="s">
        <v>35</v>
      </c>
      <c r="L225" s="68" t="s">
        <v>36</v>
      </c>
      <c r="M225" s="96" t="s">
        <v>37</v>
      </c>
      <c r="N225" s="98" t="s">
        <v>38</v>
      </c>
      <c r="O225" s="96" t="s">
        <v>72</v>
      </c>
      <c r="Q225" s="34" t="s">
        <v>73</v>
      </c>
    </row>
    <row r="226" spans="1:19" x14ac:dyDescent="0.25">
      <c r="A226" s="23" t="s">
        <v>33</v>
      </c>
      <c r="B226" s="13"/>
      <c r="C226" s="64">
        <v>77.367599186073917</v>
      </c>
      <c r="D226" s="18">
        <v>0.65181827862696806</v>
      </c>
      <c r="E226" s="17">
        <v>517.9450797239615</v>
      </c>
      <c r="F226" s="18">
        <v>-74.486143044127644</v>
      </c>
      <c r="G226" s="19">
        <v>0.32637532730836938</v>
      </c>
      <c r="I226" s="14" t="s">
        <v>23</v>
      </c>
      <c r="J226" s="41">
        <v>20</v>
      </c>
      <c r="K226" s="95"/>
      <c r="L226" s="40" t="s">
        <v>9</v>
      </c>
      <c r="M226" s="97"/>
      <c r="N226" s="99"/>
      <c r="O226" s="97"/>
      <c r="Q226" s="14" t="s">
        <v>75</v>
      </c>
      <c r="R226" s="21">
        <f>IF(J226=16,201,IF(J226=20,314,IF(J226=25,490,"Err")))</f>
        <v>314</v>
      </c>
      <c r="S226" s="16" t="s">
        <v>25</v>
      </c>
    </row>
    <row r="227" spans="1:19" x14ac:dyDescent="0.25">
      <c r="A227" s="20" t="s">
        <v>39</v>
      </c>
      <c r="B227" s="13"/>
      <c r="C227" s="64">
        <v>4.7745619911435933</v>
      </c>
      <c r="D227" s="18">
        <v>44.543313345002566</v>
      </c>
      <c r="E227" s="18">
        <v>-726.31132348547578</v>
      </c>
      <c r="F227" s="17">
        <v>-220.62163605220792</v>
      </c>
      <c r="G227" s="19">
        <v>-11.704779505837088</v>
      </c>
      <c r="I227" s="14" t="s">
        <v>40</v>
      </c>
      <c r="J227" s="24">
        <f>MAX(rhoMin,(K227*R226/(B220*B223)))</f>
        <v>1.2123552123552124E-2</v>
      </c>
      <c r="K227" s="15">
        <v>4</v>
      </c>
      <c r="L227" s="39">
        <f>IF(M227&lt;2,(B220-(2*(J220+clrCover))-(K227*J226))/(K227-1),(B220-(2*(J220+clrCover))-(N227*J226))/((N227)-1))</f>
        <v>56</v>
      </c>
      <c r="M227" s="15">
        <v>2</v>
      </c>
      <c r="N227" s="22">
        <f>IF(M227&lt;2,K227,CEILING(K227/2,1))</f>
        <v>2</v>
      </c>
      <c r="O227" s="22">
        <f>K227-N227</f>
        <v>2</v>
      </c>
      <c r="Q227" s="37" t="s">
        <v>74</v>
      </c>
      <c r="R227" s="38">
        <f>rhoMin*B220*B223</f>
        <v>341.88</v>
      </c>
      <c r="S227" s="22">
        <f>ROUNDUP(R227/R226,0)</f>
        <v>2</v>
      </c>
    </row>
    <row r="228" spans="1:19" x14ac:dyDescent="0.25">
      <c r="A228" s="12" t="s">
        <v>26</v>
      </c>
      <c r="B228" s="49">
        <f>B221-clrCover-J220-(IF(M230&gt;1,1.5*J229,0.5*J229))</f>
        <v>518</v>
      </c>
      <c r="C228" s="64">
        <v>77.367599186073917</v>
      </c>
      <c r="D228" s="18">
        <v>0.65181827862696806</v>
      </c>
      <c r="E228" s="18">
        <v>516.82961725014115</v>
      </c>
      <c r="F228" s="17">
        <v>151.87082191895732</v>
      </c>
      <c r="G228" s="19">
        <v>4.1204830409072205E-2</v>
      </c>
      <c r="I228" s="90" t="s">
        <v>69</v>
      </c>
      <c r="J228" s="91"/>
      <c r="K228" s="96" t="s">
        <v>35</v>
      </c>
      <c r="L228" s="68" t="s">
        <v>36</v>
      </c>
      <c r="M228" s="96" t="s">
        <v>37</v>
      </c>
      <c r="N228" s="98" t="s">
        <v>38</v>
      </c>
      <c r="O228" s="96" t="s">
        <v>72</v>
      </c>
      <c r="R228" s="36"/>
    </row>
    <row r="229" spans="1:19" x14ac:dyDescent="0.25">
      <c r="A229" s="12" t="s">
        <v>27</v>
      </c>
      <c r="B229" s="50">
        <f>K230*R229</f>
        <v>1256</v>
      </c>
      <c r="C229" s="64">
        <v>99.999502576802271</v>
      </c>
      <c r="D229" s="18">
        <v>87.975935563586773</v>
      </c>
      <c r="E229" s="18">
        <v>-176.50732927666283</v>
      </c>
      <c r="F229" s="18">
        <v>-74.082242751764568</v>
      </c>
      <c r="G229" s="17">
        <v>-23.446630105161837</v>
      </c>
      <c r="I229" s="14" t="s">
        <v>23</v>
      </c>
      <c r="J229" s="41">
        <v>20</v>
      </c>
      <c r="K229" s="97"/>
      <c r="L229" s="40" t="s">
        <v>9</v>
      </c>
      <c r="M229" s="97"/>
      <c r="N229" s="99"/>
      <c r="O229" s="97"/>
      <c r="Q229" s="14" t="s">
        <v>75</v>
      </c>
      <c r="R229" s="21">
        <f>IF(J229=16,201,IF(J229=20,314,IF(J229=25,490,"Err")))</f>
        <v>314</v>
      </c>
      <c r="S229" s="16" t="s">
        <v>25</v>
      </c>
    </row>
    <row r="230" spans="1:19" x14ac:dyDescent="0.25">
      <c r="A230" s="27" t="s">
        <v>28</v>
      </c>
      <c r="B230" s="52">
        <f>phi*B220*(B228^2)*J230*fy*(1-(0.588*J230*fy/fc))/1000000</f>
        <v>215.91897149491203</v>
      </c>
      <c r="C230" s="53">
        <v>99.999502576802271</v>
      </c>
      <c r="D230" s="28">
        <v>87.975935563586773</v>
      </c>
      <c r="E230" s="28">
        <v>-175.02004597823566</v>
      </c>
      <c r="F230" s="28">
        <v>2.814370585244478</v>
      </c>
      <c r="G230" s="17">
        <v>15.042841703907374</v>
      </c>
      <c r="I230" s="14" t="s">
        <v>40</v>
      </c>
      <c r="J230" s="24">
        <f>MAX(rhoMin,(K230*R229/(B220*B228)))</f>
        <v>1.2123552123552124E-2</v>
      </c>
      <c r="K230" s="15">
        <v>4</v>
      </c>
      <c r="L230" s="21">
        <f>IF(M230&lt;2,(B220-(2*(J220+clrCover))-(K230*J229))/(K230-1),(B220-(2*(J220+clrCover))-(N230*J229))/((N230)-1))</f>
        <v>56</v>
      </c>
      <c r="M230" s="15">
        <v>2</v>
      </c>
      <c r="N230" s="22">
        <f>IF(M230&lt;2,K230,CEILING(K230/2,1))</f>
        <v>2</v>
      </c>
      <c r="O230" s="22">
        <f>K230-N230</f>
        <v>2</v>
      </c>
      <c r="Q230" s="37" t="s">
        <v>74</v>
      </c>
      <c r="R230" s="38">
        <f>rhoMin*B220*B228</f>
        <v>341.88</v>
      </c>
      <c r="S230" s="22">
        <f>ROUNDUP(R230/R229,0)</f>
        <v>2</v>
      </c>
    </row>
    <row r="231" spans="1:19" x14ac:dyDescent="0.25">
      <c r="A231" s="65" t="s">
        <v>76</v>
      </c>
    </row>
    <row r="232" spans="1:19" x14ac:dyDescent="0.25">
      <c r="A232" s="69" t="s">
        <v>94</v>
      </c>
      <c r="B232" s="11" t="s">
        <v>11</v>
      </c>
      <c r="C232" s="10" t="s">
        <v>12</v>
      </c>
      <c r="D232" s="10" t="s">
        <v>13</v>
      </c>
      <c r="E232" s="10" t="s">
        <v>14</v>
      </c>
      <c r="F232" s="10" t="s">
        <v>15</v>
      </c>
      <c r="G232" s="11" t="s">
        <v>16</v>
      </c>
      <c r="H232" s="6">
        <v>125</v>
      </c>
      <c r="I232" s="90" t="s">
        <v>34</v>
      </c>
      <c r="J232" s="91"/>
      <c r="K232" s="3"/>
    </row>
    <row r="233" spans="1:19" x14ac:dyDescent="0.25">
      <c r="A233" s="12" t="s">
        <v>17</v>
      </c>
      <c r="B233" s="48">
        <v>300</v>
      </c>
      <c r="C233" s="44" t="s">
        <v>18</v>
      </c>
      <c r="D233" s="44" t="s">
        <v>18</v>
      </c>
      <c r="E233" s="44" t="s">
        <v>18</v>
      </c>
      <c r="F233" s="44" t="s">
        <v>19</v>
      </c>
      <c r="G233" s="45" t="s">
        <v>19</v>
      </c>
      <c r="H233" s="6">
        <v>150</v>
      </c>
      <c r="I233" s="14" t="s">
        <v>20</v>
      </c>
      <c r="J233" s="15">
        <v>10</v>
      </c>
      <c r="K233" s="16" t="s">
        <v>9</v>
      </c>
      <c r="L233" s="22" t="s">
        <v>29</v>
      </c>
      <c r="M233" s="22" t="s">
        <v>30</v>
      </c>
      <c r="N233" s="22" t="s">
        <v>31</v>
      </c>
      <c r="O233" s="22" t="s">
        <v>32</v>
      </c>
      <c r="P233" s="3"/>
    </row>
    <row r="234" spans="1:19" x14ac:dyDescent="0.25">
      <c r="A234" s="12" t="s">
        <v>22</v>
      </c>
      <c r="B234" s="48">
        <v>400</v>
      </c>
      <c r="C234" s="17">
        <v>-139.6013972256309</v>
      </c>
      <c r="D234" s="63">
        <v>-1.7762799198337775</v>
      </c>
      <c r="E234" s="63">
        <v>0</v>
      </c>
      <c r="F234" s="63">
        <v>-3.5711983628061713E-10</v>
      </c>
      <c r="G234" s="54">
        <v>0</v>
      </c>
      <c r="H234" s="6">
        <v>175</v>
      </c>
      <c r="I234" s="56"/>
      <c r="J234" s="57"/>
      <c r="K234" s="58"/>
      <c r="L234" s="92" t="s">
        <v>1</v>
      </c>
      <c r="M234" s="93"/>
      <c r="N234" s="22" t="s">
        <v>35</v>
      </c>
      <c r="O234" s="22" t="s">
        <v>9</v>
      </c>
    </row>
    <row r="235" spans="1:19" x14ac:dyDescent="0.25">
      <c r="A235" s="20" t="s">
        <v>24</v>
      </c>
      <c r="B235" s="13"/>
      <c r="C235" s="17">
        <v>123.77994909982007</v>
      </c>
      <c r="D235" s="18">
        <v>0</v>
      </c>
      <c r="E235" s="18">
        <v>-27.209444998373534</v>
      </c>
      <c r="F235" s="18">
        <v>0</v>
      </c>
      <c r="G235" s="19">
        <v>1.8190018380437318E-13</v>
      </c>
      <c r="H235" s="6">
        <v>200</v>
      </c>
      <c r="I235" s="59" t="s">
        <v>70</v>
      </c>
      <c r="J235" s="60"/>
      <c r="K235" s="61"/>
      <c r="L235" s="25">
        <f>MAX(ABS(E238),ABS(E239))*1000/(B236*B233)</f>
        <v>1.3779233303959306</v>
      </c>
      <c r="M235" s="25">
        <f>L235-phiVc</f>
        <v>0.71541389650083498</v>
      </c>
      <c r="N235" s="26">
        <f>M235*O235*B233/(phiV*fys*0.25*PI()*(J233^2))</f>
        <v>1.324935656549719</v>
      </c>
      <c r="O235" s="15">
        <v>100</v>
      </c>
    </row>
    <row r="236" spans="1:19" x14ac:dyDescent="0.25">
      <c r="A236" s="12" t="s">
        <v>26</v>
      </c>
      <c r="B236" s="49">
        <f>B234-clrCover-J233-(IF(M240&gt;1,1.5*J239,0.5*J239))</f>
        <v>320</v>
      </c>
      <c r="C236" s="64">
        <v>50.637270639052879</v>
      </c>
      <c r="D236" s="17">
        <v>-9.4172850331351494</v>
      </c>
      <c r="E236" s="18">
        <v>-39.787186692693993</v>
      </c>
      <c r="F236" s="18">
        <v>-8.737318209722968</v>
      </c>
      <c r="G236" s="19">
        <v>5.0479381003450614</v>
      </c>
      <c r="H236" s="6">
        <v>250</v>
      </c>
      <c r="I236" s="59" t="s">
        <v>71</v>
      </c>
      <c r="J236" s="60"/>
      <c r="K236" s="61"/>
      <c r="L236" s="25">
        <f>MAX(ABS(E238),ABS(E239))*1000/(B241*B233)</f>
        <v>1.3779233303959306</v>
      </c>
      <c r="M236" s="25">
        <f>L236-phiVc</f>
        <v>0.71541389650083498</v>
      </c>
      <c r="N236" s="26">
        <f>M236*O236*B233/(phiV*fys*0.25*PI()*(J233^2))</f>
        <v>1.324935656549719</v>
      </c>
      <c r="O236" s="15">
        <v>100</v>
      </c>
    </row>
    <row r="237" spans="1:19" x14ac:dyDescent="0.25">
      <c r="A237" s="12" t="s">
        <v>27</v>
      </c>
      <c r="B237" s="50">
        <f>K240*R239</f>
        <v>1570</v>
      </c>
      <c r="C237" s="64">
        <v>34.02215611914221</v>
      </c>
      <c r="D237" s="17">
        <v>8.0373009946382581</v>
      </c>
      <c r="E237" s="18">
        <v>-51.118009146835767</v>
      </c>
      <c r="F237" s="18">
        <v>-36.887283870295789</v>
      </c>
      <c r="G237" s="19">
        <v>-4.3995141996768474</v>
      </c>
      <c r="H237" s="6">
        <v>300</v>
      </c>
    </row>
    <row r="238" spans="1:19" x14ac:dyDescent="0.25">
      <c r="A238" s="12" t="s">
        <v>28</v>
      </c>
      <c r="B238" s="51">
        <f>-phi*B233*(B236^2)*J240*fy*(1-(0.588*J240*fy/fc))/1000000</f>
        <v>-159.59260530720002</v>
      </c>
      <c r="C238" s="64">
        <v>5.5295348993398479</v>
      </c>
      <c r="D238" s="18">
        <v>-2.1494605614195672</v>
      </c>
      <c r="E238" s="17">
        <v>-97.077519958899529</v>
      </c>
      <c r="F238" s="18">
        <v>-113.53455850453972</v>
      </c>
      <c r="G238" s="19">
        <v>1.1594290165838632</v>
      </c>
      <c r="I238" s="90" t="s">
        <v>68</v>
      </c>
      <c r="J238" s="91"/>
      <c r="K238" s="94" t="s">
        <v>35</v>
      </c>
      <c r="L238" s="68" t="s">
        <v>36</v>
      </c>
      <c r="M238" s="96" t="s">
        <v>37</v>
      </c>
      <c r="N238" s="98" t="s">
        <v>38</v>
      </c>
      <c r="O238" s="96" t="s">
        <v>72</v>
      </c>
      <c r="Q238" s="34" t="s">
        <v>73</v>
      </c>
    </row>
    <row r="239" spans="1:19" x14ac:dyDescent="0.25">
      <c r="A239" s="23" t="s">
        <v>33</v>
      </c>
      <c r="B239" s="13"/>
      <c r="C239" s="64">
        <v>-30.077771239042036</v>
      </c>
      <c r="D239" s="18">
        <v>3.8675739002633165</v>
      </c>
      <c r="E239" s="17">
        <v>132.28063971800933</v>
      </c>
      <c r="F239" s="18">
        <v>-158.63040541853238</v>
      </c>
      <c r="G239" s="19">
        <v>2.1055441826800028</v>
      </c>
      <c r="I239" s="14" t="s">
        <v>23</v>
      </c>
      <c r="J239" s="41">
        <v>20</v>
      </c>
      <c r="K239" s="95"/>
      <c r="L239" s="40" t="s">
        <v>9</v>
      </c>
      <c r="M239" s="97"/>
      <c r="N239" s="99"/>
      <c r="O239" s="97"/>
      <c r="Q239" s="14" t="s">
        <v>75</v>
      </c>
      <c r="R239" s="21">
        <f>IF(J239=16,201,IF(J239=20,314,IF(J239=25,490,"Err")))</f>
        <v>314</v>
      </c>
      <c r="S239" s="16" t="s">
        <v>25</v>
      </c>
    </row>
    <row r="240" spans="1:19" x14ac:dyDescent="0.25">
      <c r="A240" s="20" t="s">
        <v>39</v>
      </c>
      <c r="B240" s="13"/>
      <c r="C240" s="64">
        <v>-30.077771239042036</v>
      </c>
      <c r="D240" s="18">
        <v>3.8675739002633165</v>
      </c>
      <c r="E240" s="18">
        <v>132.28063971800933</v>
      </c>
      <c r="F240" s="17">
        <v>-158.63040541853238</v>
      </c>
      <c r="G240" s="19">
        <v>2.1055441826800028</v>
      </c>
      <c r="I240" s="14" t="s">
        <v>40</v>
      </c>
      <c r="J240" s="24">
        <f>MAX(rhoMin,(K240*R239/(B233*B236)))</f>
        <v>1.6354166666666666E-2</v>
      </c>
      <c r="K240" s="15">
        <v>5</v>
      </c>
      <c r="L240" s="39">
        <f>IF(M240&lt;2,(B233-(2*(J233+clrCover))-(K240*J239))/(K240-1),(B233-(2*(J233+clrCover))-(N240*J239))/((N240)-1))</f>
        <v>70</v>
      </c>
      <c r="M240" s="15">
        <v>2</v>
      </c>
      <c r="N240" s="22">
        <f>IF(M240&lt;2,K240,CEILING(K240/2,1))</f>
        <v>3</v>
      </c>
      <c r="O240" s="22">
        <f>K240-N240</f>
        <v>2</v>
      </c>
      <c r="Q240" s="37" t="s">
        <v>74</v>
      </c>
      <c r="R240" s="38">
        <f>rhoMin*B233*B236</f>
        <v>316.8</v>
      </c>
      <c r="S240" s="22">
        <f>ROUNDUP(R240/R239,0)</f>
        <v>2</v>
      </c>
    </row>
    <row r="241" spans="1:19" x14ac:dyDescent="0.25">
      <c r="A241" s="12" t="s">
        <v>26</v>
      </c>
      <c r="B241" s="49">
        <f>B234-clrCover-J233-(IF(M243&gt;1,1.5*J242,0.5*J242))</f>
        <v>320</v>
      </c>
      <c r="C241" s="64">
        <v>-12.55900188526377</v>
      </c>
      <c r="D241" s="18">
        <v>1.8357742263354278</v>
      </c>
      <c r="E241" s="18">
        <v>-49.500266568059914</v>
      </c>
      <c r="F241" s="17">
        <v>110.89922830468988</v>
      </c>
      <c r="G241" s="19">
        <v>1.0328432022308729</v>
      </c>
      <c r="I241" s="90" t="s">
        <v>69</v>
      </c>
      <c r="J241" s="91"/>
      <c r="K241" s="96" t="s">
        <v>35</v>
      </c>
      <c r="L241" s="68" t="s">
        <v>36</v>
      </c>
      <c r="M241" s="96" t="s">
        <v>37</v>
      </c>
      <c r="N241" s="98" t="s">
        <v>38</v>
      </c>
      <c r="O241" s="96" t="s">
        <v>72</v>
      </c>
      <c r="R241" s="36"/>
    </row>
    <row r="242" spans="1:19" x14ac:dyDescent="0.25">
      <c r="A242" s="12" t="s">
        <v>27</v>
      </c>
      <c r="B242" s="50">
        <f>K243*R242</f>
        <v>1256</v>
      </c>
      <c r="C242" s="64">
        <v>34.02215611914221</v>
      </c>
      <c r="D242" s="18">
        <v>8.0373009946382581</v>
      </c>
      <c r="E242" s="18">
        <v>-51.118009146835767</v>
      </c>
      <c r="F242" s="18">
        <v>-36.887283870295789</v>
      </c>
      <c r="G242" s="17">
        <v>-4.3995141996768474</v>
      </c>
      <c r="I242" s="14" t="s">
        <v>23</v>
      </c>
      <c r="J242" s="41">
        <v>20</v>
      </c>
      <c r="K242" s="97"/>
      <c r="L242" s="40" t="s">
        <v>9</v>
      </c>
      <c r="M242" s="97"/>
      <c r="N242" s="99"/>
      <c r="O242" s="97"/>
      <c r="Q242" s="14" t="s">
        <v>75</v>
      </c>
      <c r="R242" s="21">
        <f>IF(J242=16,201,IF(J242=20,314,IF(J242=25,490,"Err")))</f>
        <v>314</v>
      </c>
      <c r="S242" s="16" t="s">
        <v>25</v>
      </c>
    </row>
    <row r="243" spans="1:19" x14ac:dyDescent="0.25">
      <c r="A243" s="27" t="s">
        <v>28</v>
      </c>
      <c r="B243" s="52">
        <f>phi*B233*(B241^2)*J243*fy*(1-(0.588*J243*fy/fc))/1000000</f>
        <v>132.09034579660801</v>
      </c>
      <c r="C243" s="53">
        <v>50.637270639052879</v>
      </c>
      <c r="D243" s="28">
        <v>-9.4172850331351494</v>
      </c>
      <c r="E243" s="28">
        <v>-39.787186692693993</v>
      </c>
      <c r="F243" s="28">
        <v>-8.737318209722968</v>
      </c>
      <c r="G243" s="17">
        <v>5.0479381003450614</v>
      </c>
      <c r="I243" s="14" t="s">
        <v>40</v>
      </c>
      <c r="J243" s="24">
        <f>MAX(rhoMin,(K243*R242/(B233*B241)))</f>
        <v>1.3083333333333334E-2</v>
      </c>
      <c r="K243" s="15">
        <v>4</v>
      </c>
      <c r="L243" s="21">
        <f>IF(M243&lt;2,(B233-(2*(J233+clrCover))-(K243*J242))/(K243-1),(B233-(2*(J233+clrCover))-(N243*J242))/((N243)-1))</f>
        <v>160</v>
      </c>
      <c r="M243" s="15">
        <v>2</v>
      </c>
      <c r="N243" s="22">
        <f>IF(M243&lt;2,K243,CEILING(K243/2,1))</f>
        <v>2</v>
      </c>
      <c r="O243" s="22">
        <f>K243-N243</f>
        <v>2</v>
      </c>
      <c r="Q243" s="37" t="s">
        <v>74</v>
      </c>
      <c r="R243" s="38">
        <f>rhoMin*B233*B241</f>
        <v>316.8</v>
      </c>
      <c r="S243" s="22">
        <f>ROUNDUP(R243/R242,0)</f>
        <v>2</v>
      </c>
    </row>
    <row r="244" spans="1:19" x14ac:dyDescent="0.25">
      <c r="A244" s="65" t="s">
        <v>76</v>
      </c>
    </row>
    <row r="245" spans="1:19" x14ac:dyDescent="0.25">
      <c r="A245" s="69" t="s">
        <v>95</v>
      </c>
      <c r="B245" s="11" t="s">
        <v>11</v>
      </c>
      <c r="C245" s="10" t="s">
        <v>12</v>
      </c>
      <c r="D245" s="10" t="s">
        <v>13</v>
      </c>
      <c r="E245" s="10" t="s">
        <v>14</v>
      </c>
      <c r="F245" s="10" t="s">
        <v>15</v>
      </c>
      <c r="G245" s="11" t="s">
        <v>16</v>
      </c>
      <c r="H245" s="6">
        <v>125</v>
      </c>
      <c r="I245" s="90" t="s">
        <v>34</v>
      </c>
      <c r="J245" s="91"/>
      <c r="K245" s="3"/>
    </row>
    <row r="246" spans="1:19" x14ac:dyDescent="0.25">
      <c r="A246" s="12" t="s">
        <v>17</v>
      </c>
      <c r="B246" s="48">
        <v>250</v>
      </c>
      <c r="C246" s="44" t="s">
        <v>18</v>
      </c>
      <c r="D246" s="44" t="s">
        <v>18</v>
      </c>
      <c r="E246" s="44" t="s">
        <v>18</v>
      </c>
      <c r="F246" s="44" t="s">
        <v>19</v>
      </c>
      <c r="G246" s="45" t="s">
        <v>19</v>
      </c>
      <c r="H246" s="6">
        <v>150</v>
      </c>
      <c r="I246" s="14" t="s">
        <v>20</v>
      </c>
      <c r="J246" s="15">
        <v>10</v>
      </c>
      <c r="K246" s="16" t="s">
        <v>9</v>
      </c>
      <c r="L246" s="22" t="s">
        <v>29</v>
      </c>
      <c r="M246" s="22" t="s">
        <v>30</v>
      </c>
      <c r="N246" s="22" t="s">
        <v>31</v>
      </c>
      <c r="O246" s="22" t="s">
        <v>32</v>
      </c>
      <c r="P246" s="3"/>
    </row>
    <row r="247" spans="1:19" x14ac:dyDescent="0.25">
      <c r="A247" s="12" t="s">
        <v>22</v>
      </c>
      <c r="B247" s="48">
        <v>400</v>
      </c>
      <c r="C247" s="17">
        <v>-28.461667735150705</v>
      </c>
      <c r="D247" s="63">
        <v>-2.9413371372517947</v>
      </c>
      <c r="E247" s="63">
        <v>0</v>
      </c>
      <c r="F247" s="63">
        <v>7.7738626719260377</v>
      </c>
      <c r="G247" s="54">
        <v>0</v>
      </c>
      <c r="H247" s="6">
        <v>175</v>
      </c>
      <c r="I247" s="56"/>
      <c r="J247" s="57"/>
      <c r="K247" s="58"/>
      <c r="L247" s="92" t="s">
        <v>1</v>
      </c>
      <c r="M247" s="93"/>
      <c r="N247" s="22" t="s">
        <v>35</v>
      </c>
      <c r="O247" s="22" t="s">
        <v>9</v>
      </c>
    </row>
    <row r="248" spans="1:19" x14ac:dyDescent="0.25">
      <c r="A248" s="20" t="s">
        <v>24</v>
      </c>
      <c r="B248" s="13"/>
      <c r="C248" s="17">
        <v>1.7656470879360278</v>
      </c>
      <c r="D248" s="18">
        <v>0</v>
      </c>
      <c r="E248" s="18">
        <v>-7.7752309215753135</v>
      </c>
      <c r="F248" s="18">
        <v>0</v>
      </c>
      <c r="G248" s="19">
        <v>-0.61751954663250985</v>
      </c>
      <c r="H248" s="6">
        <v>200</v>
      </c>
      <c r="I248" s="59" t="s">
        <v>70</v>
      </c>
      <c r="J248" s="60"/>
      <c r="K248" s="61"/>
      <c r="L248" s="25">
        <f>MAX(ABS(E251),ABS(E252))*1000/(B249*B246)</f>
        <v>0.45574784138680469</v>
      </c>
      <c r="M248" s="25">
        <f>L248-phiVc</f>
        <v>-0.20676159250829096</v>
      </c>
      <c r="N248" s="26">
        <f>M248*O248*B246/(phiV*fys*0.25*PI()*(J246^2))</f>
        <v>-0.31909943747148312</v>
      </c>
      <c r="O248" s="15">
        <v>100</v>
      </c>
    </row>
    <row r="249" spans="1:19" x14ac:dyDescent="0.25">
      <c r="A249" s="12" t="s">
        <v>26</v>
      </c>
      <c r="B249" s="49">
        <f>B247-clrCover-J246-(IF(M253&gt;1,1.5*J252,0.5*J252))</f>
        <v>342</v>
      </c>
      <c r="C249" s="64">
        <v>-15.841729063469352</v>
      </c>
      <c r="D249" s="17">
        <v>-4.118986305277911</v>
      </c>
      <c r="E249" s="18">
        <v>9.8498457578297991</v>
      </c>
      <c r="F249" s="18">
        <v>0.52725241980396831</v>
      </c>
      <c r="G249" s="19">
        <v>1.6445634651068872</v>
      </c>
      <c r="H249" s="6">
        <v>250</v>
      </c>
      <c r="I249" s="59" t="s">
        <v>71</v>
      </c>
      <c r="J249" s="60"/>
      <c r="K249" s="61"/>
      <c r="L249" s="25">
        <f>MAX(ABS(E251),ABS(E252))*1000/(B254*B246)</f>
        <v>0.45574784138680469</v>
      </c>
      <c r="M249" s="25">
        <f>L249-phiVc</f>
        <v>-0.20676159250829096</v>
      </c>
      <c r="N249" s="26">
        <f>M249*O249*B246/(phiV*fys*0.25*PI()*(J246^2))</f>
        <v>-0.31909943747148312</v>
      </c>
      <c r="O249" s="15">
        <v>100</v>
      </c>
    </row>
    <row r="250" spans="1:19" x14ac:dyDescent="0.25">
      <c r="A250" s="12" t="s">
        <v>27</v>
      </c>
      <c r="B250" s="50">
        <f>K253*R252</f>
        <v>402</v>
      </c>
      <c r="C250" s="64">
        <v>-1.1516707474441836</v>
      </c>
      <c r="D250" s="17">
        <v>1.6205283469086649</v>
      </c>
      <c r="E250" s="18">
        <v>9.7939187117936797</v>
      </c>
      <c r="F250" s="18">
        <v>0.74317225182000901</v>
      </c>
      <c r="G250" s="19">
        <v>-0.64793075866064442</v>
      </c>
      <c r="H250" s="6">
        <v>300</v>
      </c>
    </row>
    <row r="251" spans="1:19" x14ac:dyDescent="0.25">
      <c r="A251" s="12" t="s">
        <v>28</v>
      </c>
      <c r="B251" s="51">
        <f>-phi*B246*(B249^2)*J253*fy*(1-(0.588*J253*fy/fc))/1000000</f>
        <v>-49.054993311974407</v>
      </c>
      <c r="C251" s="64">
        <v>-28.008393285580443</v>
      </c>
      <c r="D251" s="18">
        <v>-2.8935582871584145</v>
      </c>
      <c r="E251" s="17">
        <v>-38.966440438571802</v>
      </c>
      <c r="F251" s="18">
        <v>7.5949236196703112</v>
      </c>
      <c r="G251" s="19">
        <v>1.812349381621764</v>
      </c>
      <c r="I251" s="90" t="s">
        <v>68</v>
      </c>
      <c r="J251" s="91"/>
      <c r="K251" s="94" t="s">
        <v>35</v>
      </c>
      <c r="L251" s="68" t="s">
        <v>36</v>
      </c>
      <c r="M251" s="96" t="s">
        <v>37</v>
      </c>
      <c r="N251" s="98" t="s">
        <v>38</v>
      </c>
      <c r="O251" s="96" t="s">
        <v>72</v>
      </c>
      <c r="Q251" s="34" t="s">
        <v>73</v>
      </c>
    </row>
    <row r="252" spans="1:19" x14ac:dyDescent="0.25">
      <c r="A252" s="23" t="s">
        <v>33</v>
      </c>
      <c r="B252" s="13"/>
      <c r="C252" s="64">
        <v>-18.793609762443406</v>
      </c>
      <c r="D252" s="18">
        <v>-2.4959355783710544</v>
      </c>
      <c r="E252" s="17">
        <v>23.925064571887624</v>
      </c>
      <c r="F252" s="18">
        <v>-12.937358304317991</v>
      </c>
      <c r="G252" s="19">
        <v>-1.0070028337194583</v>
      </c>
      <c r="I252" s="14" t="s">
        <v>23</v>
      </c>
      <c r="J252" s="41">
        <v>16</v>
      </c>
      <c r="K252" s="95"/>
      <c r="L252" s="40" t="s">
        <v>9</v>
      </c>
      <c r="M252" s="97"/>
      <c r="N252" s="99"/>
      <c r="O252" s="97"/>
      <c r="Q252" s="14" t="s">
        <v>75</v>
      </c>
      <c r="R252" s="21">
        <f>IF(J252=16,201,IF(J252=20,314,IF(J252=25,490,"Err")))</f>
        <v>201</v>
      </c>
      <c r="S252" s="16" t="s">
        <v>25</v>
      </c>
    </row>
    <row r="253" spans="1:19" x14ac:dyDescent="0.25">
      <c r="A253" s="20" t="s">
        <v>39</v>
      </c>
      <c r="B253" s="13"/>
      <c r="C253" s="64">
        <v>-21.189453549783728</v>
      </c>
      <c r="D253" s="18">
        <v>-2.4591126331531283</v>
      </c>
      <c r="E253" s="18">
        <v>-29.663810920517253</v>
      </c>
      <c r="F253" s="17">
        <v>-20.929101785700492</v>
      </c>
      <c r="G253" s="19">
        <v>1.5628165984931754</v>
      </c>
      <c r="I253" s="14" t="s">
        <v>40</v>
      </c>
      <c r="J253" s="24">
        <f>MAX(rhoMin,(K253*R252/(B246*B249)))</f>
        <v>4.7017543859649126E-3</v>
      </c>
      <c r="K253" s="15">
        <v>2</v>
      </c>
      <c r="L253" s="39">
        <f>IF(M253&lt;2,(B246-(2*(J246+clrCover))-(K253*J252))/(K253-1),(B246-(2*(J246+clrCover))-(N253*J252))/((N253)-1))</f>
        <v>118</v>
      </c>
      <c r="M253" s="15">
        <v>1</v>
      </c>
      <c r="N253" s="22">
        <f>IF(M253&lt;2,K253,CEILING(K253/2,1))</f>
        <v>2</v>
      </c>
      <c r="O253" s="22">
        <f>K253-N253</f>
        <v>0</v>
      </c>
      <c r="Q253" s="37" t="s">
        <v>74</v>
      </c>
      <c r="R253" s="38">
        <f>rhoMin*B246*B249</f>
        <v>282.14999999999998</v>
      </c>
      <c r="S253" s="22">
        <f>ROUNDUP(R253/R252,0)</f>
        <v>2</v>
      </c>
    </row>
    <row r="254" spans="1:19" x14ac:dyDescent="0.25">
      <c r="A254" s="12" t="s">
        <v>26</v>
      </c>
      <c r="B254" s="49">
        <f>B247-clrCover-J246-(IF(M256&gt;1,1.5*J255,0.5*J255))</f>
        <v>342</v>
      </c>
      <c r="C254" s="64">
        <v>-28.008393285580443</v>
      </c>
      <c r="D254" s="18">
        <v>-2.8935582871584145</v>
      </c>
      <c r="E254" s="18">
        <v>-31.028837496225307</v>
      </c>
      <c r="F254" s="17">
        <v>49.818016788332187</v>
      </c>
      <c r="G254" s="19">
        <v>-1.6785998581670512</v>
      </c>
      <c r="I254" s="90" t="s">
        <v>69</v>
      </c>
      <c r="J254" s="91"/>
      <c r="K254" s="96" t="s">
        <v>35</v>
      </c>
      <c r="L254" s="68" t="s">
        <v>36</v>
      </c>
      <c r="M254" s="96" t="s">
        <v>37</v>
      </c>
      <c r="N254" s="98" t="s">
        <v>38</v>
      </c>
      <c r="O254" s="96" t="s">
        <v>72</v>
      </c>
      <c r="R254" s="36"/>
    </row>
    <row r="255" spans="1:19" x14ac:dyDescent="0.25">
      <c r="A255" s="12" t="s">
        <v>27</v>
      </c>
      <c r="B255" s="50">
        <f>K256*R255</f>
        <v>603</v>
      </c>
      <c r="C255" s="64">
        <v>-27.432204918696474</v>
      </c>
      <c r="D255" s="18">
        <v>-3.7760405638586763</v>
      </c>
      <c r="E255" s="18">
        <v>-22.926169333555631</v>
      </c>
      <c r="F255" s="18">
        <v>41.199672626253658</v>
      </c>
      <c r="G255" s="17">
        <v>-2.1964481118994983</v>
      </c>
      <c r="I255" s="14" t="s">
        <v>23</v>
      </c>
      <c r="J255" s="41">
        <v>16</v>
      </c>
      <c r="K255" s="97"/>
      <c r="L255" s="40" t="s">
        <v>9</v>
      </c>
      <c r="M255" s="97"/>
      <c r="N255" s="99"/>
      <c r="O255" s="97"/>
      <c r="Q255" s="14" t="s">
        <v>75</v>
      </c>
      <c r="R255" s="21">
        <f>IF(J255=16,201,IF(J255=20,314,IF(J255=25,490,"Err")))</f>
        <v>201</v>
      </c>
      <c r="S255" s="16" t="s">
        <v>25</v>
      </c>
    </row>
    <row r="256" spans="1:19" x14ac:dyDescent="0.25">
      <c r="A256" s="27" t="s">
        <v>28</v>
      </c>
      <c r="B256" s="52">
        <f>phi*B246*(B254^2)*J256*fy*(1-(0.588*J256*fy/fc))/1000000</f>
        <v>71.953831151942396</v>
      </c>
      <c r="C256" s="53">
        <v>-27.432204918696474</v>
      </c>
      <c r="D256" s="28">
        <v>-3.7760405638586763</v>
      </c>
      <c r="E256" s="28">
        <v>-26.343961865554114</v>
      </c>
      <c r="F256" s="28">
        <v>11.47856283953195</v>
      </c>
      <c r="G256" s="17">
        <v>2.3591767028193278</v>
      </c>
      <c r="I256" s="14" t="s">
        <v>40</v>
      </c>
      <c r="J256" s="24">
        <f>MAX(rhoMin,(K256*R255/(B246*B254)))</f>
        <v>7.0526315789473685E-3</v>
      </c>
      <c r="K256" s="15">
        <v>3</v>
      </c>
      <c r="L256" s="21">
        <f>IF(M256&lt;2,(B246-(2*(J246+clrCover))-(K256*J255))/(K256-1),(B246-(2*(J246+clrCover))-(N256*J255))/((N256)-1))</f>
        <v>51</v>
      </c>
      <c r="M256" s="15">
        <v>1</v>
      </c>
      <c r="N256" s="22">
        <f>IF(M256&lt;2,K256,CEILING(K256/2,1))</f>
        <v>3</v>
      </c>
      <c r="O256" s="22">
        <f>K256-N256</f>
        <v>0</v>
      </c>
      <c r="Q256" s="37" t="s">
        <v>74</v>
      </c>
      <c r="R256" s="38">
        <f>rhoMin*B246*B254</f>
        <v>282.14999999999998</v>
      </c>
      <c r="S256" s="22">
        <f>ROUNDUP(R256/R255,0)</f>
        <v>2</v>
      </c>
    </row>
    <row r="257" spans="1:19" x14ac:dyDescent="0.25">
      <c r="A257" s="65" t="s">
        <v>76</v>
      </c>
    </row>
    <row r="258" spans="1:19" x14ac:dyDescent="0.25">
      <c r="A258" s="69" t="s">
        <v>96</v>
      </c>
      <c r="B258" s="11" t="s">
        <v>11</v>
      </c>
      <c r="C258" s="10" t="s">
        <v>12</v>
      </c>
      <c r="D258" s="10" t="s">
        <v>13</v>
      </c>
      <c r="E258" s="10" t="s">
        <v>14</v>
      </c>
      <c r="F258" s="10" t="s">
        <v>15</v>
      </c>
      <c r="G258" s="11" t="s">
        <v>16</v>
      </c>
      <c r="H258" s="6">
        <v>125</v>
      </c>
      <c r="I258" s="90" t="s">
        <v>34</v>
      </c>
      <c r="J258" s="91"/>
      <c r="Q258" s="71" t="s">
        <v>97</v>
      </c>
    </row>
    <row r="259" spans="1:19" x14ac:dyDescent="0.25">
      <c r="A259" s="12" t="s">
        <v>17</v>
      </c>
      <c r="B259" s="48">
        <v>300</v>
      </c>
      <c r="C259" s="44" t="s">
        <v>18</v>
      </c>
      <c r="D259" s="44" t="s">
        <v>18</v>
      </c>
      <c r="E259" s="44" t="s">
        <v>18</v>
      </c>
      <c r="F259" s="44" t="s">
        <v>19</v>
      </c>
      <c r="G259" s="45" t="s">
        <v>19</v>
      </c>
      <c r="H259" s="6">
        <v>150</v>
      </c>
      <c r="I259" s="14" t="s">
        <v>20</v>
      </c>
      <c r="J259" s="15">
        <v>10</v>
      </c>
      <c r="K259" s="16" t="s">
        <v>9</v>
      </c>
      <c r="L259" s="22" t="s">
        <v>29</v>
      </c>
      <c r="M259" s="22" t="s">
        <v>30</v>
      </c>
      <c r="N259" s="22" t="s">
        <v>31</v>
      </c>
      <c r="O259" s="22" t="s">
        <v>32</v>
      </c>
      <c r="P259" s="3"/>
    </row>
    <row r="260" spans="1:19" x14ac:dyDescent="0.25">
      <c r="A260" s="12" t="s">
        <v>22</v>
      </c>
      <c r="B260" s="48">
        <v>500</v>
      </c>
      <c r="C260" s="17">
        <v>-371.55070734712149</v>
      </c>
      <c r="D260" s="63">
        <v>-5.6235155947242603</v>
      </c>
      <c r="E260" s="63">
        <v>0</v>
      </c>
      <c r="F260" s="63">
        <v>12.255299704927264</v>
      </c>
      <c r="G260" s="54">
        <v>0</v>
      </c>
      <c r="H260" s="6">
        <v>175</v>
      </c>
      <c r="I260" s="56"/>
      <c r="J260" s="57"/>
      <c r="K260" s="58"/>
      <c r="L260" s="92" t="s">
        <v>1</v>
      </c>
      <c r="M260" s="93"/>
      <c r="N260" s="22" t="s">
        <v>35</v>
      </c>
      <c r="O260" s="22" t="s">
        <v>9</v>
      </c>
    </row>
    <row r="261" spans="1:19" x14ac:dyDescent="0.25">
      <c r="A261" s="20" t="s">
        <v>24</v>
      </c>
      <c r="B261" s="13"/>
      <c r="C261" s="17">
        <v>282.91234490565188</v>
      </c>
      <c r="D261" s="18">
        <v>0</v>
      </c>
      <c r="E261" s="18">
        <v>37.930001089148647</v>
      </c>
      <c r="F261" s="18">
        <v>0</v>
      </c>
      <c r="G261" s="19">
        <v>-0.29949655623994054</v>
      </c>
      <c r="H261" s="6">
        <v>200</v>
      </c>
      <c r="I261" s="59" t="s">
        <v>70</v>
      </c>
      <c r="J261" s="60"/>
      <c r="K261" s="61"/>
      <c r="L261" s="25">
        <f>MAX(ABS(E264),ABS(E265))*1000/(B262*B259)</f>
        <v>1.7316693344243352</v>
      </c>
      <c r="M261" s="25">
        <f>L261-phiVc</f>
        <v>1.0691599005292396</v>
      </c>
      <c r="N261" s="26">
        <f>M261*O261*B259/(phiV*fys*0.25*PI()*(J259^2))</f>
        <v>1.9800678763620958</v>
      </c>
      <c r="O261" s="15">
        <v>100</v>
      </c>
    </row>
    <row r="262" spans="1:19" x14ac:dyDescent="0.25">
      <c r="A262" s="12" t="s">
        <v>26</v>
      </c>
      <c r="B262" s="49">
        <f>B260-clrCover-J259-(IF(M266&gt;1,1.5*J265,0.5*J265))</f>
        <v>420</v>
      </c>
      <c r="C262" s="64">
        <v>40.10731155924443</v>
      </c>
      <c r="D262" s="17">
        <v>-63.210664977401187</v>
      </c>
      <c r="E262" s="18">
        <v>111.40444903366617</v>
      </c>
      <c r="F262" s="18">
        <v>90.649725786195347</v>
      </c>
      <c r="G262" s="19">
        <v>11.530757024464371</v>
      </c>
      <c r="H262" s="6">
        <v>250</v>
      </c>
      <c r="I262" s="59" t="s">
        <v>71</v>
      </c>
      <c r="J262" s="60"/>
      <c r="K262" s="61"/>
      <c r="L262" s="25">
        <f>MAX(ABS(E264),ABS(E265))*1000/(B267*B259)</f>
        <v>1.7316693344243352</v>
      </c>
      <c r="M262" s="25">
        <f>L262-phiVc</f>
        <v>1.0691599005292396</v>
      </c>
      <c r="N262" s="26">
        <f>M262*O262*B259/(phiV*fys*0.25*PI()*(J259^2))</f>
        <v>1.9800678763620958</v>
      </c>
      <c r="O262" s="15">
        <v>100</v>
      </c>
    </row>
    <row r="263" spans="1:19" x14ac:dyDescent="0.25">
      <c r="A263" s="12" t="s">
        <v>27</v>
      </c>
      <c r="B263" s="50">
        <f>K266*R265</f>
        <v>1570</v>
      </c>
      <c r="C263" s="64">
        <v>-52.260841598939997</v>
      </c>
      <c r="D263" s="17">
        <v>87.052796173691249</v>
      </c>
      <c r="E263" s="18">
        <v>-104.31616559399731</v>
      </c>
      <c r="F263" s="18">
        <v>-81.522150220846939</v>
      </c>
      <c r="G263" s="19">
        <v>-16.28152177666772</v>
      </c>
      <c r="H263" s="6">
        <v>300</v>
      </c>
    </row>
    <row r="264" spans="1:19" x14ac:dyDescent="0.25">
      <c r="A264" s="12" t="s">
        <v>28</v>
      </c>
      <c r="B264" s="51">
        <f>-phi*B259*(B262^2)*J266*fy*(1-(0.588*J266*fy/fc))/1000000</f>
        <v>-218.09080530719999</v>
      </c>
      <c r="C264" s="64">
        <v>1.9453601050496099</v>
      </c>
      <c r="D264" s="18">
        <v>7.9900472448766235</v>
      </c>
      <c r="E264" s="17">
        <v>-172.56489792950757</v>
      </c>
      <c r="F264" s="18">
        <v>-69.089363107339338</v>
      </c>
      <c r="G264" s="19">
        <v>-0.55926641752866124</v>
      </c>
      <c r="I264" s="90" t="s">
        <v>68</v>
      </c>
      <c r="J264" s="91"/>
      <c r="K264" s="94" t="s">
        <v>35</v>
      </c>
      <c r="L264" s="68" t="s">
        <v>36</v>
      </c>
      <c r="M264" s="96" t="s">
        <v>37</v>
      </c>
      <c r="N264" s="98" t="s">
        <v>38</v>
      </c>
      <c r="O264" s="96" t="s">
        <v>72</v>
      </c>
      <c r="Q264" s="34" t="s">
        <v>73</v>
      </c>
    </row>
    <row r="265" spans="1:19" x14ac:dyDescent="0.25">
      <c r="A265" s="23" t="s">
        <v>33</v>
      </c>
      <c r="B265" s="13"/>
      <c r="C265" s="64">
        <v>64.773439791780177</v>
      </c>
      <c r="D265" s="18">
        <v>-11.175666528266609</v>
      </c>
      <c r="E265" s="17">
        <v>218.19033613746626</v>
      </c>
      <c r="F265" s="18">
        <v>-105.94631754714395</v>
      </c>
      <c r="G265" s="19">
        <v>-3.4608301250613498</v>
      </c>
      <c r="I265" s="14" t="s">
        <v>23</v>
      </c>
      <c r="J265" s="41">
        <v>20</v>
      </c>
      <c r="K265" s="95"/>
      <c r="L265" s="40" t="s">
        <v>9</v>
      </c>
      <c r="M265" s="97"/>
      <c r="N265" s="99"/>
      <c r="O265" s="97"/>
      <c r="Q265" s="14" t="s">
        <v>75</v>
      </c>
      <c r="R265" s="21">
        <f>IF(J265=16,201,IF(J265=20,314,IF(J265=25,490,"Err")))</f>
        <v>314</v>
      </c>
      <c r="S265" s="16" t="s">
        <v>25</v>
      </c>
    </row>
    <row r="266" spans="1:19" x14ac:dyDescent="0.25">
      <c r="A266" s="20" t="s">
        <v>39</v>
      </c>
      <c r="B266" s="13"/>
      <c r="C266" s="64">
        <v>0.80533251962211583</v>
      </c>
      <c r="D266" s="18">
        <v>4.7561911376199648E-3</v>
      </c>
      <c r="E266" s="18">
        <v>99.534219334546009</v>
      </c>
      <c r="F266" s="17">
        <v>-190.31074565824522</v>
      </c>
      <c r="G266" s="19">
        <v>9.3907422494758641E-3</v>
      </c>
      <c r="I266" s="14" t="s">
        <v>40</v>
      </c>
      <c r="J266" s="24">
        <f>MAX(rhoMin,(K266*R265/(B259*B262)))</f>
        <v>1.246031746031746E-2</v>
      </c>
      <c r="K266" s="15">
        <v>5</v>
      </c>
      <c r="L266" s="39">
        <f>IF(M266&lt;2,(B259-(2*(J259+clrCover))-(K266*J265))/(K266-1),(B259-(2*(J259+clrCover))-(N266*J265))/((N266)-1))</f>
        <v>70</v>
      </c>
      <c r="M266" s="15">
        <v>2</v>
      </c>
      <c r="N266" s="22">
        <f>IF(M266&lt;2,K266,CEILING(K266/2,1))</f>
        <v>3</v>
      </c>
      <c r="O266" s="22">
        <f>K266-N266</f>
        <v>2</v>
      </c>
      <c r="Q266" s="37" t="s">
        <v>74</v>
      </c>
      <c r="R266" s="38">
        <f>rhoMin*B259*B262</f>
        <v>415.8</v>
      </c>
      <c r="S266" s="22">
        <f>ROUNDUP(R266/R265,0)</f>
        <v>2</v>
      </c>
    </row>
    <row r="267" spans="1:19" x14ac:dyDescent="0.25">
      <c r="A267" s="12" t="s">
        <v>26</v>
      </c>
      <c r="B267" s="49">
        <f>B260-clrCover-J259-(IF(M269&gt;1,1.5*J268,0.5*J268))</f>
        <v>420</v>
      </c>
      <c r="C267" s="64">
        <v>-75.204460136128858</v>
      </c>
      <c r="D267" s="18">
        <v>-0.27552245579186563</v>
      </c>
      <c r="E267" s="18">
        <v>-97.741129007932841</v>
      </c>
      <c r="F267" s="17">
        <v>201.26531438217458</v>
      </c>
      <c r="G267" s="19">
        <v>-0.54399839920197546</v>
      </c>
      <c r="I267" s="90" t="s">
        <v>69</v>
      </c>
      <c r="J267" s="91"/>
      <c r="K267" s="96" t="s">
        <v>35</v>
      </c>
      <c r="L267" s="68" t="s">
        <v>36</v>
      </c>
      <c r="M267" s="96" t="s">
        <v>37</v>
      </c>
      <c r="N267" s="98" t="s">
        <v>38</v>
      </c>
      <c r="O267" s="96" t="s">
        <v>72</v>
      </c>
      <c r="R267" s="36"/>
    </row>
    <row r="268" spans="1:19" x14ac:dyDescent="0.25">
      <c r="A268" s="12" t="s">
        <v>27</v>
      </c>
      <c r="B268" s="50">
        <f>K269*R268</f>
        <v>1570</v>
      </c>
      <c r="C268" s="64">
        <v>-3.9007528490697942</v>
      </c>
      <c r="D268" s="18">
        <v>46.822092109661739</v>
      </c>
      <c r="E268" s="18">
        <v>-57.570005650681175</v>
      </c>
      <c r="F268" s="18">
        <v>-36.218181362441825</v>
      </c>
      <c r="G268" s="17">
        <v>-26.747995885219559</v>
      </c>
      <c r="I268" s="14" t="s">
        <v>23</v>
      </c>
      <c r="J268" s="41">
        <v>20</v>
      </c>
      <c r="K268" s="97"/>
      <c r="L268" s="40" t="s">
        <v>9</v>
      </c>
      <c r="M268" s="97"/>
      <c r="N268" s="99"/>
      <c r="O268" s="97"/>
      <c r="Q268" s="14" t="s">
        <v>75</v>
      </c>
      <c r="R268" s="21">
        <f>IF(J268=16,201,IF(J268=20,314,IF(J268=25,490,"Err")))</f>
        <v>314</v>
      </c>
      <c r="S268" s="16" t="s">
        <v>25</v>
      </c>
    </row>
    <row r="269" spans="1:19" x14ac:dyDescent="0.25">
      <c r="A269" s="27" t="s">
        <v>28</v>
      </c>
      <c r="B269" s="52">
        <f>phi*B259*(B267^2)*J269*fy*(1-(0.588*J269*fy/fc))/1000000</f>
        <v>218.09080530719999</v>
      </c>
      <c r="C269" s="53">
        <v>21.540027083657527</v>
      </c>
      <c r="D269" s="28">
        <v>46.545384943725935</v>
      </c>
      <c r="E269" s="28">
        <v>-58.634324836647117</v>
      </c>
      <c r="F269" s="28">
        <v>-27.243785091198095</v>
      </c>
      <c r="G269" s="17">
        <v>20.271743719282689</v>
      </c>
      <c r="I269" s="14" t="s">
        <v>40</v>
      </c>
      <c r="J269" s="24">
        <f>MAX(rhoMin,(K269*R268/(B259*B267)))</f>
        <v>1.246031746031746E-2</v>
      </c>
      <c r="K269" s="15">
        <v>5</v>
      </c>
      <c r="L269" s="21">
        <f>IF(M269&lt;2,(B259-(2*(J259+clrCover))-(K269*J268))/(K269-1),(B259-(2*(J259+clrCover))-(N269*J268))/((N269)-1))</f>
        <v>70</v>
      </c>
      <c r="M269" s="15">
        <v>2</v>
      </c>
      <c r="N269" s="22">
        <f>IF(M269&lt;2,K269,CEILING(K269/2,1))</f>
        <v>3</v>
      </c>
      <c r="O269" s="22">
        <f>K269-N269</f>
        <v>2</v>
      </c>
      <c r="Q269" s="37" t="s">
        <v>74</v>
      </c>
      <c r="R269" s="38">
        <f>rhoMin*B259*B267</f>
        <v>415.8</v>
      </c>
      <c r="S269" s="22">
        <f>ROUNDUP(R269/R268,0)</f>
        <v>2</v>
      </c>
    </row>
    <row r="270" spans="1:19" x14ac:dyDescent="0.25">
      <c r="A270" s="65" t="s">
        <v>76</v>
      </c>
    </row>
    <row r="271" spans="1:19" x14ac:dyDescent="0.25">
      <c r="A271" s="69" t="s">
        <v>98</v>
      </c>
      <c r="B271" s="11" t="s">
        <v>11</v>
      </c>
      <c r="C271" s="10" t="s">
        <v>12</v>
      </c>
      <c r="D271" s="10" t="s">
        <v>13</v>
      </c>
      <c r="E271" s="10" t="s">
        <v>14</v>
      </c>
      <c r="F271" s="10" t="s">
        <v>15</v>
      </c>
      <c r="G271" s="11" t="s">
        <v>16</v>
      </c>
      <c r="H271" s="6">
        <v>125</v>
      </c>
      <c r="I271" s="90" t="s">
        <v>34</v>
      </c>
      <c r="J271" s="91"/>
      <c r="K271" s="71" t="s">
        <v>134</v>
      </c>
      <c r="Q271" s="71" t="s">
        <v>99</v>
      </c>
    </row>
    <row r="272" spans="1:19" x14ac:dyDescent="0.25">
      <c r="A272" s="12" t="s">
        <v>17</v>
      </c>
      <c r="B272" s="48">
        <v>350</v>
      </c>
      <c r="C272" s="44" t="s">
        <v>18</v>
      </c>
      <c r="D272" s="44" t="s">
        <v>18</v>
      </c>
      <c r="E272" s="44" t="s">
        <v>18</v>
      </c>
      <c r="F272" s="44" t="s">
        <v>19</v>
      </c>
      <c r="G272" s="45" t="s">
        <v>19</v>
      </c>
      <c r="H272" s="6">
        <v>150</v>
      </c>
      <c r="I272" s="14" t="s">
        <v>20</v>
      </c>
      <c r="J272" s="15">
        <v>10</v>
      </c>
      <c r="K272" s="16" t="s">
        <v>9</v>
      </c>
      <c r="L272" s="22" t="s">
        <v>29</v>
      </c>
      <c r="M272" s="22" t="s">
        <v>30</v>
      </c>
      <c r="N272" s="22" t="s">
        <v>31</v>
      </c>
      <c r="O272" s="22" t="s">
        <v>32</v>
      </c>
      <c r="P272" s="3"/>
      <c r="Q272" s="34"/>
    </row>
    <row r="273" spans="1:19" x14ac:dyDescent="0.25">
      <c r="A273" s="12" t="s">
        <v>22</v>
      </c>
      <c r="B273" s="48">
        <v>700</v>
      </c>
      <c r="C273" s="17">
        <v>-99.334772200853024</v>
      </c>
      <c r="D273" s="63">
        <v>-0.75618603340860413</v>
      </c>
      <c r="E273" s="63">
        <v>0</v>
      </c>
      <c r="F273" s="63">
        <v>-14.294350036823079</v>
      </c>
      <c r="G273" s="54">
        <v>0</v>
      </c>
      <c r="H273" s="6">
        <v>175</v>
      </c>
      <c r="I273" s="56"/>
      <c r="J273" s="57"/>
      <c r="K273" s="58"/>
      <c r="L273" s="92" t="s">
        <v>1</v>
      </c>
      <c r="M273" s="93"/>
      <c r="N273" s="22" t="s">
        <v>35</v>
      </c>
      <c r="O273" s="22" t="s">
        <v>9</v>
      </c>
    </row>
    <row r="274" spans="1:19" x14ac:dyDescent="0.25">
      <c r="A274" s="20" t="s">
        <v>24</v>
      </c>
      <c r="B274" s="13"/>
      <c r="C274" s="17">
        <v>503.69289344778707</v>
      </c>
      <c r="D274" s="18">
        <v>0</v>
      </c>
      <c r="E274" s="18">
        <v>-228.70493941400412</v>
      </c>
      <c r="F274" s="18">
        <v>0</v>
      </c>
      <c r="G274" s="19">
        <v>-5.2589552610095129</v>
      </c>
      <c r="H274" s="6">
        <v>200</v>
      </c>
      <c r="I274" s="59" t="s">
        <v>70</v>
      </c>
      <c r="J274" s="60"/>
      <c r="K274" s="61"/>
      <c r="L274" s="25">
        <f>MAX(ABS(E277),ABS(E278))*1000/(B275*B272)</f>
        <v>1.7310593437860822</v>
      </c>
      <c r="M274" s="25">
        <f>L274-phiVc</f>
        <v>1.0685499098909865</v>
      </c>
      <c r="N274" s="26">
        <f>M274*O274*B272/(phiV*fys*0.25*PI()*(J272^2))</f>
        <v>2.3087612134726765</v>
      </c>
      <c r="O274" s="15">
        <v>100</v>
      </c>
    </row>
    <row r="275" spans="1:19" x14ac:dyDescent="0.25">
      <c r="A275" s="12" t="s">
        <v>26</v>
      </c>
      <c r="B275" s="49">
        <f>B273-clrCover-J272-(IF(M279&gt;1,1.5*J278,0.5*J278))</f>
        <v>620</v>
      </c>
      <c r="C275" s="64">
        <v>20.549618565627039</v>
      </c>
      <c r="D275" s="17">
        <v>-28.282075140221991</v>
      </c>
      <c r="E275" s="18">
        <v>57.633854215255688</v>
      </c>
      <c r="F275" s="18">
        <v>-11.533385727506559</v>
      </c>
      <c r="G275" s="19">
        <v>13.214846449135143</v>
      </c>
      <c r="H275" s="6">
        <v>250</v>
      </c>
      <c r="I275" s="59" t="s">
        <v>71</v>
      </c>
      <c r="J275" s="60"/>
      <c r="K275" s="61"/>
      <c r="L275" s="25">
        <f>MAX(ABS(E277),ABS(E278))*1000/(B280*B272)</f>
        <v>1.7310593437860822</v>
      </c>
      <c r="M275" s="25">
        <f>L275-phiVc</f>
        <v>1.0685499098909865</v>
      </c>
      <c r="N275" s="26">
        <f>M275*O275*B272/(phiV*fys*0.25*PI()*(J272^2))</f>
        <v>2.3087612134726765</v>
      </c>
      <c r="O275" s="15">
        <v>100</v>
      </c>
    </row>
    <row r="276" spans="1:19" x14ac:dyDescent="0.25">
      <c r="A276" s="12" t="s">
        <v>27</v>
      </c>
      <c r="B276" s="50">
        <f>K279*R278</f>
        <v>2198</v>
      </c>
      <c r="C276" s="64">
        <v>245.81252853222497</v>
      </c>
      <c r="D276" s="17">
        <v>39.982209237557811</v>
      </c>
      <c r="E276" s="18">
        <v>209.85207837838399</v>
      </c>
      <c r="F276" s="18">
        <v>-108.66293052216086</v>
      </c>
      <c r="G276" s="19">
        <v>-12.425875824388351</v>
      </c>
      <c r="H276" s="6">
        <v>300</v>
      </c>
    </row>
    <row r="277" spans="1:19" x14ac:dyDescent="0.25">
      <c r="A277" s="12" t="s">
        <v>28</v>
      </c>
      <c r="B277" s="51">
        <f>-phi*B272*(B275^2)*J279*fy*(1-(0.588*J279*fy/fc))/1000000</f>
        <v>-461.39362971609597</v>
      </c>
      <c r="C277" s="64">
        <v>-35.659132588469916</v>
      </c>
      <c r="D277" s="18">
        <v>18.219824247429671</v>
      </c>
      <c r="E277" s="17">
        <v>-257.18980509479809</v>
      </c>
      <c r="F277" s="18">
        <v>-291.0253223410017</v>
      </c>
      <c r="G277" s="19">
        <v>-5.0443046652382391</v>
      </c>
      <c r="I277" s="90" t="s">
        <v>68</v>
      </c>
      <c r="J277" s="91"/>
      <c r="K277" s="94" t="s">
        <v>35</v>
      </c>
      <c r="L277" s="68" t="s">
        <v>36</v>
      </c>
      <c r="M277" s="96" t="s">
        <v>37</v>
      </c>
      <c r="N277" s="98" t="s">
        <v>38</v>
      </c>
      <c r="O277" s="96" t="s">
        <v>72</v>
      </c>
      <c r="Q277" s="34" t="s">
        <v>73</v>
      </c>
    </row>
    <row r="278" spans="1:19" x14ac:dyDescent="0.25">
      <c r="A278" s="23" t="s">
        <v>33</v>
      </c>
      <c r="B278" s="13"/>
      <c r="C278" s="64">
        <v>263.65181948718856</v>
      </c>
      <c r="D278" s="18">
        <v>-17.575297110959486</v>
      </c>
      <c r="E278" s="17">
        <v>375.63987760157983</v>
      </c>
      <c r="F278" s="18">
        <v>-472.02727096635215</v>
      </c>
      <c r="G278" s="19">
        <v>-9.9109482656689121</v>
      </c>
      <c r="I278" s="14" t="s">
        <v>23</v>
      </c>
      <c r="J278" s="41">
        <v>20</v>
      </c>
      <c r="K278" s="95"/>
      <c r="L278" s="40" t="s">
        <v>9</v>
      </c>
      <c r="M278" s="97"/>
      <c r="N278" s="99"/>
      <c r="O278" s="97"/>
      <c r="Q278" s="14" t="s">
        <v>75</v>
      </c>
      <c r="R278" s="21">
        <f>IF(J278=16,201,IF(J278=20,314,IF(J278=25,490,"Err")))</f>
        <v>314</v>
      </c>
      <c r="S278" s="16" t="s">
        <v>25</v>
      </c>
    </row>
    <row r="279" spans="1:19" x14ac:dyDescent="0.25">
      <c r="A279" s="20" t="s">
        <v>39</v>
      </c>
      <c r="B279" s="13"/>
      <c r="C279" s="64">
        <v>263.65181948718856</v>
      </c>
      <c r="D279" s="18">
        <v>-17.575297110959486</v>
      </c>
      <c r="E279" s="18">
        <v>375.63987760157983</v>
      </c>
      <c r="F279" s="17">
        <v>-472.02727096635215</v>
      </c>
      <c r="G279" s="19">
        <v>-9.9109482656689121</v>
      </c>
      <c r="I279" s="14" t="s">
        <v>40</v>
      </c>
      <c r="J279" s="24">
        <f>MAX(rhoMin,(K279*R278/(B272*B275)))</f>
        <v>1.0129032258064516E-2</v>
      </c>
      <c r="K279" s="15">
        <v>7</v>
      </c>
      <c r="L279" s="39">
        <f>IF(M279&lt;2,(B272-(2*(J272+clrCover))-(K279*J278))/(K279-1),(B272-(2*(J272+clrCover))-(N279*J278))/((N279)-1))</f>
        <v>56.666666666666664</v>
      </c>
      <c r="M279" s="15">
        <v>2</v>
      </c>
      <c r="N279" s="22">
        <f>IF(M279&lt;2,K279,CEILING(K279/2,1))</f>
        <v>4</v>
      </c>
      <c r="O279" s="22">
        <f>K279-N279</f>
        <v>3</v>
      </c>
      <c r="Q279" s="37" t="s">
        <v>74</v>
      </c>
      <c r="R279" s="38">
        <f>rhoMin*B272*B275</f>
        <v>716.1</v>
      </c>
      <c r="S279" s="22">
        <f>ROUNDUP(R279/R278,0)</f>
        <v>3</v>
      </c>
    </row>
    <row r="280" spans="1:19" x14ac:dyDescent="0.25">
      <c r="A280" s="12" t="s">
        <v>26</v>
      </c>
      <c r="B280" s="49">
        <f>B273-clrCover-J272-(IF(M282&gt;1,1.5*J281,0.5*J281))</f>
        <v>620</v>
      </c>
      <c r="C280" s="64">
        <v>196.62028578194912</v>
      </c>
      <c r="D280" s="18">
        <v>3.2611718534322698</v>
      </c>
      <c r="E280" s="18">
        <v>187.28219521786784</v>
      </c>
      <c r="F280" s="17">
        <v>339.71125757460402</v>
      </c>
      <c r="G280" s="19">
        <v>-2.0660618549053558</v>
      </c>
      <c r="I280" s="90" t="s">
        <v>69</v>
      </c>
      <c r="J280" s="91"/>
      <c r="K280" s="96" t="s">
        <v>35</v>
      </c>
      <c r="L280" s="68" t="s">
        <v>36</v>
      </c>
      <c r="M280" s="96" t="s">
        <v>37</v>
      </c>
      <c r="N280" s="98" t="s">
        <v>38</v>
      </c>
      <c r="O280" s="96" t="s">
        <v>72</v>
      </c>
      <c r="R280" s="36"/>
    </row>
    <row r="281" spans="1:19" x14ac:dyDescent="0.25">
      <c r="A281" s="12" t="s">
        <v>27</v>
      </c>
      <c r="B281" s="50">
        <f>K282*R281</f>
        <v>1570</v>
      </c>
      <c r="C281" s="64">
        <v>20.549618565627039</v>
      </c>
      <c r="D281" s="18">
        <v>-28.282075140221991</v>
      </c>
      <c r="E281" s="18">
        <v>65.29408305741137</v>
      </c>
      <c r="F281" s="18">
        <v>-73.589433585127992</v>
      </c>
      <c r="G281" s="17">
        <v>-15.078128966371962</v>
      </c>
      <c r="I281" s="14" t="s">
        <v>23</v>
      </c>
      <c r="J281" s="41">
        <v>20</v>
      </c>
      <c r="K281" s="97"/>
      <c r="L281" s="40" t="s">
        <v>9</v>
      </c>
      <c r="M281" s="97"/>
      <c r="N281" s="99"/>
      <c r="O281" s="97"/>
      <c r="Q281" s="14" t="s">
        <v>75</v>
      </c>
      <c r="R281" s="21">
        <f>IF(J281=16,201,IF(J281=20,314,IF(J281=25,490,"Err")))</f>
        <v>314</v>
      </c>
      <c r="S281" s="16" t="s">
        <v>25</v>
      </c>
    </row>
    <row r="282" spans="1:19" x14ac:dyDescent="0.25">
      <c r="A282" s="27" t="s">
        <v>28</v>
      </c>
      <c r="B282" s="52">
        <f>phi*B272*(B280^2)*J282*fy*(1-(0.588*J282*fy/fc))/1000000</f>
        <v>339.03029597759996</v>
      </c>
      <c r="C282" s="53">
        <v>245.81252853222497</v>
      </c>
      <c r="D282" s="28">
        <v>39.982209237557811</v>
      </c>
      <c r="E282" s="28">
        <v>229.85618333694018</v>
      </c>
      <c r="F282" s="28">
        <v>-279.42383916582622</v>
      </c>
      <c r="G282" s="17">
        <v>18.628343408848231</v>
      </c>
      <c r="I282" s="14" t="s">
        <v>40</v>
      </c>
      <c r="J282" s="24">
        <f>MAX(rhoMin,(K282*R281/(B272*B280)))</f>
        <v>7.2350230414746546E-3</v>
      </c>
      <c r="K282" s="15">
        <v>5</v>
      </c>
      <c r="L282" s="21">
        <f>IF(M282&lt;2,(B272-(2*(J272+clrCover))-(K282*J281))/(K282-1),(B272-(2*(J272+clrCover))-(N282*J281))/((N282)-1))</f>
        <v>95</v>
      </c>
      <c r="M282" s="15">
        <v>2</v>
      </c>
      <c r="N282" s="22">
        <f>IF(M282&lt;2,K282,CEILING(K282/2,1))</f>
        <v>3</v>
      </c>
      <c r="O282" s="22">
        <f>K282-N282</f>
        <v>2</v>
      </c>
      <c r="Q282" s="37" t="s">
        <v>74</v>
      </c>
      <c r="R282" s="38">
        <f>rhoMin*B272*B280</f>
        <v>716.1</v>
      </c>
      <c r="S282" s="22">
        <f>ROUNDUP(R282/R281,0)</f>
        <v>3</v>
      </c>
    </row>
    <row r="283" spans="1:19" x14ac:dyDescent="0.25">
      <c r="A283" s="65" t="s">
        <v>76</v>
      </c>
    </row>
    <row r="284" spans="1:19" x14ac:dyDescent="0.25">
      <c r="A284" s="69" t="s">
        <v>100</v>
      </c>
      <c r="B284" s="11" t="s">
        <v>11</v>
      </c>
      <c r="C284" s="10" t="s">
        <v>12</v>
      </c>
      <c r="D284" s="10" t="s">
        <v>13</v>
      </c>
      <c r="E284" s="10" t="s">
        <v>14</v>
      </c>
      <c r="F284" s="10" t="s">
        <v>15</v>
      </c>
      <c r="G284" s="11" t="s">
        <v>16</v>
      </c>
      <c r="H284" s="6">
        <v>125</v>
      </c>
      <c r="I284" s="90" t="s">
        <v>34</v>
      </c>
      <c r="J284" s="91"/>
      <c r="Q284" s="71" t="s">
        <v>102</v>
      </c>
    </row>
    <row r="285" spans="1:19" x14ac:dyDescent="0.25">
      <c r="A285" s="12" t="s">
        <v>17</v>
      </c>
      <c r="B285" s="48">
        <v>300</v>
      </c>
      <c r="C285" s="44" t="s">
        <v>18</v>
      </c>
      <c r="D285" s="44" t="s">
        <v>18</v>
      </c>
      <c r="E285" s="44" t="s">
        <v>18</v>
      </c>
      <c r="F285" s="44" t="s">
        <v>19</v>
      </c>
      <c r="G285" s="45" t="s">
        <v>19</v>
      </c>
      <c r="H285" s="6">
        <v>150</v>
      </c>
      <c r="I285" s="14" t="s">
        <v>20</v>
      </c>
      <c r="J285" s="15">
        <v>12</v>
      </c>
      <c r="K285" s="16" t="s">
        <v>9</v>
      </c>
      <c r="L285" s="22" t="s">
        <v>29</v>
      </c>
      <c r="M285" s="22" t="s">
        <v>30</v>
      </c>
      <c r="N285" s="22" t="s">
        <v>31</v>
      </c>
      <c r="O285" s="22" t="s">
        <v>32</v>
      </c>
      <c r="P285" s="3"/>
    </row>
    <row r="286" spans="1:19" x14ac:dyDescent="0.25">
      <c r="A286" s="12" t="s">
        <v>22</v>
      </c>
      <c r="B286" s="48">
        <v>600</v>
      </c>
      <c r="C286" s="17">
        <v>-833.40091166206378</v>
      </c>
      <c r="D286" s="63">
        <v>8.6951855953122266</v>
      </c>
      <c r="E286" s="63">
        <v>0</v>
      </c>
      <c r="F286" s="63">
        <v>-219.11541986543321</v>
      </c>
      <c r="G286" s="54">
        <v>0</v>
      </c>
      <c r="H286" s="6">
        <v>175</v>
      </c>
      <c r="I286" s="56"/>
      <c r="J286" s="57"/>
      <c r="K286" s="58"/>
      <c r="L286" s="92" t="s">
        <v>1</v>
      </c>
      <c r="M286" s="93"/>
      <c r="N286" s="22" t="s">
        <v>35</v>
      </c>
      <c r="O286" s="22" t="s">
        <v>9</v>
      </c>
    </row>
    <row r="287" spans="1:19" x14ac:dyDescent="0.25">
      <c r="A287" s="20" t="s">
        <v>24</v>
      </c>
      <c r="B287" s="13"/>
      <c r="C287" s="17">
        <v>1136.8782389098424</v>
      </c>
      <c r="D287" s="18">
        <v>0</v>
      </c>
      <c r="E287" s="18">
        <v>-42.243024466797571</v>
      </c>
      <c r="F287" s="18">
        <v>0</v>
      </c>
      <c r="G287" s="19">
        <v>20.806471331268455</v>
      </c>
      <c r="H287" s="6">
        <v>200</v>
      </c>
      <c r="I287" s="59" t="s">
        <v>70</v>
      </c>
      <c r="J287" s="60"/>
      <c r="K287" s="61"/>
      <c r="L287" s="25">
        <f>MAX(ABS(E290),ABS(E291))*1000/(B288*B285)</f>
        <v>2.9003324110991038</v>
      </c>
      <c r="M287" s="25">
        <f>L287-phiVc</f>
        <v>2.2378229772040079</v>
      </c>
      <c r="N287" s="26">
        <f>M287*O287*B285/(phiV*fys*0.25*PI()*(J285^2))</f>
        <v>2.8780653623162795</v>
      </c>
      <c r="O287" s="15">
        <v>100</v>
      </c>
    </row>
    <row r="288" spans="1:19" x14ac:dyDescent="0.25">
      <c r="A288" s="12" t="s">
        <v>26</v>
      </c>
      <c r="B288" s="49">
        <f>B286-clrCover-J285-(IF(M292&gt;1,1.5*J291,0.5*J291))</f>
        <v>510.5</v>
      </c>
      <c r="C288" s="64">
        <v>4.7253508781731144</v>
      </c>
      <c r="D288" s="17">
        <v>-124.28276532489062</v>
      </c>
      <c r="E288" s="18">
        <v>-28.410912961142291</v>
      </c>
      <c r="F288" s="18">
        <v>127.10069833500609</v>
      </c>
      <c r="G288" s="19">
        <v>-5.961856967349771</v>
      </c>
      <c r="H288" s="6">
        <v>250</v>
      </c>
      <c r="I288" s="59" t="s">
        <v>71</v>
      </c>
      <c r="J288" s="60"/>
      <c r="K288" s="61"/>
      <c r="L288" s="25">
        <f>MAX(ABS(E290),ABS(E291))*1000/(B293*B285)</f>
        <v>2.8583391812086725</v>
      </c>
      <c r="M288" s="25">
        <f>L288-phiVc</f>
        <v>2.1958297473135771</v>
      </c>
      <c r="N288" s="26">
        <f>M288*O288*B285/(phiV*fys*0.25*PI()*(J285^2))</f>
        <v>2.8240578462479449</v>
      </c>
      <c r="O288" s="15">
        <v>100</v>
      </c>
    </row>
    <row r="289" spans="1:19" x14ac:dyDescent="0.25">
      <c r="A289" s="12" t="s">
        <v>27</v>
      </c>
      <c r="B289" s="50">
        <f>K292*R291</f>
        <v>2940</v>
      </c>
      <c r="C289" s="64">
        <v>-317.81354037103881</v>
      </c>
      <c r="D289" s="17">
        <v>90.383521932271819</v>
      </c>
      <c r="E289" s="18">
        <v>124.05749971759289</v>
      </c>
      <c r="F289" s="18">
        <v>-89.032157703554773</v>
      </c>
      <c r="G289" s="19">
        <v>-16.71705840884611</v>
      </c>
      <c r="H289" s="6">
        <v>300</v>
      </c>
    </row>
    <row r="290" spans="1:19" x14ac:dyDescent="0.25">
      <c r="A290" s="12" t="s">
        <v>28</v>
      </c>
      <c r="B290" s="51">
        <f>-phi*B285*(B288^2)*J292*fy*(1-(0.588*J292*fy/fc))/1000000</f>
        <v>-462.43423558080002</v>
      </c>
      <c r="C290" s="64">
        <v>21.11588887607564</v>
      </c>
      <c r="D290" s="18">
        <v>4.2105754978919672</v>
      </c>
      <c r="E290" s="17">
        <v>-444.18590875982773</v>
      </c>
      <c r="F290" s="18">
        <v>-259.19800259727651</v>
      </c>
      <c r="G290" s="19">
        <v>-0.85040537010234341</v>
      </c>
      <c r="I290" s="90" t="s">
        <v>68</v>
      </c>
      <c r="J290" s="91"/>
      <c r="K290" s="94" t="s">
        <v>35</v>
      </c>
      <c r="L290" s="68" t="s">
        <v>36</v>
      </c>
      <c r="M290" s="96" t="s">
        <v>37</v>
      </c>
      <c r="N290" s="98" t="s">
        <v>38</v>
      </c>
      <c r="O290" s="96" t="s">
        <v>72</v>
      </c>
      <c r="Q290" s="34" t="s">
        <v>73</v>
      </c>
    </row>
    <row r="291" spans="1:19" x14ac:dyDescent="0.25">
      <c r="A291" s="23" t="s">
        <v>33</v>
      </c>
      <c r="B291" s="13"/>
      <c r="C291" s="64">
        <v>58.207855467141087</v>
      </c>
      <c r="D291" s="18">
        <v>0.81092427694445224</v>
      </c>
      <c r="E291" s="17">
        <v>346.48997456508152</v>
      </c>
      <c r="F291" s="18">
        <v>-371.51357191678437</v>
      </c>
      <c r="G291" s="19">
        <v>0.55097380851827982</v>
      </c>
      <c r="I291" s="14" t="s">
        <v>23</v>
      </c>
      <c r="J291" s="41">
        <v>25</v>
      </c>
      <c r="K291" s="95"/>
      <c r="L291" s="40" t="s">
        <v>9</v>
      </c>
      <c r="M291" s="97"/>
      <c r="N291" s="99"/>
      <c r="O291" s="97"/>
      <c r="Q291" s="14" t="s">
        <v>75</v>
      </c>
      <c r="R291" s="21">
        <f>IF(J291=16,201,IF(J291=20,314,IF(J291=25,490,"Err")))</f>
        <v>490</v>
      </c>
      <c r="S291" s="16" t="s">
        <v>25</v>
      </c>
    </row>
    <row r="292" spans="1:19" x14ac:dyDescent="0.25">
      <c r="A292" s="20" t="s">
        <v>39</v>
      </c>
      <c r="B292" s="13"/>
      <c r="C292" s="64">
        <v>-1.5115039944404272</v>
      </c>
      <c r="D292" s="18">
        <v>-8.6973248297698351</v>
      </c>
      <c r="E292" s="18">
        <v>260.83077914604053</v>
      </c>
      <c r="F292" s="17">
        <v>-453.45523899484158</v>
      </c>
      <c r="G292" s="19">
        <v>-5.1918518648310252</v>
      </c>
      <c r="I292" s="14" t="s">
        <v>40</v>
      </c>
      <c r="J292" s="24">
        <f>MAX(rhoMin,(K292*R291/(B285*B288)))</f>
        <v>1.9196865817825662E-2</v>
      </c>
      <c r="K292" s="15">
        <v>6</v>
      </c>
      <c r="L292" s="39">
        <f>IF(M292&lt;2,(B285-(2*(J285+clrCover))-(K292*J291))/(K292-1),(B285-(2*(J285+clrCover))-(N292*J291))/((N292)-1))</f>
        <v>60.5</v>
      </c>
      <c r="M292" s="15">
        <v>2</v>
      </c>
      <c r="N292" s="22">
        <f>IF(M292&lt;2,K292,CEILING(K292/2,1))</f>
        <v>3</v>
      </c>
      <c r="O292" s="22">
        <f>K292-N292</f>
        <v>3</v>
      </c>
      <c r="Q292" s="37" t="s">
        <v>74</v>
      </c>
      <c r="R292" s="38">
        <f>rhoMin*B285*B288</f>
        <v>505.39499999999998</v>
      </c>
      <c r="S292" s="22">
        <f>ROUNDUP(R292/R291,0)</f>
        <v>2</v>
      </c>
    </row>
    <row r="293" spans="1:19" x14ac:dyDescent="0.25">
      <c r="A293" s="12" t="s">
        <v>26</v>
      </c>
      <c r="B293" s="49">
        <f>B286-clrCover-J285-(IF(M295&gt;1,1.5*J294,0.5*J294))</f>
        <v>518</v>
      </c>
      <c r="C293" s="64">
        <v>33.999773199237126</v>
      </c>
      <c r="D293" s="18">
        <v>-10.034912827499204</v>
      </c>
      <c r="E293" s="18">
        <v>-130.74202834745975</v>
      </c>
      <c r="F293" s="17">
        <v>280.28649528636964</v>
      </c>
      <c r="G293" s="19">
        <v>-5.3241868864019599</v>
      </c>
      <c r="I293" s="90" t="s">
        <v>69</v>
      </c>
      <c r="J293" s="91"/>
      <c r="K293" s="96" t="s">
        <v>35</v>
      </c>
      <c r="L293" s="68" t="s">
        <v>36</v>
      </c>
      <c r="M293" s="96" t="s">
        <v>37</v>
      </c>
      <c r="N293" s="98" t="s">
        <v>38</v>
      </c>
      <c r="O293" s="96" t="s">
        <v>72</v>
      </c>
      <c r="R293" s="36"/>
    </row>
    <row r="294" spans="1:19" x14ac:dyDescent="0.25">
      <c r="A294" s="12" t="s">
        <v>27</v>
      </c>
      <c r="B294" s="50">
        <f>K295*R294</f>
        <v>1570</v>
      </c>
      <c r="C294" s="64">
        <v>147.35208179547899</v>
      </c>
      <c r="D294" s="18">
        <v>-89.813817101687988</v>
      </c>
      <c r="E294" s="18">
        <v>-288.58130294257342</v>
      </c>
      <c r="F294" s="18">
        <v>-39.868571500977588</v>
      </c>
      <c r="G294" s="17">
        <v>-37.92163450479331</v>
      </c>
      <c r="I294" s="14" t="s">
        <v>23</v>
      </c>
      <c r="J294" s="41">
        <v>20</v>
      </c>
      <c r="K294" s="97"/>
      <c r="L294" s="40" t="s">
        <v>9</v>
      </c>
      <c r="M294" s="97"/>
      <c r="N294" s="99"/>
      <c r="O294" s="97"/>
      <c r="Q294" s="14" t="s">
        <v>75</v>
      </c>
      <c r="R294" s="21">
        <f>IF(J294=16,201,IF(J294=20,314,IF(J294=25,490,"Err")))</f>
        <v>314</v>
      </c>
      <c r="S294" s="16" t="s">
        <v>25</v>
      </c>
    </row>
    <row r="295" spans="1:19" x14ac:dyDescent="0.25">
      <c r="A295" s="27" t="s">
        <v>28</v>
      </c>
      <c r="B295" s="52">
        <f>phi*B285*(B293^2)*J295*fy*(1-(0.588*J295*fy/fc))/1000000</f>
        <v>275.41904130720002</v>
      </c>
      <c r="C295" s="53">
        <v>147.35208179547899</v>
      </c>
      <c r="D295" s="28">
        <v>-89.813817101687988</v>
      </c>
      <c r="E295" s="28">
        <v>-299.68635579752362</v>
      </c>
      <c r="F295" s="28">
        <v>-314.39358339998023</v>
      </c>
      <c r="G295" s="17">
        <v>45.904626695226476</v>
      </c>
      <c r="I295" s="14" t="s">
        <v>40</v>
      </c>
      <c r="J295" s="24">
        <f>MAX(rhoMin,(K295*R294/(B285*B293)))</f>
        <v>1.0102960102960103E-2</v>
      </c>
      <c r="K295" s="15">
        <v>5</v>
      </c>
      <c r="L295" s="21">
        <f>IF(M295&lt;2,(B285-(2*(J285+clrCover))-(K295*J294))/(K295-1),(B285-(2*(J285+clrCover))-(N295*J294))/((N295)-1))</f>
        <v>68</v>
      </c>
      <c r="M295" s="15">
        <v>2</v>
      </c>
      <c r="N295" s="22">
        <f>IF(M295&lt;2,K295,CEILING(K295/2,1))</f>
        <v>3</v>
      </c>
      <c r="O295" s="22">
        <f>K295-N295</f>
        <v>2</v>
      </c>
      <c r="Q295" s="37" t="s">
        <v>74</v>
      </c>
      <c r="R295" s="38">
        <f>rhoMin*B285*B293</f>
        <v>512.82000000000005</v>
      </c>
      <c r="S295" s="22">
        <f>ROUNDUP(R295/R294,0)</f>
        <v>2</v>
      </c>
    </row>
    <row r="296" spans="1:19" x14ac:dyDescent="0.25">
      <c r="A296" s="65" t="s">
        <v>76</v>
      </c>
    </row>
    <row r="297" spans="1:19" x14ac:dyDescent="0.25">
      <c r="A297" s="69" t="s">
        <v>101</v>
      </c>
      <c r="B297" s="11" t="s">
        <v>11</v>
      </c>
      <c r="C297" s="10" t="s">
        <v>12</v>
      </c>
      <c r="D297" s="10" t="s">
        <v>13</v>
      </c>
      <c r="E297" s="10" t="s">
        <v>14</v>
      </c>
      <c r="F297" s="10" t="s">
        <v>15</v>
      </c>
      <c r="G297" s="11" t="s">
        <v>16</v>
      </c>
      <c r="H297" s="6">
        <v>125</v>
      </c>
      <c r="I297" s="90" t="s">
        <v>34</v>
      </c>
      <c r="J297" s="91"/>
      <c r="Q297" s="71" t="s">
        <v>103</v>
      </c>
    </row>
    <row r="298" spans="1:19" x14ac:dyDescent="0.25">
      <c r="A298" s="12" t="s">
        <v>17</v>
      </c>
      <c r="B298" s="48">
        <v>350</v>
      </c>
      <c r="C298" s="44" t="s">
        <v>18</v>
      </c>
      <c r="D298" s="44" t="s">
        <v>18</v>
      </c>
      <c r="E298" s="44" t="s">
        <v>18</v>
      </c>
      <c r="F298" s="44" t="s">
        <v>19</v>
      </c>
      <c r="G298" s="45" t="s">
        <v>19</v>
      </c>
      <c r="H298" s="6">
        <v>150</v>
      </c>
      <c r="I298" s="14" t="s">
        <v>20</v>
      </c>
      <c r="J298" s="15">
        <v>12</v>
      </c>
      <c r="K298" s="16" t="s">
        <v>9</v>
      </c>
      <c r="L298" s="22" t="s">
        <v>29</v>
      </c>
      <c r="M298" s="22" t="s">
        <v>30</v>
      </c>
      <c r="N298" s="22" t="s">
        <v>31</v>
      </c>
      <c r="O298" s="22" t="s">
        <v>32</v>
      </c>
      <c r="P298" s="3"/>
    </row>
    <row r="299" spans="1:19" x14ac:dyDescent="0.25">
      <c r="A299" s="12" t="s">
        <v>22</v>
      </c>
      <c r="B299" s="48">
        <v>650</v>
      </c>
      <c r="C299" s="17">
        <v>-219.56311549818258</v>
      </c>
      <c r="D299" s="63">
        <v>4.1333847036636389</v>
      </c>
      <c r="E299" s="63">
        <v>0</v>
      </c>
      <c r="F299" s="63">
        <v>-113.57373810643257</v>
      </c>
      <c r="G299" s="54">
        <v>0</v>
      </c>
      <c r="H299" s="6">
        <v>175</v>
      </c>
      <c r="I299" s="56"/>
      <c r="J299" s="57"/>
      <c r="K299" s="58"/>
      <c r="L299" s="92" t="s">
        <v>1</v>
      </c>
      <c r="M299" s="93"/>
      <c r="N299" s="22" t="s">
        <v>35</v>
      </c>
      <c r="O299" s="22" t="s">
        <v>9</v>
      </c>
    </row>
    <row r="300" spans="1:19" x14ac:dyDescent="0.25">
      <c r="A300" s="20" t="s">
        <v>24</v>
      </c>
      <c r="B300" s="13"/>
      <c r="C300" s="17">
        <v>214.47390670824109</v>
      </c>
      <c r="D300" s="18">
        <v>0</v>
      </c>
      <c r="E300" s="18">
        <v>-9.249864167138897</v>
      </c>
      <c r="F300" s="18">
        <v>0</v>
      </c>
      <c r="G300" s="19">
        <v>2.0984280573956542</v>
      </c>
      <c r="H300" s="6">
        <v>200</v>
      </c>
      <c r="I300" s="59" t="s">
        <v>70</v>
      </c>
      <c r="J300" s="60"/>
      <c r="K300" s="61"/>
      <c r="L300" s="25">
        <f>MAX(ABS(E303),ABS(E304))*1000/(B301*B298)</f>
        <v>4.6676997155531552</v>
      </c>
      <c r="M300" s="25">
        <f>L300-phiVc</f>
        <v>4.0051902816580593</v>
      </c>
      <c r="N300" s="26">
        <f>M300*O300*B298/(phiV*fys*0.25*PI()*(J298^2))</f>
        <v>3.0047951646104405</v>
      </c>
      <c r="O300" s="15">
        <v>50</v>
      </c>
    </row>
    <row r="301" spans="1:19" x14ac:dyDescent="0.25">
      <c r="A301" s="12" t="s">
        <v>26</v>
      </c>
      <c r="B301" s="49">
        <f>B299-clrCover-J298-(IF(M305&gt;1,1.5*J304,0.5*J304))</f>
        <v>560.5</v>
      </c>
      <c r="C301" s="64">
        <v>-163.14929805821157</v>
      </c>
      <c r="D301" s="17">
        <v>-38.259450016656395</v>
      </c>
      <c r="E301" s="18">
        <v>128.45401125463169</v>
      </c>
      <c r="F301" s="18">
        <v>-17.044165103379317</v>
      </c>
      <c r="G301" s="19">
        <v>2.1242917248322324</v>
      </c>
      <c r="H301" s="6">
        <v>250</v>
      </c>
      <c r="I301" s="59" t="s">
        <v>71</v>
      </c>
      <c r="J301" s="60"/>
      <c r="K301" s="61"/>
      <c r="L301" s="25">
        <f>MAX(ABS(E303),ABS(E304))*1000/(B306*B298)</f>
        <v>4.4493974329379986</v>
      </c>
      <c r="M301" s="25">
        <f>L301-phiVc</f>
        <v>3.7868879990429027</v>
      </c>
      <c r="N301" s="26">
        <f>M301*O301*B298/(phiV*fys*0.25*PI()*(J298^2))</f>
        <v>2.841019264566587</v>
      </c>
      <c r="O301" s="15">
        <v>50</v>
      </c>
    </row>
    <row r="302" spans="1:19" x14ac:dyDescent="0.25">
      <c r="A302" s="12" t="s">
        <v>27</v>
      </c>
      <c r="B302" s="50">
        <f>K305*R304</f>
        <v>2940</v>
      </c>
      <c r="C302" s="64">
        <v>177.07986712814963</v>
      </c>
      <c r="D302" s="17">
        <v>64.710544824680753</v>
      </c>
      <c r="E302" s="18">
        <v>704.76115665388943</v>
      </c>
      <c r="F302" s="18">
        <v>-273.04579852125147</v>
      </c>
      <c r="G302" s="19">
        <v>-5.4858067337408416</v>
      </c>
      <c r="H302" s="6">
        <v>300</v>
      </c>
    </row>
    <row r="303" spans="1:19" x14ac:dyDescent="0.25">
      <c r="A303" s="12" t="s">
        <v>28</v>
      </c>
      <c r="B303" s="51">
        <f>-phi*B298*(B301^2)*J305*fy*(1-(0.588*J305*fy/fc))/1000000</f>
        <v>-531.0335679264</v>
      </c>
      <c r="C303" s="64">
        <v>107.32814550716937</v>
      </c>
      <c r="D303" s="18">
        <v>0.67934401503733199</v>
      </c>
      <c r="E303" s="17">
        <v>-182.30780717082069</v>
      </c>
      <c r="F303" s="18">
        <v>-287.95221007128458</v>
      </c>
      <c r="G303" s="19">
        <v>-0.34050178305875123</v>
      </c>
      <c r="I303" s="90" t="s">
        <v>68</v>
      </c>
      <c r="J303" s="91"/>
      <c r="K303" s="94" t="s">
        <v>35</v>
      </c>
      <c r="L303" s="68" t="s">
        <v>36</v>
      </c>
      <c r="M303" s="96" t="s">
        <v>37</v>
      </c>
      <c r="N303" s="98" t="s">
        <v>38</v>
      </c>
      <c r="O303" s="96" t="s">
        <v>72</v>
      </c>
      <c r="Q303" s="34" t="s">
        <v>73</v>
      </c>
    </row>
    <row r="304" spans="1:19" x14ac:dyDescent="0.25">
      <c r="A304" s="23" t="s">
        <v>33</v>
      </c>
      <c r="B304" s="13"/>
      <c r="C304" s="64">
        <v>16.864522466952572</v>
      </c>
      <c r="D304" s="18">
        <v>28.123393663991273</v>
      </c>
      <c r="E304" s="17">
        <v>915.68599169864012</v>
      </c>
      <c r="F304" s="18">
        <v>-519.76356784590723</v>
      </c>
      <c r="G304" s="19">
        <v>2.0936586436644093</v>
      </c>
      <c r="I304" s="14" t="s">
        <v>23</v>
      </c>
      <c r="J304" s="41">
        <v>25</v>
      </c>
      <c r="K304" s="95"/>
      <c r="L304" s="40" t="s">
        <v>9</v>
      </c>
      <c r="M304" s="97"/>
      <c r="N304" s="99"/>
      <c r="O304" s="97"/>
      <c r="Q304" s="14" t="s">
        <v>75</v>
      </c>
      <c r="R304" s="21">
        <f>IF(J304=16,201,IF(J304=20,314,IF(J304=25,490,"Err")))</f>
        <v>490</v>
      </c>
      <c r="S304" s="16" t="s">
        <v>25</v>
      </c>
    </row>
    <row r="305" spans="1:19" x14ac:dyDescent="0.25">
      <c r="A305" s="20" t="s">
        <v>39</v>
      </c>
      <c r="B305" s="13"/>
      <c r="C305" s="64">
        <v>-18.125045780528271</v>
      </c>
      <c r="D305" s="18">
        <v>-0.26670965912012978</v>
      </c>
      <c r="E305" s="18">
        <v>202.90741675878894</v>
      </c>
      <c r="F305" s="17">
        <v>-529.87347423620611</v>
      </c>
      <c r="G305" s="19">
        <v>-0.40798992421395469</v>
      </c>
      <c r="I305" s="14" t="s">
        <v>40</v>
      </c>
      <c r="J305" s="24">
        <f>MAX(rhoMin,(K305*R304/(B298*B301)))</f>
        <v>1.4986619090098127E-2</v>
      </c>
      <c r="K305" s="15">
        <v>6</v>
      </c>
      <c r="L305" s="39">
        <f>IF(M305&lt;2,(B298-(2*(J298+clrCover))-(K305*J304))/(K305-1),(B298-(2*(J298+clrCover))-(N305*J304))/((N305)-1))</f>
        <v>85.5</v>
      </c>
      <c r="M305" s="15">
        <v>2</v>
      </c>
      <c r="N305" s="22">
        <f>IF(M305&lt;2,K305,CEILING(K305/2,1))</f>
        <v>3</v>
      </c>
      <c r="O305" s="22">
        <f>K305-N305</f>
        <v>3</v>
      </c>
      <c r="Q305" s="37" t="s">
        <v>74</v>
      </c>
      <c r="R305" s="38">
        <f>rhoMin*B298*B301</f>
        <v>647.37750000000005</v>
      </c>
      <c r="S305" s="22">
        <f>ROUNDUP(R305/R304,0)</f>
        <v>2</v>
      </c>
    </row>
    <row r="306" spans="1:19" x14ac:dyDescent="0.25">
      <c r="A306" s="12" t="s">
        <v>26</v>
      </c>
      <c r="B306" s="49">
        <f>B299-clrCover-J298-(IF(M308&gt;1,1.5*J307,0.5*J307))</f>
        <v>588</v>
      </c>
      <c r="C306" s="64">
        <v>-112.41735429711088</v>
      </c>
      <c r="D306" s="18">
        <v>0.40718529674685866</v>
      </c>
      <c r="E306" s="18">
        <v>99.044651536498762</v>
      </c>
      <c r="F306" s="17">
        <v>231.77230417164287</v>
      </c>
      <c r="G306" s="19">
        <v>-0.3199754648759271</v>
      </c>
      <c r="I306" s="90" t="s">
        <v>69</v>
      </c>
      <c r="J306" s="91"/>
      <c r="K306" s="96" t="s">
        <v>35</v>
      </c>
      <c r="L306" s="68" t="s">
        <v>36</v>
      </c>
      <c r="M306" s="96" t="s">
        <v>37</v>
      </c>
      <c r="N306" s="98" t="s">
        <v>38</v>
      </c>
      <c r="O306" s="96" t="s">
        <v>72</v>
      </c>
      <c r="R306" s="36"/>
    </row>
    <row r="307" spans="1:19" x14ac:dyDescent="0.25">
      <c r="A307" s="12" t="s">
        <v>27</v>
      </c>
      <c r="B307" s="50">
        <f>K308*R307</f>
        <v>1256</v>
      </c>
      <c r="C307" s="64">
        <v>-163.14929805821157</v>
      </c>
      <c r="D307" s="18">
        <v>-38.259450016656395</v>
      </c>
      <c r="E307" s="18">
        <v>129.23890767308419</v>
      </c>
      <c r="F307" s="18">
        <v>-43.487527107889761</v>
      </c>
      <c r="G307" s="17">
        <v>-5.7277555187919269</v>
      </c>
      <c r="I307" s="14" t="s">
        <v>23</v>
      </c>
      <c r="J307" s="41">
        <v>20</v>
      </c>
      <c r="K307" s="97"/>
      <c r="L307" s="40" t="s">
        <v>9</v>
      </c>
      <c r="M307" s="97"/>
      <c r="N307" s="99"/>
      <c r="O307" s="97"/>
      <c r="Q307" s="14" t="s">
        <v>75</v>
      </c>
      <c r="R307" s="21">
        <f>IF(J307=16,201,IF(J307=20,314,IF(J307=25,490,"Err")))</f>
        <v>314</v>
      </c>
      <c r="S307" s="16" t="s">
        <v>25</v>
      </c>
    </row>
    <row r="308" spans="1:19" x14ac:dyDescent="0.25">
      <c r="A308" s="27" t="s">
        <v>28</v>
      </c>
      <c r="B308" s="52">
        <f>phi*B298*(B306^2)*J308*fy*(1-(0.588*J308*fy/fc))/1000000</f>
        <v>260.03406462566397</v>
      </c>
      <c r="C308" s="53">
        <v>177.07986712814963</v>
      </c>
      <c r="D308" s="28">
        <v>64.710544824680753</v>
      </c>
      <c r="E308" s="28">
        <v>705.80768521182608</v>
      </c>
      <c r="F308" s="28">
        <v>-417.79243212277879</v>
      </c>
      <c r="G308" s="17">
        <v>7.7948403979571959</v>
      </c>
      <c r="I308" s="14" t="s">
        <v>40</v>
      </c>
      <c r="J308" s="24">
        <f>MAX(rhoMin,(K308*R307/(B298*B306)))</f>
        <v>6.1030126336248788E-3</v>
      </c>
      <c r="K308" s="15">
        <v>4</v>
      </c>
      <c r="L308" s="21">
        <f>IF(M308&lt;2,(B298-(2*(J298+clrCover))-(K308*J307))/(K308-1),(B298-(2*(J298+clrCover))-(N308*J307))/((N308)-1))</f>
        <v>55.333333333333336</v>
      </c>
      <c r="M308" s="15">
        <v>1</v>
      </c>
      <c r="N308" s="22">
        <f>IF(M308&lt;2,K308,CEILING(K308/2,1))</f>
        <v>4</v>
      </c>
      <c r="O308" s="22">
        <f>K308-N308</f>
        <v>0</v>
      </c>
      <c r="Q308" s="37" t="s">
        <v>74</v>
      </c>
      <c r="R308" s="38">
        <f>rhoMin*B298*B306</f>
        <v>679.14</v>
      </c>
      <c r="S308" s="22">
        <f>ROUNDUP(R308/R307,0)</f>
        <v>3</v>
      </c>
    </row>
    <row r="309" spans="1:19" x14ac:dyDescent="0.25">
      <c r="A309" s="65" t="s">
        <v>76</v>
      </c>
    </row>
    <row r="310" spans="1:19" x14ac:dyDescent="0.25">
      <c r="A310" s="69" t="s">
        <v>104</v>
      </c>
      <c r="B310" s="11" t="s">
        <v>11</v>
      </c>
      <c r="C310" s="10" t="s">
        <v>12</v>
      </c>
      <c r="D310" s="10" t="s">
        <v>13</v>
      </c>
      <c r="E310" s="10" t="s">
        <v>14</v>
      </c>
      <c r="F310" s="10" t="s">
        <v>15</v>
      </c>
      <c r="G310" s="11" t="s">
        <v>16</v>
      </c>
      <c r="H310" s="6">
        <v>125</v>
      </c>
      <c r="I310" s="90" t="s">
        <v>34</v>
      </c>
      <c r="J310" s="91"/>
      <c r="K310" s="71" t="s">
        <v>133</v>
      </c>
      <c r="Q310" s="71" t="s">
        <v>105</v>
      </c>
    </row>
    <row r="311" spans="1:19" x14ac:dyDescent="0.25">
      <c r="A311" s="12" t="s">
        <v>17</v>
      </c>
      <c r="B311" s="48">
        <v>400</v>
      </c>
      <c r="C311" s="44" t="s">
        <v>18</v>
      </c>
      <c r="D311" s="44" t="s">
        <v>18</v>
      </c>
      <c r="E311" s="44" t="s">
        <v>18</v>
      </c>
      <c r="F311" s="44" t="s">
        <v>19</v>
      </c>
      <c r="G311" s="45" t="s">
        <v>19</v>
      </c>
      <c r="H311" s="6">
        <v>150</v>
      </c>
      <c r="I311" s="14" t="s">
        <v>20</v>
      </c>
      <c r="J311" s="15">
        <v>12</v>
      </c>
      <c r="K311" s="16" t="s">
        <v>9</v>
      </c>
      <c r="L311" s="22" t="s">
        <v>29</v>
      </c>
      <c r="M311" s="22" t="s">
        <v>30</v>
      </c>
      <c r="N311" s="22" t="s">
        <v>31</v>
      </c>
      <c r="O311" s="22" t="s">
        <v>32</v>
      </c>
      <c r="P311" s="3"/>
    </row>
    <row r="312" spans="1:19" x14ac:dyDescent="0.25">
      <c r="A312" s="12" t="s">
        <v>22</v>
      </c>
      <c r="B312" s="48">
        <v>500</v>
      </c>
      <c r="C312" s="17">
        <v>-238.74121673334594</v>
      </c>
      <c r="D312" s="63">
        <v>-4.9179758338146096</v>
      </c>
      <c r="E312" s="63">
        <v>0</v>
      </c>
      <c r="F312" s="63">
        <v>-70.78650159066639</v>
      </c>
      <c r="G312" s="54">
        <v>0</v>
      </c>
      <c r="H312" s="6">
        <v>175</v>
      </c>
      <c r="I312" s="56"/>
      <c r="J312" s="57"/>
      <c r="K312" s="58"/>
      <c r="L312" s="92" t="s">
        <v>1</v>
      </c>
      <c r="M312" s="93"/>
      <c r="N312" s="22" t="s">
        <v>35</v>
      </c>
      <c r="O312" s="22" t="s">
        <v>9</v>
      </c>
    </row>
    <row r="313" spans="1:19" x14ac:dyDescent="0.25">
      <c r="A313" s="20" t="s">
        <v>24</v>
      </c>
      <c r="B313" s="13"/>
      <c r="C313" s="17">
        <v>334.28774997657644</v>
      </c>
      <c r="D313" s="18">
        <v>0</v>
      </c>
      <c r="E313" s="18">
        <v>-3.5741281931402309</v>
      </c>
      <c r="F313" s="18">
        <v>0</v>
      </c>
      <c r="G313" s="19">
        <v>0.53185921197490116</v>
      </c>
      <c r="H313" s="6">
        <v>200</v>
      </c>
      <c r="I313" s="59" t="s">
        <v>70</v>
      </c>
      <c r="J313" s="60"/>
      <c r="K313" s="61"/>
      <c r="L313" s="25">
        <f>MAX(ABS(E316),ABS(E317))*1000/(B314*B311)</f>
        <v>1.2941159006399199</v>
      </c>
      <c r="M313" s="25">
        <f>L313-phiVc</f>
        <v>0.63160646674482424</v>
      </c>
      <c r="N313" s="26">
        <f>M313*O313*B311/(phiV*fys*0.25*PI()*(J311^2))</f>
        <v>1.0830792325521408</v>
      </c>
      <c r="O313" s="15">
        <v>100</v>
      </c>
      <c r="Q313" s="71" t="s">
        <v>133</v>
      </c>
    </row>
    <row r="314" spans="1:19" x14ac:dyDescent="0.25">
      <c r="A314" s="12" t="s">
        <v>26</v>
      </c>
      <c r="B314" s="49">
        <f>B312-clrCover-J311-(IF(M318&gt;1,1.5*J317,0.5*J317))</f>
        <v>418</v>
      </c>
      <c r="C314" s="64">
        <v>67.568501039703435</v>
      </c>
      <c r="D314" s="17">
        <v>-26.776567936374033</v>
      </c>
      <c r="E314" s="18">
        <v>-22.439577475127287</v>
      </c>
      <c r="F314" s="18">
        <v>47.015962219487704</v>
      </c>
      <c r="G314" s="19">
        <v>8.2453181418784247</v>
      </c>
      <c r="H314" s="6">
        <v>250</v>
      </c>
      <c r="I314" s="59" t="s">
        <v>71</v>
      </c>
      <c r="J314" s="60"/>
      <c r="K314" s="61"/>
      <c r="L314" s="25">
        <f>MAX(ABS(E316),ABS(E317))*1000/(B319*B311)</f>
        <v>1.2350238503823894</v>
      </c>
      <c r="M314" s="25">
        <f>L314-phiVc</f>
        <v>0.57251441648729373</v>
      </c>
      <c r="N314" s="26">
        <f>M314*O314*B311/(phiV*fys*0.25*PI()*(J311^2))</f>
        <v>0.981748141417642</v>
      </c>
      <c r="O314" s="15">
        <v>100</v>
      </c>
    </row>
    <row r="315" spans="1:19" x14ac:dyDescent="0.25">
      <c r="A315" s="12" t="s">
        <v>27</v>
      </c>
      <c r="B315" s="50">
        <f>K318*R317</f>
        <v>2198</v>
      </c>
      <c r="C315" s="64">
        <v>-126.94466464500414</v>
      </c>
      <c r="D315" s="17">
        <v>21.099407071360531</v>
      </c>
      <c r="E315" s="18">
        <v>172.78652182750659</v>
      </c>
      <c r="F315" s="18">
        <v>-113.50542759440658</v>
      </c>
      <c r="G315" s="19">
        <v>-3.3580547333482915</v>
      </c>
      <c r="H315" s="6">
        <v>300</v>
      </c>
    </row>
    <row r="316" spans="1:19" x14ac:dyDescent="0.25">
      <c r="A316" s="12" t="s">
        <v>28</v>
      </c>
      <c r="B316" s="51">
        <f>-phi*B311*(B314^2)*J318*fy*(1-(0.588*J318*fy/fc))/1000000</f>
        <v>-301.75706340158399</v>
      </c>
      <c r="C316" s="64">
        <v>62.0186572248072</v>
      </c>
      <c r="D316" s="18">
        <v>-5.419252551614214</v>
      </c>
      <c r="E316" s="17">
        <v>-164.27140249515517</v>
      </c>
      <c r="F316" s="18">
        <v>-225.38990908947315</v>
      </c>
      <c r="G316" s="19">
        <v>4.2053145001945218</v>
      </c>
      <c r="I316" s="90" t="s">
        <v>68</v>
      </c>
      <c r="J316" s="91"/>
      <c r="K316" s="94" t="s">
        <v>35</v>
      </c>
      <c r="L316" s="68" t="s">
        <v>36</v>
      </c>
      <c r="M316" s="96" t="s">
        <v>37</v>
      </c>
      <c r="N316" s="98" t="s">
        <v>38</v>
      </c>
      <c r="O316" s="96" t="s">
        <v>72</v>
      </c>
      <c r="Q316" s="34" t="s">
        <v>73</v>
      </c>
    </row>
    <row r="317" spans="1:19" x14ac:dyDescent="0.25">
      <c r="A317" s="23" t="s">
        <v>33</v>
      </c>
      <c r="B317" s="13"/>
      <c r="C317" s="64">
        <v>63.983909152601377</v>
      </c>
      <c r="D317" s="18">
        <v>2.7971234107714538</v>
      </c>
      <c r="E317" s="17">
        <v>216.37617858699463</v>
      </c>
      <c r="F317" s="18">
        <v>-286.04183046012866</v>
      </c>
      <c r="G317" s="19">
        <v>1.2576346014513566</v>
      </c>
      <c r="I317" s="14" t="s">
        <v>23</v>
      </c>
      <c r="J317" s="41">
        <v>20</v>
      </c>
      <c r="K317" s="95"/>
      <c r="L317" s="40" t="s">
        <v>9</v>
      </c>
      <c r="M317" s="97"/>
      <c r="N317" s="99"/>
      <c r="O317" s="97"/>
      <c r="Q317" s="14" t="s">
        <v>75</v>
      </c>
      <c r="R317" s="21">
        <f>IF(J317=16,201,IF(J317=20,314,IF(J317=25,490,"Err")))</f>
        <v>314</v>
      </c>
      <c r="S317" s="16" t="s">
        <v>25</v>
      </c>
    </row>
    <row r="318" spans="1:19" x14ac:dyDescent="0.25">
      <c r="A318" s="20" t="s">
        <v>39</v>
      </c>
      <c r="B318" s="13"/>
      <c r="C318" s="64">
        <v>63.983909152601377</v>
      </c>
      <c r="D318" s="18">
        <v>2.7971234107714538</v>
      </c>
      <c r="E318" s="18">
        <v>216.37617858699463</v>
      </c>
      <c r="F318" s="17">
        <v>-286.04183046012866</v>
      </c>
      <c r="G318" s="19">
        <v>1.2576346014513566</v>
      </c>
      <c r="I318" s="14" t="s">
        <v>40</v>
      </c>
      <c r="J318" s="24">
        <f>MAX(rhoMin,(K318*R317/(B311*B314)))</f>
        <v>1.3145933014354067E-2</v>
      </c>
      <c r="K318" s="15">
        <v>7</v>
      </c>
      <c r="L318" s="39">
        <f>IF(M318&lt;2,(B311-(2*(J311+clrCover))-(K318*J317))/(K318-1),(B311-(2*(J311+clrCover))-(N318*J317))/((N318)-1))</f>
        <v>72</v>
      </c>
      <c r="M318" s="15">
        <v>2</v>
      </c>
      <c r="N318" s="22">
        <f>IF(M318&lt;2,K318,CEILING(K318/2,1))</f>
        <v>4</v>
      </c>
      <c r="O318" s="22">
        <f>K318-N318</f>
        <v>3</v>
      </c>
      <c r="Q318" s="37" t="s">
        <v>74</v>
      </c>
      <c r="R318" s="38">
        <f>rhoMin*B311*B314</f>
        <v>551.76</v>
      </c>
      <c r="S318" s="22">
        <f>ROUNDUP(R318/R317,0)</f>
        <v>2</v>
      </c>
    </row>
    <row r="319" spans="1:19" x14ac:dyDescent="0.25">
      <c r="A319" s="12" t="s">
        <v>26</v>
      </c>
      <c r="B319" s="49">
        <f>B312-clrCover-J311-(IF(M321&gt;1,1.5*J320,0.5*J320))</f>
        <v>438</v>
      </c>
      <c r="C319" s="64">
        <v>91.774292694866475</v>
      </c>
      <c r="D319" s="18">
        <v>0.40040981367211992</v>
      </c>
      <c r="E319" s="18">
        <v>52.918874706770218</v>
      </c>
      <c r="F319" s="17">
        <v>110.18683307963876</v>
      </c>
      <c r="G319" s="19">
        <v>-0.55470799636012147</v>
      </c>
      <c r="I319" s="90" t="s">
        <v>69</v>
      </c>
      <c r="J319" s="91"/>
      <c r="K319" s="96" t="s">
        <v>35</v>
      </c>
      <c r="L319" s="68" t="s">
        <v>36</v>
      </c>
      <c r="M319" s="96" t="s">
        <v>37</v>
      </c>
      <c r="N319" s="98" t="s">
        <v>38</v>
      </c>
      <c r="O319" s="96" t="s">
        <v>72</v>
      </c>
      <c r="R319" s="36"/>
    </row>
    <row r="320" spans="1:19" x14ac:dyDescent="0.25">
      <c r="A320" s="12" t="s">
        <v>27</v>
      </c>
      <c r="B320" s="50">
        <f>K321*R320</f>
        <v>942</v>
      </c>
      <c r="C320" s="64">
        <v>67.568501039703435</v>
      </c>
      <c r="D320" s="18">
        <v>-26.776567936374033</v>
      </c>
      <c r="E320" s="18">
        <v>-6.3532829079591027</v>
      </c>
      <c r="F320" s="18">
        <v>57.78444206191768</v>
      </c>
      <c r="G320" s="17">
        <v>-11.783461787307107</v>
      </c>
      <c r="I320" s="14" t="s">
        <v>23</v>
      </c>
      <c r="J320" s="41">
        <v>20</v>
      </c>
      <c r="K320" s="97"/>
      <c r="L320" s="40" t="s">
        <v>9</v>
      </c>
      <c r="M320" s="97"/>
      <c r="N320" s="99"/>
      <c r="O320" s="97"/>
      <c r="Q320" s="14" t="s">
        <v>75</v>
      </c>
      <c r="R320" s="21">
        <f>IF(J320=16,201,IF(J320=20,314,IF(J320=25,490,"Err")))</f>
        <v>314</v>
      </c>
      <c r="S320" s="16" t="s">
        <v>25</v>
      </c>
    </row>
    <row r="321" spans="1:19" x14ac:dyDescent="0.25">
      <c r="A321" s="27" t="s">
        <v>28</v>
      </c>
      <c r="B321" s="52">
        <f>phi*B311*(B319^2)*J321*fy*(1-(0.588*J321*fy/fc))/1000000</f>
        <v>146.280828232944</v>
      </c>
      <c r="C321" s="53">
        <v>92.346850655742713</v>
      </c>
      <c r="D321" s="28">
        <v>9.4161626779126202</v>
      </c>
      <c r="E321" s="28">
        <v>-54.070423009473132</v>
      </c>
      <c r="F321" s="28">
        <v>-108.29555117821667</v>
      </c>
      <c r="G321" s="17">
        <v>11.979077736002489</v>
      </c>
      <c r="I321" s="14" t="s">
        <v>40</v>
      </c>
      <c r="J321" s="24">
        <f>MAX(rhoMin,(K321*R320/(B311*B319)))</f>
        <v>5.3767123287671234E-3</v>
      </c>
      <c r="K321" s="15">
        <v>3</v>
      </c>
      <c r="L321" s="21">
        <f>IF(M321&lt;2,(B311-(2*(J311+clrCover))-(K321*J320))/(K321-1),(B311-(2*(J311+clrCover))-(N321*J320))/((N321)-1))</f>
        <v>118</v>
      </c>
      <c r="M321" s="15">
        <v>1</v>
      </c>
      <c r="N321" s="22">
        <f>IF(M321&lt;2,K321,CEILING(K321/2,1))</f>
        <v>3</v>
      </c>
      <c r="O321" s="22">
        <f>K321-N321</f>
        <v>0</v>
      </c>
      <c r="Q321" s="37" t="s">
        <v>74</v>
      </c>
      <c r="R321" s="38">
        <f>rhoMin*B311*B319</f>
        <v>578.16000000000008</v>
      </c>
      <c r="S321" s="22">
        <f>ROUNDUP(R321/R320,0)</f>
        <v>2</v>
      </c>
    </row>
    <row r="322" spans="1:19" x14ac:dyDescent="0.25">
      <c r="A322" s="65" t="s">
        <v>76</v>
      </c>
    </row>
    <row r="323" spans="1:19" x14ac:dyDescent="0.25">
      <c r="A323" s="69" t="s">
        <v>107</v>
      </c>
      <c r="B323" s="11" t="s">
        <v>11</v>
      </c>
      <c r="C323" s="10" t="s">
        <v>12</v>
      </c>
      <c r="D323" s="10" t="s">
        <v>13</v>
      </c>
      <c r="E323" s="10" t="s">
        <v>14</v>
      </c>
      <c r="F323" s="10" t="s">
        <v>15</v>
      </c>
      <c r="G323" s="11" t="s">
        <v>16</v>
      </c>
      <c r="H323" s="6">
        <v>125</v>
      </c>
      <c r="I323" s="90" t="s">
        <v>34</v>
      </c>
      <c r="J323" s="91"/>
      <c r="Q323" s="71" t="s">
        <v>106</v>
      </c>
    </row>
    <row r="324" spans="1:19" x14ac:dyDescent="0.25">
      <c r="A324" s="12" t="s">
        <v>17</v>
      </c>
      <c r="B324" s="48">
        <v>400</v>
      </c>
      <c r="C324" s="44" t="s">
        <v>18</v>
      </c>
      <c r="D324" s="44" t="s">
        <v>18</v>
      </c>
      <c r="E324" s="44" t="s">
        <v>18</v>
      </c>
      <c r="F324" s="44" t="s">
        <v>19</v>
      </c>
      <c r="G324" s="45" t="s">
        <v>19</v>
      </c>
      <c r="H324" s="6">
        <v>150</v>
      </c>
      <c r="I324" s="14" t="s">
        <v>20</v>
      </c>
      <c r="J324" s="15">
        <v>12</v>
      </c>
      <c r="K324" s="16" t="s">
        <v>9</v>
      </c>
      <c r="L324" s="22" t="s">
        <v>29</v>
      </c>
      <c r="M324" s="22" t="s">
        <v>30</v>
      </c>
      <c r="N324" s="22" t="s">
        <v>31</v>
      </c>
      <c r="O324" s="22" t="s">
        <v>32</v>
      </c>
      <c r="P324" s="3"/>
    </row>
    <row r="325" spans="1:19" x14ac:dyDescent="0.25">
      <c r="A325" s="12" t="s">
        <v>22</v>
      </c>
      <c r="B325" s="48">
        <v>700</v>
      </c>
      <c r="C325" s="17">
        <v>-306.09327237342552</v>
      </c>
      <c r="D325" s="63">
        <v>-4.9321491238069504</v>
      </c>
      <c r="E325" s="63">
        <v>0</v>
      </c>
      <c r="F325" s="63">
        <v>-8.584973224189599E-12</v>
      </c>
      <c r="G325" s="54">
        <v>0</v>
      </c>
      <c r="H325" s="6">
        <v>175</v>
      </c>
      <c r="I325" s="56"/>
      <c r="J325" s="57"/>
      <c r="K325" s="58"/>
      <c r="L325" s="92" t="s">
        <v>1</v>
      </c>
      <c r="M325" s="93"/>
      <c r="N325" s="22" t="s">
        <v>35</v>
      </c>
      <c r="O325" s="22" t="s">
        <v>9</v>
      </c>
    </row>
    <row r="326" spans="1:19" x14ac:dyDescent="0.25">
      <c r="A326" s="20" t="s">
        <v>24</v>
      </c>
      <c r="B326" s="13"/>
      <c r="C326" s="17">
        <v>335.27020040656822</v>
      </c>
      <c r="D326" s="18">
        <v>0</v>
      </c>
      <c r="E326" s="18">
        <v>347.19058265109499</v>
      </c>
      <c r="F326" s="18">
        <v>0</v>
      </c>
      <c r="G326" s="19">
        <v>-2.8072412653840804</v>
      </c>
      <c r="H326" s="6">
        <v>200</v>
      </c>
      <c r="I326" s="59" t="s">
        <v>70</v>
      </c>
      <c r="J326" s="60"/>
      <c r="K326" s="61"/>
      <c r="L326" s="25">
        <f>MAX(ABS(E329),ABS(E330))*1000/(B327*B324)</f>
        <v>2.6857151103029557</v>
      </c>
      <c r="M326" s="25">
        <f>L326-phiVc</f>
        <v>2.0232056764078603</v>
      </c>
      <c r="N326" s="26">
        <f>M326*O326*B324/(phiV*fys*0.25*PI()*(J324^2))</f>
        <v>3.4693945782291458</v>
      </c>
      <c r="O326" s="15">
        <v>100</v>
      </c>
    </row>
    <row r="327" spans="1:19" x14ac:dyDescent="0.25">
      <c r="A327" s="12" t="s">
        <v>26</v>
      </c>
      <c r="B327" s="49">
        <f>B325-clrCover-J324-(IF(M331&gt;1,1.5*J330,0.5*J330))</f>
        <v>610.5</v>
      </c>
      <c r="C327" s="64">
        <v>-148.14467649251515</v>
      </c>
      <c r="D327" s="17">
        <v>-91.350300793060981</v>
      </c>
      <c r="E327" s="18">
        <v>157.72872375190863</v>
      </c>
      <c r="F327" s="18">
        <v>-83.330763404841292</v>
      </c>
      <c r="G327" s="19">
        <v>34.292634324001398</v>
      </c>
      <c r="H327" s="6">
        <v>250</v>
      </c>
      <c r="I327" s="59" t="s">
        <v>71</v>
      </c>
      <c r="J327" s="60"/>
      <c r="K327" s="61"/>
      <c r="L327" s="25">
        <f>MAX(ABS(E329),ABS(E330))*1000/(B332*B324)</f>
        <v>2.6531214803235512</v>
      </c>
      <c r="M327" s="25">
        <f>L327-phiVc</f>
        <v>1.9906120464284556</v>
      </c>
      <c r="N327" s="26">
        <f>M327*O327*B324/(phiV*fys*0.25*PI()*(J324^2))</f>
        <v>3.4135029976281439</v>
      </c>
      <c r="O327" s="15">
        <v>100</v>
      </c>
    </row>
    <row r="328" spans="1:19" x14ac:dyDescent="0.25">
      <c r="A328" s="12" t="s">
        <v>27</v>
      </c>
      <c r="B328" s="50">
        <f>K331*R330</f>
        <v>4410</v>
      </c>
      <c r="C328" s="64">
        <v>209.30520468307625</v>
      </c>
      <c r="D328" s="17">
        <v>45.789405067971295</v>
      </c>
      <c r="E328" s="18">
        <v>44.54004065329427</v>
      </c>
      <c r="F328" s="18">
        <v>34.652034481472903</v>
      </c>
      <c r="G328" s="19">
        <v>-11.723761243102684</v>
      </c>
      <c r="H328" s="6">
        <v>300</v>
      </c>
    </row>
    <row r="329" spans="1:19" x14ac:dyDescent="0.25">
      <c r="A329" s="12" t="s">
        <v>28</v>
      </c>
      <c r="B329" s="51">
        <f>-phi*B324*(B327^2)*J331*fy*(1-(0.588*J331*fy/fc))/1000000</f>
        <v>-839.81984216760009</v>
      </c>
      <c r="C329" s="64">
        <v>113.68876675596339</v>
      </c>
      <c r="D329" s="18">
        <v>4.1396534720144178</v>
      </c>
      <c r="E329" s="17">
        <v>-522.13510381682943</v>
      </c>
      <c r="F329" s="18">
        <v>-604.95848120962728</v>
      </c>
      <c r="G329" s="19">
        <v>-2.5493635199472546</v>
      </c>
      <c r="I329" s="90" t="s">
        <v>68</v>
      </c>
      <c r="J329" s="91"/>
      <c r="K329" s="94" t="s">
        <v>35</v>
      </c>
      <c r="L329" s="68" t="s">
        <v>36</v>
      </c>
      <c r="M329" s="96" t="s">
        <v>37</v>
      </c>
      <c r="N329" s="98" t="s">
        <v>38</v>
      </c>
      <c r="O329" s="96" t="s">
        <v>72</v>
      </c>
      <c r="Q329" s="34" t="s">
        <v>73</v>
      </c>
    </row>
    <row r="330" spans="1:19" x14ac:dyDescent="0.25">
      <c r="A330" s="23" t="s">
        <v>33</v>
      </c>
      <c r="B330" s="13"/>
      <c r="C330" s="64">
        <v>169.96864662275863</v>
      </c>
      <c r="D330" s="18">
        <v>-21.216295319395254</v>
      </c>
      <c r="E330" s="17">
        <v>655.8516299359818</v>
      </c>
      <c r="F330" s="18">
        <v>-349.38400851164266</v>
      </c>
      <c r="G330" s="19">
        <v>-11.339419050899897</v>
      </c>
      <c r="I330" s="14" t="s">
        <v>23</v>
      </c>
      <c r="J330" s="41">
        <v>25</v>
      </c>
      <c r="K330" s="95"/>
      <c r="L330" s="40" t="s">
        <v>9</v>
      </c>
      <c r="M330" s="97"/>
      <c r="N330" s="99"/>
      <c r="O330" s="97"/>
      <c r="Q330" s="14" t="s">
        <v>75</v>
      </c>
      <c r="R330" s="21">
        <f>IF(J330=16,201,IF(J330=20,314,IF(J330=25,490,"Err")))</f>
        <v>490</v>
      </c>
      <c r="S330" s="16" t="s">
        <v>25</v>
      </c>
    </row>
    <row r="331" spans="1:19" x14ac:dyDescent="0.25">
      <c r="A331" s="20" t="s">
        <v>39</v>
      </c>
      <c r="B331" s="13"/>
      <c r="C331" s="64">
        <v>-112.57568612055506</v>
      </c>
      <c r="D331" s="18">
        <v>-4.0054432267363707</v>
      </c>
      <c r="E331" s="18">
        <v>511.0295787602272</v>
      </c>
      <c r="F331" s="17">
        <v>-797.851832148119</v>
      </c>
      <c r="G331" s="19">
        <v>-2.7437084633590616</v>
      </c>
      <c r="I331" s="14" t="s">
        <v>40</v>
      </c>
      <c r="J331" s="24">
        <f>MAX(rhoMin,(K331*R330/(B324*B327)))</f>
        <v>1.8058968058968058E-2</v>
      </c>
      <c r="K331" s="15">
        <v>9</v>
      </c>
      <c r="L331" s="39">
        <f>IF(M331&lt;2,(B324-(2*(J324+clrCover))-(K331*J330))/(K331-1),(B324-(2*(J324+clrCover))-(N331*J330))/((N331)-1))</f>
        <v>42.75</v>
      </c>
      <c r="M331" s="15">
        <v>2</v>
      </c>
      <c r="N331" s="22">
        <f>IF(M331&lt;2,K331,CEILING(K331/2,1))</f>
        <v>5</v>
      </c>
      <c r="O331" s="22">
        <f>K331-N331</f>
        <v>4</v>
      </c>
      <c r="Q331" s="37" t="s">
        <v>74</v>
      </c>
      <c r="R331" s="38">
        <f>rhoMin*B324*B327</f>
        <v>805.86</v>
      </c>
      <c r="S331" s="22">
        <f>ROUNDUP(R331/R330,0)</f>
        <v>2</v>
      </c>
    </row>
    <row r="332" spans="1:19" x14ac:dyDescent="0.25">
      <c r="A332" s="12" t="s">
        <v>26</v>
      </c>
      <c r="B332" s="49">
        <f>B325-clrCover-J324-(IF(M334&gt;1,1.5*J333,0.5*J333))</f>
        <v>618</v>
      </c>
      <c r="C332" s="64">
        <v>-80.435078870382952</v>
      </c>
      <c r="D332" s="18">
        <v>-1.8936472518886576</v>
      </c>
      <c r="E332" s="18">
        <v>-98.006163417154895</v>
      </c>
      <c r="F332" s="17">
        <v>461.24357870328436</v>
      </c>
      <c r="G332" s="19">
        <v>-1.1128232749211557</v>
      </c>
      <c r="I332" s="90" t="s">
        <v>69</v>
      </c>
      <c r="J332" s="91"/>
      <c r="K332" s="96" t="s">
        <v>35</v>
      </c>
      <c r="L332" s="68" t="s">
        <v>36</v>
      </c>
      <c r="M332" s="96" t="s">
        <v>37</v>
      </c>
      <c r="N332" s="98" t="s">
        <v>38</v>
      </c>
      <c r="O332" s="96" t="s">
        <v>72</v>
      </c>
      <c r="R332" s="36"/>
    </row>
    <row r="333" spans="1:19" x14ac:dyDescent="0.25">
      <c r="A333" s="12" t="s">
        <v>27</v>
      </c>
      <c r="B333" s="50">
        <f>K334*R333</f>
        <v>2198</v>
      </c>
      <c r="C333" s="64">
        <v>-148.14467649251515</v>
      </c>
      <c r="D333" s="18">
        <v>-91.350300793060981</v>
      </c>
      <c r="E333" s="18">
        <v>165.66090134352029</v>
      </c>
      <c r="F333" s="18">
        <v>-245.02557595255576</v>
      </c>
      <c r="G333" s="17">
        <v>-57.05766646905959</v>
      </c>
      <c r="I333" s="14" t="s">
        <v>23</v>
      </c>
      <c r="J333" s="41">
        <v>20</v>
      </c>
      <c r="K333" s="97"/>
      <c r="L333" s="40" t="s">
        <v>9</v>
      </c>
      <c r="M333" s="97"/>
      <c r="N333" s="99"/>
      <c r="O333" s="97"/>
      <c r="Q333" s="14" t="s">
        <v>75</v>
      </c>
      <c r="R333" s="21">
        <f>IF(J333=16,201,IF(J333=20,314,IF(J333=25,490,"Err")))</f>
        <v>314</v>
      </c>
      <c r="S333" s="16" t="s">
        <v>25</v>
      </c>
    </row>
    <row r="334" spans="1:19" x14ac:dyDescent="0.25">
      <c r="A334" s="27" t="s">
        <v>28</v>
      </c>
      <c r="B334" s="52">
        <f>phi*B324*(B332^2)*J334*fy*(1-(0.588*J334*fy/fc))/1000000</f>
        <v>465.55202340158399</v>
      </c>
      <c r="C334" s="53">
        <v>-148.14467649251515</v>
      </c>
      <c r="D334" s="28">
        <v>-91.350300793060981</v>
      </c>
      <c r="E334" s="28">
        <v>157.72872375190863</v>
      </c>
      <c r="F334" s="28">
        <v>-83.330763404841292</v>
      </c>
      <c r="G334" s="17">
        <v>34.292634324001398</v>
      </c>
      <c r="I334" s="14" t="s">
        <v>40</v>
      </c>
      <c r="J334" s="24">
        <f>MAX(rhoMin,(K334*R333/(B324*B332)))</f>
        <v>8.8915857605177985E-3</v>
      </c>
      <c r="K334" s="15">
        <v>7</v>
      </c>
      <c r="L334" s="21">
        <f>IF(M334&lt;2,(B324-(2*(J324+clrCover))-(K334*J333))/(K334-1),(B324-(2*(J324+clrCover))-(N334*J333))/((N334)-1))</f>
        <v>72</v>
      </c>
      <c r="M334" s="15">
        <v>2</v>
      </c>
      <c r="N334" s="22">
        <f>IF(M334&lt;2,K334,CEILING(K334/2,1))</f>
        <v>4</v>
      </c>
      <c r="O334" s="22">
        <f>K334-N334</f>
        <v>3</v>
      </c>
      <c r="Q334" s="37" t="s">
        <v>74</v>
      </c>
      <c r="R334" s="38">
        <f>rhoMin*B324*B332</f>
        <v>815.76</v>
      </c>
      <c r="S334" s="22">
        <f>ROUNDUP(R334/R333,0)</f>
        <v>3</v>
      </c>
    </row>
    <row r="335" spans="1:19" x14ac:dyDescent="0.25">
      <c r="A335" s="65" t="s">
        <v>76</v>
      </c>
    </row>
    <row r="336" spans="1:19" x14ac:dyDescent="0.25">
      <c r="A336" s="69" t="s">
        <v>108</v>
      </c>
      <c r="B336" s="11" t="s">
        <v>11</v>
      </c>
      <c r="C336" s="10" t="s">
        <v>12</v>
      </c>
      <c r="D336" s="10" t="s">
        <v>13</v>
      </c>
      <c r="E336" s="10" t="s">
        <v>14</v>
      </c>
      <c r="F336" s="10" t="s">
        <v>15</v>
      </c>
      <c r="G336" s="11" t="s">
        <v>16</v>
      </c>
      <c r="H336" s="6">
        <v>125</v>
      </c>
      <c r="I336" s="90" t="s">
        <v>34</v>
      </c>
      <c r="J336" s="91"/>
      <c r="K336" s="71" t="s">
        <v>128</v>
      </c>
    </row>
    <row r="337" spans="1:19" x14ac:dyDescent="0.25">
      <c r="A337" s="12" t="s">
        <v>17</v>
      </c>
      <c r="B337" s="48">
        <v>400</v>
      </c>
      <c r="C337" s="44" t="s">
        <v>18</v>
      </c>
      <c r="D337" s="44" t="s">
        <v>18</v>
      </c>
      <c r="E337" s="44" t="s">
        <v>18</v>
      </c>
      <c r="F337" s="44" t="s">
        <v>19</v>
      </c>
      <c r="G337" s="45" t="s">
        <v>19</v>
      </c>
      <c r="H337" s="6">
        <v>150</v>
      </c>
      <c r="I337" s="14" t="s">
        <v>20</v>
      </c>
      <c r="J337" s="15">
        <v>12</v>
      </c>
      <c r="K337" s="16" t="s">
        <v>9</v>
      </c>
      <c r="L337" s="22" t="s">
        <v>29</v>
      </c>
      <c r="M337" s="22" t="s">
        <v>30</v>
      </c>
      <c r="N337" s="22" t="s">
        <v>31</v>
      </c>
      <c r="O337" s="22" t="s">
        <v>32</v>
      </c>
      <c r="P337" s="3"/>
    </row>
    <row r="338" spans="1:19" x14ac:dyDescent="0.25">
      <c r="A338" s="12" t="s">
        <v>22</v>
      </c>
      <c r="B338" s="48">
        <v>700</v>
      </c>
      <c r="C338" s="17">
        <v>-124.43994128509863</v>
      </c>
      <c r="D338" s="63">
        <v>6.9161494359584355</v>
      </c>
      <c r="E338" s="63">
        <v>0</v>
      </c>
      <c r="F338" s="63">
        <v>-767.84503914603749</v>
      </c>
      <c r="G338" s="54">
        <v>0</v>
      </c>
      <c r="H338" s="6">
        <v>175</v>
      </c>
      <c r="I338" s="56"/>
      <c r="J338" s="57"/>
      <c r="K338" s="58"/>
      <c r="L338" s="92" t="s">
        <v>1</v>
      </c>
      <c r="M338" s="93"/>
      <c r="N338" s="22" t="s">
        <v>35</v>
      </c>
      <c r="O338" s="22" t="s">
        <v>9</v>
      </c>
    </row>
    <row r="339" spans="1:19" x14ac:dyDescent="0.25">
      <c r="A339" s="20" t="s">
        <v>24</v>
      </c>
      <c r="B339" s="13"/>
      <c r="C339" s="17">
        <v>105.53352700310326</v>
      </c>
      <c r="D339" s="18">
        <v>0</v>
      </c>
      <c r="E339" s="18">
        <v>25.852355957453312</v>
      </c>
      <c r="F339" s="18">
        <v>0</v>
      </c>
      <c r="G339" s="19">
        <v>2.8724806071639506</v>
      </c>
      <c r="H339" s="6">
        <v>200</v>
      </c>
      <c r="I339" s="59" t="s">
        <v>70</v>
      </c>
      <c r="J339" s="60"/>
      <c r="K339" s="61"/>
      <c r="L339" s="25">
        <f>MAX(ABS(E342),ABS(E343))*1000/(B340*B337)</f>
        <v>2.3460284770762643</v>
      </c>
      <c r="M339" s="25">
        <f>L339-phiVc</f>
        <v>1.6835190431811686</v>
      </c>
      <c r="N339" s="26">
        <f>M339*O339*B337/(phiV*fys*0.25*PI()*(J337^2))</f>
        <v>2.8868996903608992</v>
      </c>
      <c r="O339" s="15">
        <v>100</v>
      </c>
    </row>
    <row r="340" spans="1:19" x14ac:dyDescent="0.25">
      <c r="A340" s="12" t="s">
        <v>26</v>
      </c>
      <c r="B340" s="49">
        <f>B338-clrCover-J337-(IF(M344&gt;1,1.5*J343,0.5*J343))</f>
        <v>610.5</v>
      </c>
      <c r="C340" s="64">
        <v>-62.847677226679615</v>
      </c>
      <c r="D340" s="17">
        <v>-14.408658080128427</v>
      </c>
      <c r="E340" s="18">
        <v>-76.520784448672643</v>
      </c>
      <c r="F340" s="18">
        <v>-113.08073816520277</v>
      </c>
      <c r="G340" s="19">
        <v>9.1344610498386078</v>
      </c>
      <c r="H340" s="6">
        <v>250</v>
      </c>
      <c r="I340" s="59" t="s">
        <v>71</v>
      </c>
      <c r="J340" s="60"/>
      <c r="K340" s="61"/>
      <c r="L340" s="25">
        <f>MAX(ABS(E342),ABS(E343))*1000/(B345*B337)</f>
        <v>2.2537378210150423</v>
      </c>
      <c r="M340" s="25">
        <f>L340-phiVc</f>
        <v>1.5912283871199466</v>
      </c>
      <c r="N340" s="26">
        <f>M340*O340*B337/(phiV*fys*0.25*PI()*(J337^2))</f>
        <v>2.7286396056380711</v>
      </c>
      <c r="O340" s="15">
        <v>100</v>
      </c>
    </row>
    <row r="341" spans="1:19" x14ac:dyDescent="0.25">
      <c r="A341" s="12" t="s">
        <v>27</v>
      </c>
      <c r="B341" s="50">
        <f>K344*R343</f>
        <v>4900</v>
      </c>
      <c r="C341" s="64">
        <v>-31.684307147664228</v>
      </c>
      <c r="D341" s="17">
        <v>17.69468719103774</v>
      </c>
      <c r="E341" s="18">
        <v>194.11274022474078</v>
      </c>
      <c r="F341" s="18">
        <v>-119.56846437786284</v>
      </c>
      <c r="G341" s="19">
        <v>-6.5237542065560152</v>
      </c>
      <c r="H341" s="6">
        <v>300</v>
      </c>
    </row>
    <row r="342" spans="1:19" x14ac:dyDescent="0.25">
      <c r="A342" s="12" t="s">
        <v>28</v>
      </c>
      <c r="B342" s="51">
        <f>-phi*B337*(B340^2)*J344*fy*(1-(0.588*J344*fy/fc))/1000000</f>
        <v>-912.96858996000003</v>
      </c>
      <c r="C342" s="64">
        <v>-124.43994128509863</v>
      </c>
      <c r="D342" s="18">
        <v>6.9161494359584355</v>
      </c>
      <c r="E342" s="17">
        <v>-342.28505690144675</v>
      </c>
      <c r="F342" s="18">
        <v>-767.84503914603749</v>
      </c>
      <c r="G342" s="19">
        <v>-4.1341347989907193</v>
      </c>
      <c r="I342" s="90" t="s">
        <v>68</v>
      </c>
      <c r="J342" s="91"/>
      <c r="K342" s="94" t="s">
        <v>35</v>
      </c>
      <c r="L342" s="68" t="s">
        <v>36</v>
      </c>
      <c r="M342" s="96" t="s">
        <v>37</v>
      </c>
      <c r="N342" s="98" t="s">
        <v>38</v>
      </c>
      <c r="O342" s="96" t="s">
        <v>72</v>
      </c>
      <c r="Q342" s="34" t="s">
        <v>73</v>
      </c>
    </row>
    <row r="343" spans="1:19" x14ac:dyDescent="0.25">
      <c r="A343" s="23" t="s">
        <v>33</v>
      </c>
      <c r="B343" s="13"/>
      <c r="C343" s="64">
        <v>-27.044099228475019</v>
      </c>
      <c r="D343" s="18">
        <v>-1.6548158972450286</v>
      </c>
      <c r="E343" s="17">
        <v>572.90015410202363</v>
      </c>
      <c r="F343" s="18">
        <v>-981.58713370645955</v>
      </c>
      <c r="G343" s="19">
        <v>-0.90973916953117806</v>
      </c>
      <c r="I343" s="14" t="s">
        <v>23</v>
      </c>
      <c r="J343" s="41">
        <v>25</v>
      </c>
      <c r="K343" s="95"/>
      <c r="L343" s="40" t="s">
        <v>9</v>
      </c>
      <c r="M343" s="97"/>
      <c r="N343" s="99"/>
      <c r="O343" s="97"/>
      <c r="Q343" s="14" t="s">
        <v>75</v>
      </c>
      <c r="R343" s="21">
        <f>IF(J343=16,201,IF(J343=20,314,IF(J343=25,490,"Err")))</f>
        <v>490</v>
      </c>
      <c r="S343" s="16" t="s">
        <v>25</v>
      </c>
    </row>
    <row r="344" spans="1:19" x14ac:dyDescent="0.25">
      <c r="A344" s="20" t="s">
        <v>39</v>
      </c>
      <c r="B344" s="13"/>
      <c r="C344" s="64">
        <v>-27.044099228475019</v>
      </c>
      <c r="D344" s="18">
        <v>-1.6548158972450286</v>
      </c>
      <c r="E344" s="18">
        <v>572.90015410202363</v>
      </c>
      <c r="F344" s="17">
        <v>-981.58713370645955</v>
      </c>
      <c r="G344" s="19">
        <v>-0.90973916953117806</v>
      </c>
      <c r="I344" s="14" t="s">
        <v>40</v>
      </c>
      <c r="J344" s="24">
        <f>MAX(rhoMin,(K344*R343/(B337*B340)))</f>
        <v>2.0065520065520065E-2</v>
      </c>
      <c r="K344" s="15">
        <v>10</v>
      </c>
      <c r="L344" s="39">
        <f>IF(M344&lt;2,(B337-(2*(J337+clrCover))-(K344*J343))/(K344-1),(B337-(2*(J337+clrCover))-(N344*J343))/((N344)-1))</f>
        <v>42.75</v>
      </c>
      <c r="M344" s="15">
        <v>2</v>
      </c>
      <c r="N344" s="22">
        <f>IF(M344&lt;2,K344,CEILING(K344/2,1))</f>
        <v>5</v>
      </c>
      <c r="O344" s="22">
        <f>K344-N344</f>
        <v>5</v>
      </c>
      <c r="Q344" s="37" t="s">
        <v>74</v>
      </c>
      <c r="R344" s="38">
        <f>rhoMin*B337*B340</f>
        <v>805.86</v>
      </c>
      <c r="S344" s="22">
        <f>ROUNDUP(R344/R343,0)</f>
        <v>2</v>
      </c>
    </row>
    <row r="345" spans="1:19" x14ac:dyDescent="0.25">
      <c r="A345" s="12" t="s">
        <v>26</v>
      </c>
      <c r="B345" s="49">
        <f>B338-clrCover-J337-(IF(M347&gt;1,1.5*J346,0.5*J346))</f>
        <v>635.5</v>
      </c>
      <c r="C345" s="64">
        <v>-14.067310187692732</v>
      </c>
      <c r="D345" s="18">
        <v>0.71576670759805383</v>
      </c>
      <c r="E345" s="18">
        <v>3.5679767179787194</v>
      </c>
      <c r="F345" s="17">
        <v>356.77806735569527</v>
      </c>
      <c r="G345" s="19">
        <v>0.50307118884782676</v>
      </c>
      <c r="I345" s="90" t="s">
        <v>69</v>
      </c>
      <c r="J345" s="91"/>
      <c r="K345" s="96" t="s">
        <v>35</v>
      </c>
      <c r="L345" s="68" t="s">
        <v>36</v>
      </c>
      <c r="M345" s="96" t="s">
        <v>37</v>
      </c>
      <c r="N345" s="98" t="s">
        <v>38</v>
      </c>
      <c r="O345" s="96" t="s">
        <v>72</v>
      </c>
      <c r="R345" s="36"/>
    </row>
    <row r="346" spans="1:19" x14ac:dyDescent="0.25">
      <c r="A346" s="12" t="s">
        <v>27</v>
      </c>
      <c r="B346" s="50">
        <f>K347*R346</f>
        <v>2450</v>
      </c>
      <c r="C346" s="64">
        <v>43.941262944684247</v>
      </c>
      <c r="D346" s="18">
        <v>16.291448783690143</v>
      </c>
      <c r="E346" s="18">
        <v>-239.91191649532087</v>
      </c>
      <c r="F346" s="18">
        <v>-460.65907224505986</v>
      </c>
      <c r="G346" s="17">
        <v>-10.396115241665377</v>
      </c>
      <c r="I346" s="14" t="s">
        <v>23</v>
      </c>
      <c r="J346" s="41">
        <v>25</v>
      </c>
      <c r="K346" s="97"/>
      <c r="L346" s="40" t="s">
        <v>9</v>
      </c>
      <c r="M346" s="97"/>
      <c r="N346" s="99"/>
      <c r="O346" s="97"/>
      <c r="Q346" s="14" t="s">
        <v>75</v>
      </c>
      <c r="R346" s="21">
        <f>IF(J346=16,201,IF(J346=20,314,IF(J346=25,490,"Err")))</f>
        <v>490</v>
      </c>
      <c r="S346" s="16" t="s">
        <v>25</v>
      </c>
    </row>
    <row r="347" spans="1:19" x14ac:dyDescent="0.25">
      <c r="A347" s="27" t="s">
        <v>28</v>
      </c>
      <c r="B347" s="52">
        <f>phi*B337*(B345^2)*J347*fy*(1-(0.588*J347*fy/fc))/1000000</f>
        <v>529.71746498999994</v>
      </c>
      <c r="C347" s="53">
        <v>-31.684307147664228</v>
      </c>
      <c r="D347" s="28">
        <v>17.69468719103774</v>
      </c>
      <c r="E347" s="28">
        <v>201.80822696950455</v>
      </c>
      <c r="F347" s="28">
        <v>-311.62194022536505</v>
      </c>
      <c r="G347" s="17">
        <v>10.642935414131825</v>
      </c>
      <c r="I347" s="14" t="s">
        <v>40</v>
      </c>
      <c r="J347" s="24">
        <f>MAX(rhoMin,(K347*R346/(B337*B345)))</f>
        <v>9.6380802517702594E-3</v>
      </c>
      <c r="K347" s="15">
        <v>5</v>
      </c>
      <c r="L347" s="21">
        <f>IF(M347&lt;2,(B337-(2*(J337+clrCover))-(K347*J346))/(K347-1),(B337-(2*(J337+clrCover))-(N347*J346))/((N347)-1))</f>
        <v>42.75</v>
      </c>
      <c r="M347" s="15">
        <v>1</v>
      </c>
      <c r="N347" s="22">
        <f>IF(M347&lt;2,K347,CEILING(K347/2,1))</f>
        <v>5</v>
      </c>
      <c r="O347" s="22">
        <f>K347-N347</f>
        <v>0</v>
      </c>
      <c r="Q347" s="37" t="s">
        <v>74</v>
      </c>
      <c r="R347" s="38">
        <f>rhoMin*B337*B345</f>
        <v>838.86</v>
      </c>
      <c r="S347" s="22">
        <f>ROUNDUP(R347/R346,0)</f>
        <v>2</v>
      </c>
    </row>
    <row r="348" spans="1:19" x14ac:dyDescent="0.25">
      <c r="A348" s="65" t="s">
        <v>76</v>
      </c>
    </row>
    <row r="349" spans="1:19" x14ac:dyDescent="0.25">
      <c r="A349" s="69" t="s">
        <v>129</v>
      </c>
      <c r="B349" s="11" t="s">
        <v>11</v>
      </c>
      <c r="C349" s="10" t="s">
        <v>12</v>
      </c>
      <c r="D349" s="10" t="s">
        <v>13</v>
      </c>
      <c r="E349" s="10" t="s">
        <v>14</v>
      </c>
      <c r="F349" s="10" t="s">
        <v>15</v>
      </c>
      <c r="G349" s="11" t="s">
        <v>16</v>
      </c>
      <c r="H349" s="6">
        <v>125</v>
      </c>
      <c r="I349" s="90" t="s">
        <v>34</v>
      </c>
      <c r="J349" s="91"/>
      <c r="K349" s="71"/>
    </row>
    <row r="350" spans="1:19" x14ac:dyDescent="0.25">
      <c r="A350" s="12" t="s">
        <v>17</v>
      </c>
      <c r="B350" s="48">
        <v>400</v>
      </c>
      <c r="C350" s="44" t="s">
        <v>18</v>
      </c>
      <c r="D350" s="44" t="s">
        <v>18</v>
      </c>
      <c r="E350" s="44" t="s">
        <v>18</v>
      </c>
      <c r="F350" s="44" t="s">
        <v>19</v>
      </c>
      <c r="G350" s="45" t="s">
        <v>19</v>
      </c>
      <c r="H350" s="6">
        <v>150</v>
      </c>
      <c r="I350" s="14" t="s">
        <v>20</v>
      </c>
      <c r="J350" s="15">
        <v>12</v>
      </c>
      <c r="K350" s="16" t="s">
        <v>9</v>
      </c>
      <c r="L350" s="22" t="s">
        <v>29</v>
      </c>
      <c r="M350" s="22" t="s">
        <v>30</v>
      </c>
      <c r="N350" s="22" t="s">
        <v>31</v>
      </c>
      <c r="O350" s="22" t="s">
        <v>32</v>
      </c>
      <c r="P350" s="3"/>
    </row>
    <row r="351" spans="1:19" x14ac:dyDescent="0.25">
      <c r="A351" s="12" t="s">
        <v>22</v>
      </c>
      <c r="B351" s="48">
        <v>700</v>
      </c>
      <c r="C351" s="17">
        <v>-166.48884342266322</v>
      </c>
      <c r="D351" s="63">
        <v>-2.5805029716711183</v>
      </c>
      <c r="E351" s="63">
        <v>0</v>
      </c>
      <c r="F351" s="63">
        <v>-315.86670704832756</v>
      </c>
      <c r="G351" s="54">
        <v>0</v>
      </c>
      <c r="H351" s="6">
        <v>175</v>
      </c>
      <c r="I351" s="56"/>
      <c r="J351" s="57"/>
      <c r="K351" s="58"/>
      <c r="L351" s="92" t="s">
        <v>1</v>
      </c>
      <c r="M351" s="93"/>
      <c r="N351" s="22" t="s">
        <v>35</v>
      </c>
      <c r="O351" s="22" t="s">
        <v>9</v>
      </c>
    </row>
    <row r="352" spans="1:19" x14ac:dyDescent="0.25">
      <c r="A352" s="20" t="s">
        <v>24</v>
      </c>
      <c r="B352" s="13"/>
      <c r="C352" s="17">
        <v>184.0733924597975</v>
      </c>
      <c r="D352" s="18">
        <v>0</v>
      </c>
      <c r="E352" s="18">
        <v>394.7087873451116</v>
      </c>
      <c r="F352" s="18">
        <v>0</v>
      </c>
      <c r="G352" s="19">
        <v>-5.7584545849426174</v>
      </c>
      <c r="H352" s="6">
        <v>200</v>
      </c>
      <c r="I352" s="59" t="s">
        <v>70</v>
      </c>
      <c r="J352" s="60"/>
      <c r="K352" s="61"/>
      <c r="L352" s="25">
        <f>MAX(ABS(E355),ABS(E356))*1000/(B353*B350)</f>
        <v>3.1404217397019312</v>
      </c>
      <c r="M352" s="25">
        <f>L352-phiVc</f>
        <v>2.4779123058068357</v>
      </c>
      <c r="N352" s="26">
        <f>M352*O352*B350/(phiV*fys*0.25*PI()*(J350^2))</f>
        <v>4.2491258399180509</v>
      </c>
      <c r="O352" s="15">
        <v>100</v>
      </c>
    </row>
    <row r="353" spans="1:19" x14ac:dyDescent="0.25">
      <c r="A353" s="12" t="s">
        <v>26</v>
      </c>
      <c r="B353" s="49">
        <f>B351-clrCover-J350-(IF(M357&gt;1,1.5*J356,0.5*J356))</f>
        <v>618</v>
      </c>
      <c r="C353" s="64">
        <v>16.905233799384163</v>
      </c>
      <c r="D353" s="17">
        <v>-29.720612995877424</v>
      </c>
      <c r="E353" s="18">
        <v>49.861331617808332</v>
      </c>
      <c r="F353" s="18">
        <v>4.2624714128654233</v>
      </c>
      <c r="G353" s="19">
        <v>12.046618587796097</v>
      </c>
      <c r="H353" s="6">
        <v>250</v>
      </c>
      <c r="I353" s="59" t="s">
        <v>71</v>
      </c>
      <c r="J353" s="60"/>
      <c r="K353" s="61"/>
      <c r="L353" s="25">
        <f>MAX(ABS(E355),ABS(E356))*1000/(B358*B350)</f>
        <v>3.0419759171407419</v>
      </c>
      <c r="M353" s="25">
        <f>L353-phiVc</f>
        <v>2.379466483245646</v>
      </c>
      <c r="N353" s="26">
        <f>M353*O353*B350/(phiV*fys*0.25*PI()*(J350^2))</f>
        <v>4.0803108711653397</v>
      </c>
      <c r="O353" s="15">
        <v>100</v>
      </c>
    </row>
    <row r="354" spans="1:19" x14ac:dyDescent="0.25">
      <c r="A354" s="12" t="s">
        <v>27</v>
      </c>
      <c r="B354" s="50">
        <f>K357*R356</f>
        <v>2512</v>
      </c>
      <c r="C354" s="64">
        <v>171.85527134762884</v>
      </c>
      <c r="D354" s="17">
        <v>44.066915348374962</v>
      </c>
      <c r="E354" s="18">
        <v>377.26631882168908</v>
      </c>
      <c r="F354" s="18">
        <v>66.279185698573855</v>
      </c>
      <c r="G354" s="19">
        <v>-18.020728571119832</v>
      </c>
      <c r="H354" s="6">
        <v>300</v>
      </c>
    </row>
    <row r="355" spans="1:19" x14ac:dyDescent="0.25">
      <c r="A355" s="12" t="s">
        <v>28</v>
      </c>
      <c r="B355" s="51">
        <f>-phi*B350*(B353^2)*J357*fy*(1-(0.588*J357*fy/fc))/1000000</f>
        <v>-525.4350629898239</v>
      </c>
      <c r="C355" s="64">
        <v>72.156005024948186</v>
      </c>
      <c r="D355" s="18">
        <v>-3.5935405670047671</v>
      </c>
      <c r="E355" s="17">
        <v>-297.19232983107969</v>
      </c>
      <c r="F355" s="18">
        <v>-329.26314275756204</v>
      </c>
      <c r="G355" s="19">
        <v>2.1118275364797405</v>
      </c>
      <c r="I355" s="90" t="s">
        <v>68</v>
      </c>
      <c r="J355" s="91"/>
      <c r="K355" s="94" t="s">
        <v>35</v>
      </c>
      <c r="L355" s="74" t="s">
        <v>36</v>
      </c>
      <c r="M355" s="96" t="s">
        <v>37</v>
      </c>
      <c r="N355" s="98" t="s">
        <v>38</v>
      </c>
      <c r="O355" s="96" t="s">
        <v>72</v>
      </c>
      <c r="Q355" s="34" t="s">
        <v>73</v>
      </c>
    </row>
    <row r="356" spans="1:19" x14ac:dyDescent="0.25">
      <c r="A356" s="23" t="s">
        <v>33</v>
      </c>
      <c r="B356" s="13"/>
      <c r="C356" s="64">
        <v>109.79845418971996</v>
      </c>
      <c r="D356" s="18">
        <v>-1.8790079113497142</v>
      </c>
      <c r="E356" s="17">
        <v>776.31225405431735</v>
      </c>
      <c r="F356" s="18">
        <v>-483.1457041306723</v>
      </c>
      <c r="G356" s="19">
        <v>-0.12917880591279346</v>
      </c>
      <c r="I356" s="14" t="s">
        <v>23</v>
      </c>
      <c r="J356" s="41">
        <v>20</v>
      </c>
      <c r="K356" s="95"/>
      <c r="L356" s="40" t="s">
        <v>9</v>
      </c>
      <c r="M356" s="97"/>
      <c r="N356" s="99"/>
      <c r="O356" s="97"/>
      <c r="Q356" s="14" t="s">
        <v>75</v>
      </c>
      <c r="R356" s="21">
        <f>IF(J356=16,201,IF(J356=20,314,IF(J356=25,490,"Err")))</f>
        <v>314</v>
      </c>
      <c r="S356" s="16" t="s">
        <v>25</v>
      </c>
    </row>
    <row r="357" spans="1:19" x14ac:dyDescent="0.25">
      <c r="A357" s="20" t="s">
        <v>39</v>
      </c>
      <c r="B357" s="13"/>
      <c r="C357" s="64">
        <v>109.79845418971996</v>
      </c>
      <c r="D357" s="18">
        <v>-1.8790079113497142</v>
      </c>
      <c r="E357" s="18">
        <v>776.31225405431735</v>
      </c>
      <c r="F357" s="17">
        <v>-483.1457041306723</v>
      </c>
      <c r="G357" s="19">
        <v>-0.12917880591279346</v>
      </c>
      <c r="I357" s="14" t="s">
        <v>40</v>
      </c>
      <c r="J357" s="24">
        <f>MAX(rhoMin,(K357*R356/(B350*B353)))</f>
        <v>1.0161812297734628E-2</v>
      </c>
      <c r="K357" s="15">
        <v>8</v>
      </c>
      <c r="L357" s="39">
        <f>IF(M357&lt;2,(B350-(2*(J350+clrCover))-(K357*J356))/(K357-1),(B350-(2*(J350+clrCover))-(N357*J356))/((N357)-1))</f>
        <v>72</v>
      </c>
      <c r="M357" s="15">
        <v>2</v>
      </c>
      <c r="N357" s="22">
        <f>IF(M357&lt;2,K357,CEILING(K357/2,1))</f>
        <v>4</v>
      </c>
      <c r="O357" s="22">
        <f>K357-N357</f>
        <v>4</v>
      </c>
      <c r="Q357" s="37" t="s">
        <v>74</v>
      </c>
      <c r="R357" s="38">
        <f>rhoMin*B350*B353</f>
        <v>815.76</v>
      </c>
      <c r="S357" s="22">
        <f>ROUNDUP(R357/R356,0)</f>
        <v>3</v>
      </c>
    </row>
    <row r="358" spans="1:19" x14ac:dyDescent="0.25">
      <c r="A358" s="12" t="s">
        <v>26</v>
      </c>
      <c r="B358" s="49">
        <f>B351-clrCover-J350-(IF(M360&gt;1,1.5*J359,0.5*J359))</f>
        <v>638</v>
      </c>
      <c r="C358" s="64">
        <v>109.79845418971996</v>
      </c>
      <c r="D358" s="18">
        <v>-1.8790079113497142</v>
      </c>
      <c r="E358" s="18">
        <v>758.54653501544067</v>
      </c>
      <c r="F358" s="17">
        <v>253.48871118152829</v>
      </c>
      <c r="G358" s="19">
        <v>1.674429322732047</v>
      </c>
      <c r="I358" s="90" t="s">
        <v>69</v>
      </c>
      <c r="J358" s="91"/>
      <c r="K358" s="96" t="s">
        <v>35</v>
      </c>
      <c r="L358" s="74" t="s">
        <v>36</v>
      </c>
      <c r="M358" s="96" t="s">
        <v>37</v>
      </c>
      <c r="N358" s="98" t="s">
        <v>38</v>
      </c>
      <c r="O358" s="96" t="s">
        <v>72</v>
      </c>
      <c r="R358" s="36"/>
    </row>
    <row r="359" spans="1:19" x14ac:dyDescent="0.25">
      <c r="A359" s="12" t="s">
        <v>27</v>
      </c>
      <c r="B359" s="50">
        <f>K360*R359</f>
        <v>1256</v>
      </c>
      <c r="C359" s="64">
        <v>171.85527134762884</v>
      </c>
      <c r="D359" s="18">
        <v>44.066915348374962</v>
      </c>
      <c r="E359" s="18">
        <v>377.26631882168908</v>
      </c>
      <c r="F359" s="18">
        <v>66.279185698573855</v>
      </c>
      <c r="G359" s="17">
        <v>-18.020728571119832</v>
      </c>
      <c r="I359" s="14" t="s">
        <v>23</v>
      </c>
      <c r="J359" s="41">
        <v>20</v>
      </c>
      <c r="K359" s="97"/>
      <c r="L359" s="40" t="s">
        <v>9</v>
      </c>
      <c r="M359" s="97"/>
      <c r="N359" s="99"/>
      <c r="O359" s="97"/>
      <c r="Q359" s="14" t="s">
        <v>75</v>
      </c>
      <c r="R359" s="21">
        <f>IF(J359=16,201,IF(J359=20,314,IF(J359=25,490,"Err")))</f>
        <v>314</v>
      </c>
      <c r="S359" s="16" t="s">
        <v>25</v>
      </c>
    </row>
    <row r="360" spans="1:19" x14ac:dyDescent="0.25">
      <c r="A360" s="27" t="s">
        <v>28</v>
      </c>
      <c r="B360" s="52">
        <f>phi*B350*(B358^2)*J360*fy*(1-(0.588*J360*fy/fc))/1000000</f>
        <v>285.32602814745599</v>
      </c>
      <c r="C360" s="53">
        <v>171.85527134762884</v>
      </c>
      <c r="D360" s="28">
        <v>44.066915348374962</v>
      </c>
      <c r="E360" s="28">
        <v>382.970719382222</v>
      </c>
      <c r="F360" s="28">
        <v>-207.08185146821776</v>
      </c>
      <c r="G360" s="17">
        <v>13.669854968015656</v>
      </c>
      <c r="I360" s="14" t="s">
        <v>40</v>
      </c>
      <c r="J360" s="24">
        <f>MAX(rhoMin,(K360*R359/(B350*B358)))</f>
        <v>4.921630094043887E-3</v>
      </c>
      <c r="K360" s="15">
        <v>4</v>
      </c>
      <c r="L360" s="21">
        <f>IF(M360&lt;2,(B350-(2*(J350+clrCover))-(K360*J359))/(K360-1),(B350-(2*(J350+clrCover))-(N360*J359))/((N360)-1))</f>
        <v>72</v>
      </c>
      <c r="M360" s="15">
        <v>1</v>
      </c>
      <c r="N360" s="22">
        <f>IF(M360&lt;2,K360,CEILING(K360/2,1))</f>
        <v>4</v>
      </c>
      <c r="O360" s="22">
        <f>K360-N360</f>
        <v>0</v>
      </c>
      <c r="Q360" s="37" t="s">
        <v>74</v>
      </c>
      <c r="R360" s="38">
        <f>rhoMin*B350*B358</f>
        <v>842.16000000000008</v>
      </c>
      <c r="S360" s="22">
        <f>ROUNDUP(R360/R359,0)</f>
        <v>3</v>
      </c>
    </row>
    <row r="361" spans="1:19" x14ac:dyDescent="0.25">
      <c r="A361" s="65" t="s">
        <v>76</v>
      </c>
    </row>
    <row r="362" spans="1:19" x14ac:dyDescent="0.25">
      <c r="A362" s="69" t="s">
        <v>109</v>
      </c>
      <c r="B362" s="11" t="s">
        <v>11</v>
      </c>
      <c r="C362" s="10" t="s">
        <v>12</v>
      </c>
      <c r="D362" s="10" t="s">
        <v>13</v>
      </c>
      <c r="E362" s="10" t="s">
        <v>14</v>
      </c>
      <c r="F362" s="10" t="s">
        <v>15</v>
      </c>
      <c r="G362" s="11" t="s">
        <v>16</v>
      </c>
      <c r="H362" s="6">
        <v>125</v>
      </c>
      <c r="I362" s="90" t="s">
        <v>34</v>
      </c>
      <c r="J362" s="91"/>
      <c r="K362" s="71"/>
    </row>
    <row r="363" spans="1:19" x14ac:dyDescent="0.25">
      <c r="A363" s="12" t="s">
        <v>17</v>
      </c>
      <c r="B363" s="48">
        <v>400</v>
      </c>
      <c r="C363" s="44" t="s">
        <v>18</v>
      </c>
      <c r="D363" s="44" t="s">
        <v>18</v>
      </c>
      <c r="E363" s="44" t="s">
        <v>18</v>
      </c>
      <c r="F363" s="44" t="s">
        <v>19</v>
      </c>
      <c r="G363" s="45" t="s">
        <v>19</v>
      </c>
      <c r="H363" s="6">
        <v>150</v>
      </c>
      <c r="I363" s="14" t="s">
        <v>20</v>
      </c>
      <c r="J363" s="15">
        <v>12</v>
      </c>
      <c r="K363" s="16" t="s">
        <v>9</v>
      </c>
      <c r="L363" s="22" t="s">
        <v>29</v>
      </c>
      <c r="M363" s="22" t="s">
        <v>30</v>
      </c>
      <c r="N363" s="22" t="s">
        <v>31</v>
      </c>
      <c r="O363" s="22" t="s">
        <v>32</v>
      </c>
      <c r="P363" s="3"/>
    </row>
    <row r="364" spans="1:19" x14ac:dyDescent="0.25">
      <c r="A364" s="12" t="s">
        <v>22</v>
      </c>
      <c r="B364" s="48">
        <v>800</v>
      </c>
      <c r="C364" s="17">
        <v>-454.70680091460264</v>
      </c>
      <c r="D364" s="63">
        <v>14.966677627351833</v>
      </c>
      <c r="E364" s="63">
        <v>0</v>
      </c>
      <c r="F364" s="63">
        <v>-13.90415094538359</v>
      </c>
      <c r="G364" s="54">
        <v>0</v>
      </c>
      <c r="H364" s="6">
        <v>175</v>
      </c>
      <c r="I364" s="56"/>
      <c r="J364" s="57"/>
      <c r="K364" s="58"/>
      <c r="L364" s="92" t="s">
        <v>1</v>
      </c>
      <c r="M364" s="93"/>
      <c r="N364" s="22" t="s">
        <v>35</v>
      </c>
      <c r="O364" s="22" t="s">
        <v>9</v>
      </c>
    </row>
    <row r="365" spans="1:19" x14ac:dyDescent="0.25">
      <c r="A365" s="20" t="s">
        <v>24</v>
      </c>
      <c r="B365" s="13"/>
      <c r="C365" s="17">
        <v>423.7787629145555</v>
      </c>
      <c r="D365" s="18">
        <v>0</v>
      </c>
      <c r="E365" s="18">
        <v>305.14484837520064</v>
      </c>
      <c r="F365" s="18">
        <v>0</v>
      </c>
      <c r="G365" s="19">
        <v>5.0061888580935436</v>
      </c>
      <c r="H365" s="6">
        <v>200</v>
      </c>
      <c r="I365" s="59" t="s">
        <v>70</v>
      </c>
      <c r="J365" s="60"/>
      <c r="K365" s="61"/>
      <c r="L365" s="25">
        <f>MAX(ABS(E368),ABS(E369))*1000/(B366*B363)</f>
        <v>1.9907373749954274</v>
      </c>
      <c r="M365" s="25">
        <f>L365-phiVc</f>
        <v>1.3282279411003317</v>
      </c>
      <c r="N365" s="26">
        <f>M365*O365*B363/(phiV*fys*0.25*PI()*(J363^2))</f>
        <v>2.2776462478533448</v>
      </c>
      <c r="O365" s="15">
        <v>100</v>
      </c>
    </row>
    <row r="366" spans="1:19" x14ac:dyDescent="0.25">
      <c r="A366" s="12" t="s">
        <v>26</v>
      </c>
      <c r="B366" s="49">
        <f>B364-clrCover-J363-(IF(M370&gt;1,1.5*J369,0.5*J369))</f>
        <v>718</v>
      </c>
      <c r="C366" s="64">
        <v>55.030397494783394</v>
      </c>
      <c r="D366" s="17">
        <v>-20.973877762331345</v>
      </c>
      <c r="E366" s="18">
        <v>212.90088821562537</v>
      </c>
      <c r="F366" s="18">
        <v>-95.412432932602741</v>
      </c>
      <c r="G366" s="19">
        <v>9.8355489720734326</v>
      </c>
      <c r="H366" s="6">
        <v>250</v>
      </c>
      <c r="I366" s="59" t="s">
        <v>71</v>
      </c>
      <c r="J366" s="60"/>
      <c r="K366" s="61"/>
      <c r="L366" s="25">
        <f>MAX(ABS(E368),ABS(E369))*1000/(B371*B363)</f>
        <v>1.9907373749954274</v>
      </c>
      <c r="M366" s="25">
        <f>L366-phiVc</f>
        <v>1.3282279411003317</v>
      </c>
      <c r="N366" s="26">
        <f>M366*O366*B363/(phiV*fys*0.25*PI()*(J363^2))</f>
        <v>2.2776462478533448</v>
      </c>
      <c r="O366" s="15">
        <v>100</v>
      </c>
    </row>
    <row r="367" spans="1:19" x14ac:dyDescent="0.25">
      <c r="A367" s="12" t="s">
        <v>27</v>
      </c>
      <c r="B367" s="50">
        <f>K370*R369</f>
        <v>3140</v>
      </c>
      <c r="C367" s="64">
        <v>10.972759835263409</v>
      </c>
      <c r="D367" s="17">
        <v>16.221819257284878</v>
      </c>
      <c r="E367" s="18">
        <v>144.73135438618095</v>
      </c>
      <c r="F367" s="18">
        <v>-77.443873248647023</v>
      </c>
      <c r="G367" s="19">
        <v>-7.7956279127675794</v>
      </c>
      <c r="H367" s="6">
        <v>300</v>
      </c>
    </row>
    <row r="368" spans="1:19" x14ac:dyDescent="0.25">
      <c r="A368" s="12" t="s">
        <v>28</v>
      </c>
      <c r="B368" s="51">
        <f>-phi*B363*(B366^2)*J370*fy*(1-(0.588*J370*fy/fc))/1000000</f>
        <v>-757.22924792159995</v>
      </c>
      <c r="C368" s="64">
        <v>-24.894541969529755</v>
      </c>
      <c r="D368" s="18">
        <v>-3.7081935576614162</v>
      </c>
      <c r="E368" s="17">
        <v>-515.96476954094385</v>
      </c>
      <c r="F368" s="18">
        <v>-647.79663439324679</v>
      </c>
      <c r="G368" s="19">
        <v>2.3837760789125717</v>
      </c>
      <c r="I368" s="90" t="s">
        <v>68</v>
      </c>
      <c r="J368" s="91"/>
      <c r="K368" s="94" t="s">
        <v>35</v>
      </c>
      <c r="L368" s="72" t="s">
        <v>36</v>
      </c>
      <c r="M368" s="96" t="s">
        <v>37</v>
      </c>
      <c r="N368" s="98" t="s">
        <v>38</v>
      </c>
      <c r="O368" s="96" t="s">
        <v>72</v>
      </c>
      <c r="Q368" s="34" t="s">
        <v>73</v>
      </c>
    </row>
    <row r="369" spans="1:19" x14ac:dyDescent="0.25">
      <c r="A369" s="23" t="s">
        <v>33</v>
      </c>
      <c r="B369" s="13"/>
      <c r="C369" s="64">
        <v>-34.890243297020305</v>
      </c>
      <c r="D369" s="18">
        <v>-0.70509243729628945</v>
      </c>
      <c r="E369" s="17">
        <v>571.73977409868678</v>
      </c>
      <c r="F369" s="18">
        <v>-747.54085907833144</v>
      </c>
      <c r="G369" s="19">
        <v>-0.37314244225310722</v>
      </c>
      <c r="I369" s="14" t="s">
        <v>23</v>
      </c>
      <c r="J369" s="41">
        <v>20</v>
      </c>
      <c r="K369" s="95"/>
      <c r="L369" s="40" t="s">
        <v>9</v>
      </c>
      <c r="M369" s="97"/>
      <c r="N369" s="99"/>
      <c r="O369" s="97"/>
      <c r="Q369" s="14" t="s">
        <v>75</v>
      </c>
      <c r="R369" s="21">
        <f>IF(J369=16,201,IF(J369=20,314,IF(J369=25,490,"Err")))</f>
        <v>314</v>
      </c>
      <c r="S369" s="16" t="s">
        <v>25</v>
      </c>
    </row>
    <row r="370" spans="1:19" x14ac:dyDescent="0.25">
      <c r="A370" s="20" t="s">
        <v>39</v>
      </c>
      <c r="B370" s="13"/>
      <c r="C370" s="64">
        <v>152.23159500375129</v>
      </c>
      <c r="D370" s="18">
        <v>8.9739408895791711E-2</v>
      </c>
      <c r="E370" s="18">
        <v>-431.74248848542294</v>
      </c>
      <c r="F370" s="17">
        <v>-749.70193914900119</v>
      </c>
      <c r="G370" s="19">
        <v>0.58763395294676046</v>
      </c>
      <c r="I370" s="14" t="s">
        <v>40</v>
      </c>
      <c r="J370" s="24">
        <f>MAX(rhoMin,(K370*R369/(B363*B366)))</f>
        <v>1.0933147632311978E-2</v>
      </c>
      <c r="K370" s="15">
        <v>10</v>
      </c>
      <c r="L370" s="39">
        <f>IF(M370&lt;2,(B363-(2*(J363+clrCover))-(K370*J369))/(K370-1),(B363-(2*(J363+clrCover))-(N370*J369))/((N370)-1))</f>
        <v>49</v>
      </c>
      <c r="M370" s="15">
        <v>2</v>
      </c>
      <c r="N370" s="22">
        <f>IF(M370&lt;2,K370,CEILING(K370/2,1))</f>
        <v>5</v>
      </c>
      <c r="O370" s="22">
        <f>K370-N370</f>
        <v>5</v>
      </c>
      <c r="Q370" s="37" t="s">
        <v>74</v>
      </c>
      <c r="R370" s="38">
        <f>rhoMin*B363*B366</f>
        <v>947.76</v>
      </c>
      <c r="S370" s="22">
        <f>ROUNDUP(R370/R369,0)</f>
        <v>4</v>
      </c>
    </row>
    <row r="371" spans="1:19" x14ac:dyDescent="0.25">
      <c r="A371" s="12" t="s">
        <v>26</v>
      </c>
      <c r="B371" s="49">
        <f>B364-clrCover-J363-(IF(M373&gt;1,1.5*J372,0.5*J372))</f>
        <v>718</v>
      </c>
      <c r="C371" s="64">
        <v>-4.4734077765225901</v>
      </c>
      <c r="D371" s="18">
        <v>-0.54746849779372386</v>
      </c>
      <c r="E371" s="18">
        <v>-145.84413949607512</v>
      </c>
      <c r="F371" s="17">
        <v>374.79966703273857</v>
      </c>
      <c r="G371" s="19">
        <v>-0.31747662599900228</v>
      </c>
      <c r="I371" s="90" t="s">
        <v>69</v>
      </c>
      <c r="J371" s="91"/>
      <c r="K371" s="96" t="s">
        <v>35</v>
      </c>
      <c r="L371" s="72" t="s">
        <v>36</v>
      </c>
      <c r="M371" s="96" t="s">
        <v>37</v>
      </c>
      <c r="N371" s="98" t="s">
        <v>38</v>
      </c>
      <c r="O371" s="96" t="s">
        <v>72</v>
      </c>
      <c r="R371" s="36"/>
    </row>
    <row r="372" spans="1:19" x14ac:dyDescent="0.25">
      <c r="A372" s="12" t="s">
        <v>27</v>
      </c>
      <c r="B372" s="50">
        <f>K373*R372</f>
        <v>1570</v>
      </c>
      <c r="C372" s="64">
        <v>55.030397494783394</v>
      </c>
      <c r="D372" s="18">
        <v>-20.973877762331345</v>
      </c>
      <c r="E372" s="18">
        <v>295.77611499412717</v>
      </c>
      <c r="F372" s="18">
        <v>-349.75103703888396</v>
      </c>
      <c r="G372" s="17">
        <v>-11.138328954116327</v>
      </c>
      <c r="I372" s="14" t="s">
        <v>23</v>
      </c>
      <c r="J372" s="41">
        <v>20</v>
      </c>
      <c r="K372" s="97"/>
      <c r="L372" s="40" t="s">
        <v>9</v>
      </c>
      <c r="M372" s="97"/>
      <c r="N372" s="99"/>
      <c r="O372" s="97"/>
      <c r="Q372" s="14" t="s">
        <v>75</v>
      </c>
      <c r="R372" s="21">
        <f>IF(J372=16,201,IF(J372=20,314,IF(J372=25,490,"Err")))</f>
        <v>314</v>
      </c>
      <c r="S372" s="16" t="s">
        <v>25</v>
      </c>
    </row>
    <row r="373" spans="1:19" x14ac:dyDescent="0.25">
      <c r="A373" s="27" t="s">
        <v>28</v>
      </c>
      <c r="B373" s="52">
        <f>phi*B363*(B371^2)*J373*fy*(1-(0.588*J373*fy/fc))/1000000</f>
        <v>399.31584998039995</v>
      </c>
      <c r="C373" s="53">
        <v>-14.76482914610135</v>
      </c>
      <c r="D373" s="28">
        <v>-16.753873000073209</v>
      </c>
      <c r="E373" s="28">
        <v>-259.97252545737825</v>
      </c>
      <c r="F373" s="28">
        <v>-262.75905529725583</v>
      </c>
      <c r="G373" s="17">
        <v>11.24432109143153</v>
      </c>
      <c r="I373" s="14" t="s">
        <v>40</v>
      </c>
      <c r="J373" s="24">
        <f>MAX(rhoMin,(K373*R372/(B363*B371)))</f>
        <v>5.4665738161559889E-3</v>
      </c>
      <c r="K373" s="15">
        <v>5</v>
      </c>
      <c r="L373" s="21">
        <f>IF(M373&lt;2,(B363-(2*(J363+clrCover))-(K373*J372))/(K373-1),(B363-(2*(J363+clrCover))-(N373*J372))/((N373)-1))</f>
        <v>118</v>
      </c>
      <c r="M373" s="15">
        <v>2</v>
      </c>
      <c r="N373" s="22">
        <f>IF(M373&lt;2,K373,CEILING(K373/2,1))</f>
        <v>3</v>
      </c>
      <c r="O373" s="22">
        <f>K373-N373</f>
        <v>2</v>
      </c>
      <c r="Q373" s="37" t="s">
        <v>74</v>
      </c>
      <c r="R373" s="38">
        <f>rhoMin*B363*B371</f>
        <v>947.76</v>
      </c>
      <c r="S373" s="22">
        <f>ROUNDUP(R373/R372,0)</f>
        <v>4</v>
      </c>
    </row>
    <row r="374" spans="1:19" x14ac:dyDescent="0.25">
      <c r="A374" s="65" t="s">
        <v>76</v>
      </c>
    </row>
    <row r="375" spans="1:19" x14ac:dyDescent="0.25">
      <c r="A375" s="69" t="s">
        <v>110</v>
      </c>
      <c r="B375" s="11" t="s">
        <v>11</v>
      </c>
      <c r="C375" s="10" t="s">
        <v>12</v>
      </c>
      <c r="D375" s="10" t="s">
        <v>13</v>
      </c>
      <c r="E375" s="10" t="s">
        <v>14</v>
      </c>
      <c r="F375" s="10" t="s">
        <v>15</v>
      </c>
      <c r="G375" s="11" t="s">
        <v>16</v>
      </c>
      <c r="H375" s="6">
        <v>125</v>
      </c>
      <c r="I375" s="90" t="s">
        <v>34</v>
      </c>
      <c r="J375" s="91"/>
      <c r="K375" s="71"/>
    </row>
    <row r="376" spans="1:19" x14ac:dyDescent="0.25">
      <c r="A376" s="12" t="s">
        <v>17</v>
      </c>
      <c r="B376" s="48">
        <v>450</v>
      </c>
      <c r="C376" s="44" t="s">
        <v>18</v>
      </c>
      <c r="D376" s="44" t="s">
        <v>18</v>
      </c>
      <c r="E376" s="44" t="s">
        <v>18</v>
      </c>
      <c r="F376" s="44" t="s">
        <v>19</v>
      </c>
      <c r="G376" s="45" t="s">
        <v>19</v>
      </c>
      <c r="H376" s="6">
        <v>150</v>
      </c>
      <c r="I376" s="14" t="s">
        <v>20</v>
      </c>
      <c r="J376" s="15">
        <v>12</v>
      </c>
      <c r="K376" s="16" t="s">
        <v>9</v>
      </c>
      <c r="L376" s="22" t="s">
        <v>29</v>
      </c>
      <c r="M376" s="22" t="s">
        <v>30</v>
      </c>
      <c r="N376" s="22" t="s">
        <v>31</v>
      </c>
      <c r="O376" s="22" t="s">
        <v>32</v>
      </c>
      <c r="P376" s="3"/>
    </row>
    <row r="377" spans="1:19" x14ac:dyDescent="0.25">
      <c r="A377" s="12" t="s">
        <v>22</v>
      </c>
      <c r="B377" s="48">
        <v>800</v>
      </c>
      <c r="C377" s="17">
        <v>-667.91124436966811</v>
      </c>
      <c r="D377" s="63">
        <v>-2.024075621716698</v>
      </c>
      <c r="E377" s="63">
        <v>0</v>
      </c>
      <c r="F377" s="63">
        <v>95.738767067271112</v>
      </c>
      <c r="G377" s="54">
        <v>0</v>
      </c>
      <c r="H377" s="6">
        <v>175</v>
      </c>
      <c r="I377" s="56"/>
      <c r="J377" s="57"/>
      <c r="K377" s="58"/>
      <c r="L377" s="92" t="s">
        <v>1</v>
      </c>
      <c r="M377" s="93"/>
      <c r="N377" s="22" t="s">
        <v>35</v>
      </c>
      <c r="O377" s="22" t="s">
        <v>9</v>
      </c>
    </row>
    <row r="378" spans="1:19" x14ac:dyDescent="0.25">
      <c r="A378" s="20" t="s">
        <v>24</v>
      </c>
      <c r="B378" s="13"/>
      <c r="C378" s="17">
        <v>969.92230228868596</v>
      </c>
      <c r="D378" s="18">
        <v>0</v>
      </c>
      <c r="E378" s="18">
        <v>342.94591743732013</v>
      </c>
      <c r="F378" s="18">
        <v>0</v>
      </c>
      <c r="G378" s="19">
        <v>3.7621136923472513</v>
      </c>
      <c r="H378" s="6">
        <v>200</v>
      </c>
      <c r="I378" s="59" t="s">
        <v>70</v>
      </c>
      <c r="J378" s="60"/>
      <c r="K378" s="61"/>
      <c r="L378" s="25">
        <f>MAX(ABS(E381),ABS(E382))*1000/(B379*B376)</f>
        <v>1.8001438465654385</v>
      </c>
      <c r="M378" s="25">
        <f>L378-phiVc</f>
        <v>1.1376344126703428</v>
      </c>
      <c r="N378" s="26">
        <f>M378*O378*B376/(phiV*fys*0.25*PI()*(J376^2))</f>
        <v>2.1946683661567294</v>
      </c>
      <c r="O378" s="15">
        <v>100</v>
      </c>
    </row>
    <row r="379" spans="1:19" x14ac:dyDescent="0.25">
      <c r="A379" s="12" t="s">
        <v>26</v>
      </c>
      <c r="B379" s="49">
        <f>B377-clrCover-J376-(IF(M383&gt;1,1.5*J382,0.5*J382))</f>
        <v>718</v>
      </c>
      <c r="C379" s="64">
        <v>-151.12794266494794</v>
      </c>
      <c r="D379" s="17">
        <v>-23.869997735343023</v>
      </c>
      <c r="E379" s="18">
        <v>168.72039883238742</v>
      </c>
      <c r="F379" s="18">
        <v>-111.44955186329763</v>
      </c>
      <c r="G379" s="19">
        <v>14.856022073553593</v>
      </c>
      <c r="H379" s="6">
        <v>250</v>
      </c>
      <c r="I379" s="59" t="s">
        <v>71</v>
      </c>
      <c r="J379" s="60"/>
      <c r="K379" s="61"/>
      <c r="L379" s="25">
        <f>MAX(ABS(E381),ABS(E382))*1000/(B384*B376)</f>
        <v>1.7513594604796541</v>
      </c>
      <c r="M379" s="25">
        <f>L379-phiVc</f>
        <v>1.0888500265845584</v>
      </c>
      <c r="N379" s="26">
        <f>M379*O379*B376/(phiV*fys*0.25*PI()*(J376^2))</f>
        <v>2.1005559274748378</v>
      </c>
      <c r="O379" s="15">
        <v>100</v>
      </c>
    </row>
    <row r="380" spans="1:19" x14ac:dyDescent="0.25">
      <c r="A380" s="12" t="s">
        <v>27</v>
      </c>
      <c r="B380" s="50">
        <f>K383*R382</f>
        <v>3454</v>
      </c>
      <c r="C380" s="64">
        <v>468.76264456775311</v>
      </c>
      <c r="D380" s="17">
        <v>34.039567789119417</v>
      </c>
      <c r="E380" s="18">
        <v>166.78423439491513</v>
      </c>
      <c r="F380" s="18">
        <v>11.952204186980467</v>
      </c>
      <c r="G380" s="19">
        <v>-16.589709795117663</v>
      </c>
      <c r="H380" s="6">
        <v>300</v>
      </c>
    </row>
    <row r="381" spans="1:19" x14ac:dyDescent="0.25">
      <c r="A381" s="12" t="s">
        <v>28</v>
      </c>
      <c r="B381" s="51">
        <f>-phi*B376*(B379^2)*J383*fy*(1-(0.588*J383*fy/fc))/1000000</f>
        <v>-834.97629259123198</v>
      </c>
      <c r="C381" s="64">
        <v>-34.968544803204274</v>
      </c>
      <c r="D381" s="18">
        <v>-0.24726039480647219</v>
      </c>
      <c r="E381" s="17">
        <v>-491.5395182971285</v>
      </c>
      <c r="F381" s="18">
        <v>-672.84478850221444</v>
      </c>
      <c r="G381" s="19">
        <v>0.13448180689889094</v>
      </c>
      <c r="I381" s="90" t="s">
        <v>68</v>
      </c>
      <c r="J381" s="91"/>
      <c r="K381" s="94" t="s">
        <v>35</v>
      </c>
      <c r="L381" s="72" t="s">
        <v>36</v>
      </c>
      <c r="M381" s="96" t="s">
        <v>37</v>
      </c>
      <c r="N381" s="98" t="s">
        <v>38</v>
      </c>
      <c r="O381" s="96" t="s">
        <v>72</v>
      </c>
      <c r="Q381" s="34" t="s">
        <v>73</v>
      </c>
    </row>
    <row r="382" spans="1:19" x14ac:dyDescent="0.25">
      <c r="A382" s="23" t="s">
        <v>33</v>
      </c>
      <c r="B382" s="13"/>
      <c r="C382" s="64">
        <v>16.643835003898584</v>
      </c>
      <c r="D382" s="18">
        <v>-1.3497070084052356</v>
      </c>
      <c r="E382" s="17">
        <v>581.62647682529314</v>
      </c>
      <c r="F382" s="18">
        <v>-707.27774428719181</v>
      </c>
      <c r="G382" s="19">
        <v>-1.0845780293275482</v>
      </c>
      <c r="I382" s="14" t="s">
        <v>23</v>
      </c>
      <c r="J382" s="41">
        <v>20</v>
      </c>
      <c r="K382" s="95"/>
      <c r="L382" s="40" t="s">
        <v>9</v>
      </c>
      <c r="M382" s="97"/>
      <c r="N382" s="99"/>
      <c r="O382" s="97"/>
      <c r="Q382" s="14" t="s">
        <v>75</v>
      </c>
      <c r="R382" s="21">
        <f>IF(J382=16,201,IF(J382=20,314,IF(J382=25,490,"Err")))</f>
        <v>314</v>
      </c>
      <c r="S382" s="16" t="s">
        <v>25</v>
      </c>
    </row>
    <row r="383" spans="1:19" x14ac:dyDescent="0.25">
      <c r="A383" s="20" t="s">
        <v>39</v>
      </c>
      <c r="B383" s="13"/>
      <c r="C383" s="64">
        <v>-48.779882099825898</v>
      </c>
      <c r="D383" s="18">
        <v>6.4910673040068163</v>
      </c>
      <c r="E383" s="18">
        <v>-482.14769464522391</v>
      </c>
      <c r="F383" s="17">
        <v>-808.0951931732817</v>
      </c>
      <c r="G383" s="19">
        <v>-3.3829838472230462</v>
      </c>
      <c r="I383" s="14" t="s">
        <v>40</v>
      </c>
      <c r="J383" s="24">
        <f>MAX(rhoMin,(K383*R382/(B376*B379)))</f>
        <v>1.0690188796038377E-2</v>
      </c>
      <c r="K383" s="15">
        <v>11</v>
      </c>
      <c r="L383" s="39">
        <f>IF(M383&lt;2,(B376-(2*(J376+clrCover))-(K383*J382))/(K383-1),(B376-(2*(J376+clrCover))-(N383*J382))/((N383)-1))</f>
        <v>45.2</v>
      </c>
      <c r="M383" s="15">
        <v>2</v>
      </c>
      <c r="N383" s="22">
        <f>IF(M383&lt;2,K383,CEILING(K383/2,1))</f>
        <v>6</v>
      </c>
      <c r="O383" s="22">
        <f>K383-N383</f>
        <v>5</v>
      </c>
      <c r="Q383" s="37" t="s">
        <v>74</v>
      </c>
      <c r="R383" s="38">
        <f>rhoMin*B376*B379</f>
        <v>1066.23</v>
      </c>
      <c r="S383" s="22">
        <f>ROUNDUP(R383/R382,0)</f>
        <v>4</v>
      </c>
    </row>
    <row r="384" spans="1:19" x14ac:dyDescent="0.25">
      <c r="A384" s="12" t="s">
        <v>26</v>
      </c>
      <c r="B384" s="49">
        <f>B377-clrCover-J376-(IF(M386&gt;1,1.5*J385,0.5*J385))</f>
        <v>738</v>
      </c>
      <c r="C384" s="64">
        <v>-19.824938299153406</v>
      </c>
      <c r="D384" s="18">
        <v>-0.22259643447694419</v>
      </c>
      <c r="E384" s="18">
        <v>-27.810863592717347</v>
      </c>
      <c r="F384" s="17">
        <v>317.90466317485567</v>
      </c>
      <c r="G384" s="19">
        <v>-5.2506234153937313E-2</v>
      </c>
      <c r="I384" s="90" t="s">
        <v>69</v>
      </c>
      <c r="J384" s="91"/>
      <c r="K384" s="96" t="s">
        <v>35</v>
      </c>
      <c r="L384" s="72" t="s">
        <v>36</v>
      </c>
      <c r="M384" s="96" t="s">
        <v>37</v>
      </c>
      <c r="N384" s="98" t="s">
        <v>38</v>
      </c>
      <c r="O384" s="96" t="s">
        <v>72</v>
      </c>
      <c r="R384" s="36"/>
    </row>
    <row r="385" spans="1:19" x14ac:dyDescent="0.25">
      <c r="A385" s="12" t="s">
        <v>27</v>
      </c>
      <c r="B385" s="50">
        <f>K386*R385</f>
        <v>1256</v>
      </c>
      <c r="C385" s="64">
        <v>-298.89563627789425</v>
      </c>
      <c r="D385" s="18">
        <v>31.179887324814075</v>
      </c>
      <c r="E385" s="18">
        <v>-101.76217642294604</v>
      </c>
      <c r="F385" s="18">
        <v>148.92033637970405</v>
      </c>
      <c r="G385" s="17">
        <v>-17.046373822922892</v>
      </c>
      <c r="I385" s="14" t="s">
        <v>23</v>
      </c>
      <c r="J385" s="41">
        <v>20</v>
      </c>
      <c r="K385" s="97"/>
      <c r="L385" s="40" t="s">
        <v>9</v>
      </c>
      <c r="M385" s="97"/>
      <c r="N385" s="99"/>
      <c r="O385" s="97"/>
      <c r="Q385" s="14" t="s">
        <v>75</v>
      </c>
      <c r="R385" s="21">
        <f>IF(J385=16,201,IF(J385=20,314,IF(J385=25,490,"Err")))</f>
        <v>314</v>
      </c>
      <c r="S385" s="16" t="s">
        <v>25</v>
      </c>
    </row>
    <row r="386" spans="1:19" x14ac:dyDescent="0.25">
      <c r="A386" s="27" t="s">
        <v>28</v>
      </c>
      <c r="B386" s="52">
        <f>phi*B376*(B384^2)*J386*fy*(1-(0.588*J386*fy/fc))/1000000</f>
        <v>333.59667533107205</v>
      </c>
      <c r="C386" s="53">
        <v>468.76264456775311</v>
      </c>
      <c r="D386" s="28">
        <v>34.039567789119417</v>
      </c>
      <c r="E386" s="28">
        <v>248.04610589200064</v>
      </c>
      <c r="F386" s="28">
        <v>-195.46307524192113</v>
      </c>
      <c r="G386" s="17">
        <v>17.449858259935869</v>
      </c>
      <c r="I386" s="14" t="s">
        <v>40</v>
      </c>
      <c r="J386" s="24">
        <f>MAX(rhoMin,(K386*R385/(B376*B384)))</f>
        <v>3.7819933754893106E-3</v>
      </c>
      <c r="K386" s="15">
        <v>4</v>
      </c>
      <c r="L386" s="21">
        <f>IF(M386&lt;2,(B376-(2*(J376+clrCover))-(K386*J385))/(K386-1),(B376-(2*(J376+clrCover))-(N386*J385))/((N386)-1))</f>
        <v>88.666666666666671</v>
      </c>
      <c r="M386" s="15">
        <v>1</v>
      </c>
      <c r="N386" s="22">
        <f>IF(M386&lt;2,K386,CEILING(K386/2,1))</f>
        <v>4</v>
      </c>
      <c r="O386" s="22">
        <f>K386-N386</f>
        <v>0</v>
      </c>
      <c r="Q386" s="37" t="s">
        <v>74</v>
      </c>
      <c r="R386" s="38">
        <f>rhoMin*B376*B384</f>
        <v>1095.93</v>
      </c>
      <c r="S386" s="22">
        <f>ROUNDUP(R386/R385,0)</f>
        <v>4</v>
      </c>
    </row>
    <row r="387" spans="1:19" x14ac:dyDescent="0.25">
      <c r="A387" s="65" t="s">
        <v>76</v>
      </c>
    </row>
    <row r="388" spans="1:19" x14ac:dyDescent="0.25">
      <c r="A388" s="69" t="s">
        <v>111</v>
      </c>
      <c r="B388" s="11" t="s">
        <v>11</v>
      </c>
      <c r="C388" s="10" t="s">
        <v>12</v>
      </c>
      <c r="D388" s="10" t="s">
        <v>13</v>
      </c>
      <c r="E388" s="10" t="s">
        <v>14</v>
      </c>
      <c r="F388" s="10" t="s">
        <v>15</v>
      </c>
      <c r="G388" s="11" t="s">
        <v>16</v>
      </c>
      <c r="H388" s="6">
        <v>125</v>
      </c>
      <c r="I388" s="90" t="s">
        <v>34</v>
      </c>
      <c r="J388" s="91"/>
      <c r="K388" s="71"/>
    </row>
    <row r="389" spans="1:19" x14ac:dyDescent="0.25">
      <c r="A389" s="12" t="s">
        <v>17</v>
      </c>
      <c r="B389" s="48">
        <v>600</v>
      </c>
      <c r="C389" s="44" t="s">
        <v>18</v>
      </c>
      <c r="D389" s="44" t="s">
        <v>18</v>
      </c>
      <c r="E389" s="44" t="s">
        <v>18</v>
      </c>
      <c r="F389" s="44" t="s">
        <v>19</v>
      </c>
      <c r="G389" s="45" t="s">
        <v>19</v>
      </c>
      <c r="H389" s="6">
        <v>150</v>
      </c>
      <c r="I389" s="14" t="s">
        <v>20</v>
      </c>
      <c r="J389" s="15">
        <v>12</v>
      </c>
      <c r="K389" s="16" t="s">
        <v>9</v>
      </c>
      <c r="L389" s="22" t="s">
        <v>29</v>
      </c>
      <c r="M389" s="22" t="s">
        <v>30</v>
      </c>
      <c r="N389" s="22" t="s">
        <v>31</v>
      </c>
      <c r="O389" s="22" t="s">
        <v>32</v>
      </c>
      <c r="P389" s="3"/>
    </row>
    <row r="390" spans="1:19" x14ac:dyDescent="0.25">
      <c r="A390" s="12" t="s">
        <v>22</v>
      </c>
      <c r="B390" s="48">
        <v>800</v>
      </c>
      <c r="C390" s="17">
        <v>-172.87409584107365</v>
      </c>
      <c r="D390" s="63">
        <v>-3.4224319478772718</v>
      </c>
      <c r="E390" s="63">
        <v>0</v>
      </c>
      <c r="F390" s="63">
        <v>-474.57636764660083</v>
      </c>
      <c r="G390" s="54">
        <v>0</v>
      </c>
      <c r="H390" s="6">
        <v>175</v>
      </c>
      <c r="I390" s="56"/>
      <c r="J390" s="57"/>
      <c r="K390" s="58"/>
      <c r="L390" s="92" t="s">
        <v>1</v>
      </c>
      <c r="M390" s="93"/>
      <c r="N390" s="22" t="s">
        <v>35</v>
      </c>
      <c r="O390" s="22" t="s">
        <v>9</v>
      </c>
    </row>
    <row r="391" spans="1:19" x14ac:dyDescent="0.25">
      <c r="A391" s="20" t="s">
        <v>24</v>
      </c>
      <c r="B391" s="13"/>
      <c r="C391" s="17">
        <v>176.62774767398386</v>
      </c>
      <c r="D391" s="18">
        <v>0</v>
      </c>
      <c r="E391" s="18">
        <v>-217.0354337603915</v>
      </c>
      <c r="F391" s="18">
        <v>0</v>
      </c>
      <c r="G391" s="19">
        <v>-1.7487327234178369</v>
      </c>
      <c r="H391" s="6">
        <v>200</v>
      </c>
      <c r="I391" s="59" t="s">
        <v>70</v>
      </c>
      <c r="J391" s="60"/>
      <c r="K391" s="61"/>
      <c r="L391" s="25">
        <f>MAX(ABS(E394),ABS(E395))*1000/(B392*B389)</f>
        <v>1.1925837065184675</v>
      </c>
      <c r="M391" s="25">
        <f>L391-phiVc</f>
        <v>0.53007427262337181</v>
      </c>
      <c r="N391" s="26">
        <f>M391*O391*B389/(phiV*fys*0.25*PI()*(J389^2))</f>
        <v>1.3634576273753625</v>
      </c>
      <c r="O391" s="15">
        <v>100</v>
      </c>
    </row>
    <row r="392" spans="1:19" x14ac:dyDescent="0.25">
      <c r="A392" s="12" t="s">
        <v>26</v>
      </c>
      <c r="B392" s="49">
        <f>B390-clrCover-J389-(IF(M396&gt;1,1.5*J395,0.5*J395))</f>
        <v>718</v>
      </c>
      <c r="C392" s="64">
        <v>-49.162794543568793</v>
      </c>
      <c r="D392" s="17">
        <v>-12.457297031443099</v>
      </c>
      <c r="E392" s="18">
        <v>-272.73342421571493</v>
      </c>
      <c r="F392" s="18">
        <v>-342.85057055014227</v>
      </c>
      <c r="G392" s="19">
        <v>7.3785580636727799</v>
      </c>
      <c r="H392" s="6">
        <v>250</v>
      </c>
      <c r="I392" s="59" t="s">
        <v>71</v>
      </c>
      <c r="J392" s="60"/>
      <c r="K392" s="61"/>
      <c r="L392" s="25">
        <f>MAX(ABS(E394),ABS(E395))*1000/(B397*B389)</f>
        <v>1.1602643648784006</v>
      </c>
      <c r="M392" s="25">
        <f>L392-phiVc</f>
        <v>0.49775493098330492</v>
      </c>
      <c r="N392" s="26">
        <f>M392*O392*B389/(phiV*fys*0.25*PI()*(J389^2))</f>
        <v>1.2803257812421525</v>
      </c>
      <c r="O392" s="15">
        <v>100</v>
      </c>
    </row>
    <row r="393" spans="1:19" x14ac:dyDescent="0.25">
      <c r="A393" s="12" t="s">
        <v>27</v>
      </c>
      <c r="B393" s="50">
        <f>K396*R395</f>
        <v>3140</v>
      </c>
      <c r="C393" s="64">
        <v>52.916446376478987</v>
      </c>
      <c r="D393" s="17">
        <v>12.385383198226942</v>
      </c>
      <c r="E393" s="18">
        <v>-239.79936125075042</v>
      </c>
      <c r="F393" s="18">
        <v>-400.43089672799994</v>
      </c>
      <c r="G393" s="19">
        <v>-7.1622158687246973</v>
      </c>
      <c r="H393" s="6">
        <v>300</v>
      </c>
    </row>
    <row r="394" spans="1:19" x14ac:dyDescent="0.25">
      <c r="A394" s="12" t="s">
        <v>28</v>
      </c>
      <c r="B394" s="51">
        <f>-phi*B389*(B392^2)*J396*fy*(1-(0.588*J396*fy/fc))/1000000</f>
        <v>-784.83088261440002</v>
      </c>
      <c r="C394" s="64">
        <v>1.805729028521841</v>
      </c>
      <c r="D394" s="18">
        <v>-0.40203778925257855</v>
      </c>
      <c r="E394" s="17">
        <v>-501.06138764893461</v>
      </c>
      <c r="F394" s="18">
        <v>-734.25434932309429</v>
      </c>
      <c r="G394" s="19">
        <v>0.38986040832877938</v>
      </c>
      <c r="I394" s="90" t="s">
        <v>68</v>
      </c>
      <c r="J394" s="91"/>
      <c r="K394" s="94" t="s">
        <v>35</v>
      </c>
      <c r="L394" s="72" t="s">
        <v>36</v>
      </c>
      <c r="M394" s="96" t="s">
        <v>37</v>
      </c>
      <c r="N394" s="98" t="s">
        <v>38</v>
      </c>
      <c r="O394" s="96" t="s">
        <v>72</v>
      </c>
      <c r="Q394" s="34" t="s">
        <v>73</v>
      </c>
    </row>
    <row r="395" spans="1:19" x14ac:dyDescent="0.25">
      <c r="A395" s="23" t="s">
        <v>33</v>
      </c>
      <c r="B395" s="13"/>
      <c r="C395" s="64">
        <v>-33.92876598335598</v>
      </c>
      <c r="D395" s="18">
        <v>4.0796156776452683</v>
      </c>
      <c r="E395" s="17">
        <v>513.76506076815576</v>
      </c>
      <c r="F395" s="18">
        <v>-638.93432972318362</v>
      </c>
      <c r="G395" s="19">
        <v>2.235144769839335</v>
      </c>
      <c r="I395" s="14" t="s">
        <v>23</v>
      </c>
      <c r="J395" s="41">
        <v>20</v>
      </c>
      <c r="K395" s="95"/>
      <c r="L395" s="40" t="s">
        <v>9</v>
      </c>
      <c r="M395" s="97"/>
      <c r="N395" s="99"/>
      <c r="O395" s="97"/>
      <c r="Q395" s="14" t="s">
        <v>75</v>
      </c>
      <c r="R395" s="21">
        <f>IF(J395=16,201,IF(J395=20,314,IF(J395=25,490,"Err")))</f>
        <v>314</v>
      </c>
      <c r="S395" s="16" t="s">
        <v>25</v>
      </c>
    </row>
    <row r="396" spans="1:19" x14ac:dyDescent="0.25">
      <c r="A396" s="20" t="s">
        <v>39</v>
      </c>
      <c r="B396" s="13"/>
      <c r="C396" s="64">
        <v>1.805729028521841</v>
      </c>
      <c r="D396" s="18">
        <v>-0.40203778925257855</v>
      </c>
      <c r="E396" s="18">
        <v>-501.06138764893461</v>
      </c>
      <c r="F396" s="17">
        <v>-734.25434932309429</v>
      </c>
      <c r="G396" s="19">
        <v>0.38986040832877938</v>
      </c>
      <c r="I396" s="14" t="s">
        <v>40</v>
      </c>
      <c r="J396" s="24">
        <f>MAX(rhoMin,(K396*R395/(B389*B392)))</f>
        <v>7.2887650882079852E-3</v>
      </c>
      <c r="K396" s="15">
        <v>10</v>
      </c>
      <c r="L396" s="39">
        <f>IF(M396&lt;2,(B389-(2*(J389+clrCover))-(K396*J395))/(K396-1),(B389-(2*(J389+clrCover))-(N396*J395))/((N396)-1))</f>
        <v>99</v>
      </c>
      <c r="M396" s="15">
        <v>2</v>
      </c>
      <c r="N396" s="22">
        <f>IF(M396&lt;2,K396,CEILING(K396/2,1))</f>
        <v>5</v>
      </c>
      <c r="O396" s="22">
        <f>K396-N396</f>
        <v>5</v>
      </c>
      <c r="Q396" s="37" t="s">
        <v>74</v>
      </c>
      <c r="R396" s="38">
        <f>rhoMin*B389*B392</f>
        <v>1421.64</v>
      </c>
      <c r="S396" s="22">
        <f>ROUNDUP(R396/R395,0)</f>
        <v>5</v>
      </c>
    </row>
    <row r="397" spans="1:19" x14ac:dyDescent="0.25">
      <c r="A397" s="12" t="s">
        <v>26</v>
      </c>
      <c r="B397" s="49">
        <f>B390-clrCover-J389-(IF(M399&gt;1,1.5*J398,0.5*J398))</f>
        <v>738</v>
      </c>
      <c r="C397" s="64">
        <v>-25.641447286779215</v>
      </c>
      <c r="D397" s="18">
        <v>8.4944278539909879E-3</v>
      </c>
      <c r="E397" s="18">
        <v>12.639630626805294</v>
      </c>
      <c r="F397" s="17">
        <v>271.87587757005178</v>
      </c>
      <c r="G397" s="19">
        <v>5.2056006705129873E-2</v>
      </c>
      <c r="I397" s="90" t="s">
        <v>69</v>
      </c>
      <c r="J397" s="91"/>
      <c r="K397" s="96" t="s">
        <v>35</v>
      </c>
      <c r="L397" s="72" t="s">
        <v>36</v>
      </c>
      <c r="M397" s="96" t="s">
        <v>37</v>
      </c>
      <c r="N397" s="98" t="s">
        <v>38</v>
      </c>
      <c r="O397" s="96" t="s">
        <v>72</v>
      </c>
      <c r="R397" s="36"/>
    </row>
    <row r="398" spans="1:19" x14ac:dyDescent="0.25">
      <c r="A398" s="12" t="s">
        <v>27</v>
      </c>
      <c r="B398" s="50">
        <f>K399*R398</f>
        <v>1570</v>
      </c>
      <c r="C398" s="64">
        <v>52.916446376478987</v>
      </c>
      <c r="D398" s="18">
        <v>12.385383198226942</v>
      </c>
      <c r="E398" s="18">
        <v>-239.79936125075042</v>
      </c>
      <c r="F398" s="18">
        <v>-400.43089672799994</v>
      </c>
      <c r="G398" s="17">
        <v>-7.1622158687246973</v>
      </c>
      <c r="I398" s="14" t="s">
        <v>23</v>
      </c>
      <c r="J398" s="41">
        <v>20</v>
      </c>
      <c r="K398" s="97"/>
      <c r="L398" s="40" t="s">
        <v>9</v>
      </c>
      <c r="M398" s="97"/>
      <c r="N398" s="99"/>
      <c r="O398" s="97"/>
      <c r="Q398" s="14" t="s">
        <v>75</v>
      </c>
      <c r="R398" s="21">
        <f>IF(J398=16,201,IF(J398=20,314,IF(J398=25,490,"Err")))</f>
        <v>314</v>
      </c>
      <c r="S398" s="16" t="s">
        <v>25</v>
      </c>
    </row>
    <row r="399" spans="1:19" x14ac:dyDescent="0.25">
      <c r="A399" s="27" t="s">
        <v>28</v>
      </c>
      <c r="B399" s="52">
        <f>phi*B389*(B397^2)*J399*fy*(1-(0.588*J399*fy/fc))/1000000</f>
        <v>417.91589865359998</v>
      </c>
      <c r="C399" s="53">
        <v>-49.162794543568793</v>
      </c>
      <c r="D399" s="28">
        <v>-12.457297031443099</v>
      </c>
      <c r="E399" s="28">
        <v>-272.73342421571493</v>
      </c>
      <c r="F399" s="28">
        <v>-342.85057055014227</v>
      </c>
      <c r="G399" s="17">
        <v>7.3785580636727799</v>
      </c>
      <c r="I399" s="14" t="s">
        <v>40</v>
      </c>
      <c r="J399" s="24">
        <f>MAX(rhoMin,(K399*R398/(B389*B397)))</f>
        <v>3.5456187895212287E-3</v>
      </c>
      <c r="K399" s="15">
        <v>5</v>
      </c>
      <c r="L399" s="21">
        <f>IF(M399&lt;2,(B389-(2*(J389+clrCover))-(K399*J398))/(K399-1),(B389-(2*(J389+clrCover))-(N399*J398))/((N399)-1))</f>
        <v>99</v>
      </c>
      <c r="M399" s="15">
        <v>1</v>
      </c>
      <c r="N399" s="22">
        <f>IF(M399&lt;2,K399,CEILING(K399/2,1))</f>
        <v>5</v>
      </c>
      <c r="O399" s="22">
        <f>K399-N399</f>
        <v>0</v>
      </c>
      <c r="Q399" s="37" t="s">
        <v>74</v>
      </c>
      <c r="R399" s="38">
        <f>rhoMin*B389*B397</f>
        <v>1461.24</v>
      </c>
      <c r="S399" s="22">
        <f>ROUNDUP(R399/R398,0)</f>
        <v>5</v>
      </c>
    </row>
    <row r="400" spans="1:19" x14ac:dyDescent="0.25">
      <c r="A400" s="65" t="s">
        <v>76</v>
      </c>
    </row>
    <row r="401" spans="1:19" x14ac:dyDescent="0.25">
      <c r="A401" s="69" t="s">
        <v>112</v>
      </c>
      <c r="B401" s="11" t="s">
        <v>11</v>
      </c>
      <c r="C401" s="10" t="s">
        <v>12</v>
      </c>
      <c r="D401" s="10" t="s">
        <v>13</v>
      </c>
      <c r="E401" s="10" t="s">
        <v>14</v>
      </c>
      <c r="F401" s="10" t="s">
        <v>15</v>
      </c>
      <c r="G401" s="11" t="s">
        <v>16</v>
      </c>
      <c r="H401" s="6">
        <v>125</v>
      </c>
      <c r="I401" s="90" t="s">
        <v>34</v>
      </c>
      <c r="J401" s="91"/>
      <c r="K401" s="71"/>
    </row>
    <row r="402" spans="1:19" x14ac:dyDescent="0.25">
      <c r="A402" s="12" t="s">
        <v>17</v>
      </c>
      <c r="B402" s="48">
        <v>400</v>
      </c>
      <c r="C402" s="44" t="s">
        <v>18</v>
      </c>
      <c r="D402" s="44" t="s">
        <v>18</v>
      </c>
      <c r="E402" s="44" t="s">
        <v>18</v>
      </c>
      <c r="F402" s="44" t="s">
        <v>19</v>
      </c>
      <c r="G402" s="45" t="s">
        <v>19</v>
      </c>
      <c r="H402" s="6">
        <v>150</v>
      </c>
      <c r="I402" s="14" t="s">
        <v>20</v>
      </c>
      <c r="J402" s="15">
        <v>12</v>
      </c>
      <c r="K402" s="16" t="s">
        <v>9</v>
      </c>
      <c r="L402" s="22" t="s">
        <v>29</v>
      </c>
      <c r="M402" s="22" t="s">
        <v>30</v>
      </c>
      <c r="N402" s="22" t="s">
        <v>31</v>
      </c>
      <c r="O402" s="22" t="s">
        <v>32</v>
      </c>
      <c r="P402" s="3"/>
    </row>
    <row r="403" spans="1:19" x14ac:dyDescent="0.25">
      <c r="A403" s="12" t="s">
        <v>22</v>
      </c>
      <c r="B403" s="48">
        <v>900</v>
      </c>
      <c r="C403" s="17">
        <v>-101.67939635884326</v>
      </c>
      <c r="D403" s="63">
        <v>1.5891722707768769</v>
      </c>
      <c r="E403" s="63">
        <v>0</v>
      </c>
      <c r="F403" s="63">
        <v>-287.39199782309248</v>
      </c>
      <c r="G403" s="54">
        <v>0</v>
      </c>
      <c r="H403" s="6">
        <v>175</v>
      </c>
      <c r="I403" s="56"/>
      <c r="J403" s="57"/>
      <c r="K403" s="58"/>
      <c r="L403" s="92" t="s">
        <v>1</v>
      </c>
      <c r="M403" s="93"/>
      <c r="N403" s="22" t="s">
        <v>35</v>
      </c>
      <c r="O403" s="22" t="s">
        <v>9</v>
      </c>
    </row>
    <row r="404" spans="1:19" x14ac:dyDescent="0.25">
      <c r="A404" s="20" t="s">
        <v>24</v>
      </c>
      <c r="B404" s="13"/>
      <c r="C404" s="17">
        <v>255.37001774296522</v>
      </c>
      <c r="D404" s="18">
        <v>0</v>
      </c>
      <c r="E404" s="18">
        <v>874.54271274146151</v>
      </c>
      <c r="F404" s="18">
        <v>0</v>
      </c>
      <c r="G404" s="19">
        <v>-2.3988318318063686</v>
      </c>
      <c r="H404" s="6">
        <v>200</v>
      </c>
      <c r="I404" s="59" t="s">
        <v>70</v>
      </c>
      <c r="J404" s="60"/>
      <c r="K404" s="61"/>
      <c r="L404" s="25">
        <f>MAX(ABS(E407),ABS(E408))*1000/(B405*B402)</f>
        <v>3.7247265784159653</v>
      </c>
      <c r="M404" s="25">
        <f>L404-phiVc</f>
        <v>3.0622171445208695</v>
      </c>
      <c r="N404" s="26">
        <f>M404*O404*B402/(phiV*fys*0.25*PI()*(J402^2))</f>
        <v>2.6255461030100746</v>
      </c>
      <c r="O404" s="15">
        <v>50</v>
      </c>
    </row>
    <row r="405" spans="1:19" x14ac:dyDescent="0.25">
      <c r="A405" s="12" t="s">
        <v>26</v>
      </c>
      <c r="B405" s="49">
        <f>B403-clrCover-J402-(IF(M409&gt;1,1.5*J408,0.5*J408))</f>
        <v>818</v>
      </c>
      <c r="C405" s="64">
        <v>214.24327346662503</v>
      </c>
      <c r="D405" s="17">
        <v>-12.690458883584883</v>
      </c>
      <c r="E405" s="18">
        <v>642.28031291419165</v>
      </c>
      <c r="F405" s="18">
        <v>-76.700889573340419</v>
      </c>
      <c r="G405" s="19">
        <v>-0.70097095395021214</v>
      </c>
      <c r="H405" s="6">
        <v>250</v>
      </c>
      <c r="I405" s="59" t="s">
        <v>71</v>
      </c>
      <c r="J405" s="60"/>
      <c r="K405" s="61"/>
      <c r="L405" s="25">
        <f>MAX(ABS(E407),ABS(E408))*1000/(B410*B402)</f>
        <v>3.7247265784159653</v>
      </c>
      <c r="M405" s="25">
        <f>L405-phiVc</f>
        <v>3.0622171445208695</v>
      </c>
      <c r="N405" s="26">
        <f>M405*O405*B402/(phiV*fys*0.25*PI()*(J402^2))</f>
        <v>2.6255461030100746</v>
      </c>
      <c r="O405" s="15">
        <v>50</v>
      </c>
    </row>
    <row r="406" spans="1:19" x14ac:dyDescent="0.25">
      <c r="A406" s="12" t="s">
        <v>27</v>
      </c>
      <c r="B406" s="50">
        <f>K409*R408</f>
        <v>3140</v>
      </c>
      <c r="C406" s="64">
        <v>10.006112746536383</v>
      </c>
      <c r="D406" s="17">
        <v>44.52435114554109</v>
      </c>
      <c r="E406" s="18">
        <v>447.02323249925229</v>
      </c>
      <c r="F406" s="18">
        <v>-44.454280904995628</v>
      </c>
      <c r="G406" s="19">
        <v>-5.4474523148269522</v>
      </c>
      <c r="H406" s="6">
        <v>300</v>
      </c>
    </row>
    <row r="407" spans="1:19" x14ac:dyDescent="0.25">
      <c r="A407" s="12" t="s">
        <v>28</v>
      </c>
      <c r="B407" s="51">
        <f>-phi*B402*(B405^2)*J409*fy*(1-(0.588*J409*fy/fc))/1000000</f>
        <v>-874.22564792159994</v>
      </c>
      <c r="C407" s="64">
        <v>43.801256612789693</v>
      </c>
      <c r="D407" s="18">
        <v>3.5818115196316604</v>
      </c>
      <c r="E407" s="17">
        <v>-336.01931063795212</v>
      </c>
      <c r="F407" s="18">
        <v>228.75400300239821</v>
      </c>
      <c r="G407" s="19">
        <v>-1.8676000878429591</v>
      </c>
      <c r="I407" s="90" t="s">
        <v>68</v>
      </c>
      <c r="J407" s="91"/>
      <c r="K407" s="94" t="s">
        <v>35</v>
      </c>
      <c r="L407" s="73" t="s">
        <v>36</v>
      </c>
      <c r="M407" s="96" t="s">
        <v>37</v>
      </c>
      <c r="N407" s="98" t="s">
        <v>38</v>
      </c>
      <c r="O407" s="96" t="s">
        <v>72</v>
      </c>
      <c r="Q407" s="34" t="s">
        <v>73</v>
      </c>
    </row>
    <row r="408" spans="1:19" x14ac:dyDescent="0.25">
      <c r="A408" s="23" t="s">
        <v>33</v>
      </c>
      <c r="B408" s="13"/>
      <c r="C408" s="64">
        <v>239.08567865192558</v>
      </c>
      <c r="D408" s="18">
        <v>29.608328650351709</v>
      </c>
      <c r="E408" s="17">
        <v>1218.7305364577039</v>
      </c>
      <c r="F408" s="18">
        <v>-748.06711890524696</v>
      </c>
      <c r="G408" s="19">
        <v>8.9187034370223</v>
      </c>
      <c r="I408" s="14" t="s">
        <v>23</v>
      </c>
      <c r="J408" s="41">
        <v>20</v>
      </c>
      <c r="K408" s="95"/>
      <c r="L408" s="40" t="s">
        <v>9</v>
      </c>
      <c r="M408" s="97"/>
      <c r="N408" s="99"/>
      <c r="O408" s="97"/>
      <c r="Q408" s="14" t="s">
        <v>75</v>
      </c>
      <c r="R408" s="21">
        <f>IF(J408=16,201,IF(J408=20,314,IF(J408=25,490,"Err")))</f>
        <v>314</v>
      </c>
      <c r="S408" s="16" t="s">
        <v>25</v>
      </c>
    </row>
    <row r="409" spans="1:19" x14ac:dyDescent="0.25">
      <c r="A409" s="20" t="s">
        <v>39</v>
      </c>
      <c r="B409" s="13"/>
      <c r="C409" s="64">
        <v>-1.7628235949725495</v>
      </c>
      <c r="D409" s="18">
        <v>4.2565209317986357</v>
      </c>
      <c r="E409" s="18">
        <v>585.12025145706832</v>
      </c>
      <c r="F409" s="17">
        <v>-842.26992177806085</v>
      </c>
      <c r="G409" s="19">
        <v>3.3987976716341435</v>
      </c>
      <c r="I409" s="14" t="s">
        <v>40</v>
      </c>
      <c r="J409" s="24">
        <f>MAX(rhoMin,(K409*R408/(B402*B405)))</f>
        <v>9.5965770171149139E-3</v>
      </c>
      <c r="K409" s="15">
        <v>10</v>
      </c>
      <c r="L409" s="39">
        <f>IF(M409&lt;2,(B402-(2*(J402+clrCover))-(K409*J408))/(K409-1),(B402-(2*(J402+clrCover))-(N409*J408))/((N409)-1))</f>
        <v>49</v>
      </c>
      <c r="M409" s="15">
        <v>2</v>
      </c>
      <c r="N409" s="22">
        <f>IF(M409&lt;2,K409,CEILING(K409/2,1))</f>
        <v>5</v>
      </c>
      <c r="O409" s="22">
        <f>K409-N409</f>
        <v>5</v>
      </c>
      <c r="Q409" s="37" t="s">
        <v>74</v>
      </c>
      <c r="R409" s="38">
        <f>rhoMin*B402*B405</f>
        <v>1079.76</v>
      </c>
      <c r="S409" s="22">
        <f>ROUNDUP(R409/R408,0)</f>
        <v>4</v>
      </c>
    </row>
    <row r="410" spans="1:19" x14ac:dyDescent="0.25">
      <c r="A410" s="12" t="s">
        <v>26</v>
      </c>
      <c r="B410" s="49">
        <f>B403-clrCover-J402-(IF(M412&gt;1,1.5*J411,0.5*J411))</f>
        <v>818</v>
      </c>
      <c r="C410" s="64">
        <v>53.159640412669631</v>
      </c>
      <c r="D410" s="18">
        <v>1.3171368960760399</v>
      </c>
      <c r="E410" s="18">
        <v>-24.313906917208254</v>
      </c>
      <c r="F410" s="17">
        <v>751.03533397809576</v>
      </c>
      <c r="G410" s="19">
        <v>0.89992782355992285</v>
      </c>
      <c r="I410" s="90" t="s">
        <v>69</v>
      </c>
      <c r="J410" s="91"/>
      <c r="K410" s="96" t="s">
        <v>35</v>
      </c>
      <c r="L410" s="73" t="s">
        <v>36</v>
      </c>
      <c r="M410" s="96" t="s">
        <v>37</v>
      </c>
      <c r="N410" s="98" t="s">
        <v>38</v>
      </c>
      <c r="O410" s="96" t="s">
        <v>72</v>
      </c>
      <c r="R410" s="36"/>
    </row>
    <row r="411" spans="1:19" x14ac:dyDescent="0.25">
      <c r="A411" s="12" t="s">
        <v>27</v>
      </c>
      <c r="B411" s="50">
        <f>K412*R411</f>
        <v>2826</v>
      </c>
      <c r="C411" s="64">
        <v>214.24327346662503</v>
      </c>
      <c r="D411" s="18">
        <v>-12.690458883584883</v>
      </c>
      <c r="E411" s="18">
        <v>653.96394107268509</v>
      </c>
      <c r="F411" s="18">
        <v>-408.12837891063629</v>
      </c>
      <c r="G411" s="17">
        <v>-7.188848411287581</v>
      </c>
      <c r="I411" s="14" t="s">
        <v>23</v>
      </c>
      <c r="J411" s="41">
        <v>20</v>
      </c>
      <c r="K411" s="97"/>
      <c r="L411" s="40" t="s">
        <v>9</v>
      </c>
      <c r="M411" s="97"/>
      <c r="N411" s="99"/>
      <c r="O411" s="97"/>
      <c r="Q411" s="14" t="s">
        <v>75</v>
      </c>
      <c r="R411" s="21">
        <f>IF(J411=16,201,IF(J411=20,314,IF(J411=25,490,"Err")))</f>
        <v>314</v>
      </c>
      <c r="S411" s="16" t="s">
        <v>25</v>
      </c>
    </row>
    <row r="412" spans="1:19" x14ac:dyDescent="0.25">
      <c r="A412" s="27" t="s">
        <v>28</v>
      </c>
      <c r="B412" s="52">
        <f>phi*B402*(B410^2)*J412*fy*(1-(0.588*J412*fy/fc))/1000000</f>
        <v>794.25552449649592</v>
      </c>
      <c r="C412" s="53">
        <v>10.006112746536383</v>
      </c>
      <c r="D412" s="28">
        <v>44.52435114554109</v>
      </c>
      <c r="E412" s="28">
        <v>464.05674661029411</v>
      </c>
      <c r="F412" s="28">
        <v>-277.46821800727946</v>
      </c>
      <c r="G412" s="17">
        <v>17.31520242836606</v>
      </c>
      <c r="I412" s="14" t="s">
        <v>40</v>
      </c>
      <c r="J412" s="24">
        <f>MAX(rhoMin,(K412*R411/(B402*B410)))</f>
        <v>8.6369193154034237E-3</v>
      </c>
      <c r="K412" s="15">
        <v>9</v>
      </c>
      <c r="L412" s="21">
        <f>IF(M412&lt;2,(B402-(2*(J402+clrCover))-(K412*J411))/(K412-1),(B402-(2*(J402+clrCover))-(N412*J411))/((N412)-1))</f>
        <v>49</v>
      </c>
      <c r="M412" s="15">
        <v>2</v>
      </c>
      <c r="N412" s="22">
        <f>IF(M412&lt;2,K412,CEILING(K412/2,1))</f>
        <v>5</v>
      </c>
      <c r="O412" s="22">
        <f>K412-N412</f>
        <v>4</v>
      </c>
      <c r="Q412" s="37" t="s">
        <v>74</v>
      </c>
      <c r="R412" s="38">
        <f>rhoMin*B402*B410</f>
        <v>1079.76</v>
      </c>
      <c r="S412" s="22">
        <f>ROUNDUP(R412/R411,0)</f>
        <v>4</v>
      </c>
    </row>
    <row r="413" spans="1:19" x14ac:dyDescent="0.25">
      <c r="A413" s="65" t="s">
        <v>76</v>
      </c>
    </row>
    <row r="414" spans="1:19" x14ac:dyDescent="0.25">
      <c r="A414" s="69" t="s">
        <v>113</v>
      </c>
      <c r="B414" s="11" t="s">
        <v>11</v>
      </c>
      <c r="C414" s="10" t="s">
        <v>12</v>
      </c>
      <c r="D414" s="10" t="s">
        <v>13</v>
      </c>
      <c r="E414" s="10" t="s">
        <v>14</v>
      </c>
      <c r="F414" s="10" t="s">
        <v>15</v>
      </c>
      <c r="G414" s="11" t="s">
        <v>16</v>
      </c>
      <c r="H414" s="6">
        <v>125</v>
      </c>
      <c r="I414" s="90" t="s">
        <v>34</v>
      </c>
      <c r="J414" s="91"/>
      <c r="K414" s="71"/>
    </row>
    <row r="415" spans="1:19" x14ac:dyDescent="0.25">
      <c r="A415" s="12" t="s">
        <v>17</v>
      </c>
      <c r="B415" s="48">
        <v>400</v>
      </c>
      <c r="C415" s="44" t="s">
        <v>18</v>
      </c>
      <c r="D415" s="44" t="s">
        <v>18</v>
      </c>
      <c r="E415" s="44" t="s">
        <v>18</v>
      </c>
      <c r="F415" s="44" t="s">
        <v>19</v>
      </c>
      <c r="G415" s="45" t="s">
        <v>19</v>
      </c>
      <c r="H415" s="6">
        <v>150</v>
      </c>
      <c r="I415" s="14" t="s">
        <v>20</v>
      </c>
      <c r="J415" s="15">
        <v>12</v>
      </c>
      <c r="K415" s="16" t="s">
        <v>9</v>
      </c>
      <c r="L415" s="22" t="s">
        <v>29</v>
      </c>
      <c r="M415" s="22" t="s">
        <v>30</v>
      </c>
      <c r="N415" s="22" t="s">
        <v>31</v>
      </c>
      <c r="O415" s="22" t="s">
        <v>32</v>
      </c>
      <c r="P415" s="3"/>
    </row>
    <row r="416" spans="1:19" x14ac:dyDescent="0.25">
      <c r="A416" s="12" t="s">
        <v>22</v>
      </c>
      <c r="B416" s="48">
        <v>900</v>
      </c>
      <c r="C416" s="17">
        <v>-100.62485828578431</v>
      </c>
      <c r="D416" s="63">
        <v>-11.083845409446761</v>
      </c>
      <c r="E416" s="63">
        <v>0</v>
      </c>
      <c r="F416" s="63">
        <v>-111.45749631288945</v>
      </c>
      <c r="G416" s="54">
        <v>0</v>
      </c>
      <c r="H416" s="6">
        <v>175</v>
      </c>
      <c r="I416" s="56"/>
      <c r="J416" s="57"/>
      <c r="K416" s="58"/>
      <c r="L416" s="92" t="s">
        <v>1</v>
      </c>
      <c r="M416" s="93"/>
      <c r="N416" s="22" t="s">
        <v>35</v>
      </c>
      <c r="O416" s="22" t="s">
        <v>9</v>
      </c>
    </row>
    <row r="417" spans="1:19" x14ac:dyDescent="0.25">
      <c r="A417" s="20" t="s">
        <v>24</v>
      </c>
      <c r="B417" s="13"/>
      <c r="C417" s="17">
        <v>69.890550282436479</v>
      </c>
      <c r="D417" s="18">
        <v>0</v>
      </c>
      <c r="E417" s="18">
        <v>-265.55677033088978</v>
      </c>
      <c r="F417" s="18">
        <v>0</v>
      </c>
      <c r="G417" s="19">
        <v>6.1369801713852858</v>
      </c>
      <c r="H417" s="6">
        <v>200</v>
      </c>
      <c r="I417" s="59" t="s">
        <v>70</v>
      </c>
      <c r="J417" s="60"/>
      <c r="K417" s="61"/>
      <c r="L417" s="25">
        <f>MAX(ABS(E420),ABS(E421))*1000/(B418*B415)</f>
        <v>1.9976401785714135</v>
      </c>
      <c r="M417" s="25">
        <f>L417-phiVc</f>
        <v>1.3351307446763179</v>
      </c>
      <c r="N417" s="26">
        <f>M417*O417*B415/(phiV*fys*0.25*PI()*(J415^2))</f>
        <v>2.2894831804896882</v>
      </c>
      <c r="O417" s="15">
        <v>100</v>
      </c>
    </row>
    <row r="418" spans="1:19" x14ac:dyDescent="0.25">
      <c r="A418" s="12" t="s">
        <v>26</v>
      </c>
      <c r="B418" s="49">
        <f>B416-clrCover-J415-(IF(M422&gt;1,1.5*J421,0.5*J421))</f>
        <v>810.5</v>
      </c>
      <c r="C418" s="64">
        <v>-44.37020761596419</v>
      </c>
      <c r="D418" s="17">
        <v>-14.79042065118006</v>
      </c>
      <c r="E418" s="18">
        <v>-42.58792332005271</v>
      </c>
      <c r="F418" s="18">
        <v>333.937034676736</v>
      </c>
      <c r="G418" s="19">
        <v>8.3515580710490145</v>
      </c>
      <c r="H418" s="6">
        <v>250</v>
      </c>
      <c r="I418" s="59" t="s">
        <v>71</v>
      </c>
      <c r="J418" s="60"/>
      <c r="K418" s="61"/>
      <c r="L418" s="25">
        <f>MAX(ABS(E420),ABS(E421))*1000/(B423*B415)</f>
        <v>1.9378663850773556</v>
      </c>
      <c r="M418" s="25">
        <f>L418-phiVc</f>
        <v>1.27535695118226</v>
      </c>
      <c r="N418" s="26">
        <f>M418*O418*B415/(phiV*fys*0.25*PI()*(J415^2))</f>
        <v>2.1869830355530313</v>
      </c>
      <c r="O418" s="15">
        <v>100</v>
      </c>
    </row>
    <row r="419" spans="1:19" x14ac:dyDescent="0.25">
      <c r="A419" s="12" t="s">
        <v>27</v>
      </c>
      <c r="B419" s="50">
        <f>K422*R421</f>
        <v>4410</v>
      </c>
      <c r="C419" s="64">
        <v>14.981679116593495</v>
      </c>
      <c r="D419" s="17">
        <v>18.387446796891968</v>
      </c>
      <c r="E419" s="18">
        <v>-560.34430647128829</v>
      </c>
      <c r="F419" s="18">
        <v>-1157.3998565745192</v>
      </c>
      <c r="G419" s="19">
        <v>-10.412176207206226</v>
      </c>
      <c r="H419" s="6">
        <v>300</v>
      </c>
    </row>
    <row r="420" spans="1:19" x14ac:dyDescent="0.25">
      <c r="A420" s="12" t="s">
        <v>28</v>
      </c>
      <c r="B420" s="51">
        <f>-phi*B415*(B418^2)*J422*fy*(1-(0.588*J422*fy/fc))/1000000</f>
        <v>-1168.4530421676</v>
      </c>
      <c r="C420" s="64">
        <v>-30.108589313801737</v>
      </c>
      <c r="D420" s="18">
        <v>3.7531290310910541</v>
      </c>
      <c r="E420" s="17">
        <v>-647.63494589285222</v>
      </c>
      <c r="F420" s="18">
        <v>-891.22996072186106</v>
      </c>
      <c r="G420" s="19">
        <v>-2.1568233026657539</v>
      </c>
      <c r="I420" s="90" t="s">
        <v>68</v>
      </c>
      <c r="J420" s="91"/>
      <c r="K420" s="94" t="s">
        <v>35</v>
      </c>
      <c r="L420" s="73" t="s">
        <v>36</v>
      </c>
      <c r="M420" s="96" t="s">
        <v>37</v>
      </c>
      <c r="N420" s="98" t="s">
        <v>38</v>
      </c>
      <c r="O420" s="96" t="s">
        <v>72</v>
      </c>
      <c r="Q420" s="34" t="s">
        <v>73</v>
      </c>
    </row>
    <row r="421" spans="1:19" x14ac:dyDescent="0.25">
      <c r="A421" s="23" t="s">
        <v>33</v>
      </c>
      <c r="B421" s="13"/>
      <c r="C421" s="64">
        <v>-28.073435179449408</v>
      </c>
      <c r="D421" s="18">
        <v>6.9640855148140168E-2</v>
      </c>
      <c r="E421" s="17">
        <v>375.67970627019372</v>
      </c>
      <c r="F421" s="18">
        <v>-870.02134636942151</v>
      </c>
      <c r="G421" s="19">
        <v>0.33111443690497766</v>
      </c>
      <c r="I421" s="14" t="s">
        <v>23</v>
      </c>
      <c r="J421" s="41">
        <v>25</v>
      </c>
      <c r="K421" s="95"/>
      <c r="L421" s="40" t="s">
        <v>9</v>
      </c>
      <c r="M421" s="97"/>
      <c r="N421" s="99"/>
      <c r="O421" s="97"/>
      <c r="Q421" s="14" t="s">
        <v>75</v>
      </c>
      <c r="R421" s="21">
        <f>IF(J421=16,201,IF(J421=20,314,IF(J421=25,490,"Err")))</f>
        <v>490</v>
      </c>
      <c r="S421" s="16" t="s">
        <v>25</v>
      </c>
    </row>
    <row r="422" spans="1:19" x14ac:dyDescent="0.25">
      <c r="A422" s="20" t="s">
        <v>39</v>
      </c>
      <c r="B422" s="13"/>
      <c r="C422" s="64">
        <v>14.981679116593495</v>
      </c>
      <c r="D422" s="18">
        <v>18.387446796891968</v>
      </c>
      <c r="E422" s="18">
        <v>-560.34430647128829</v>
      </c>
      <c r="F422" s="17">
        <v>-1157.3998565745192</v>
      </c>
      <c r="G422" s="19">
        <v>-10.412176207206226</v>
      </c>
      <c r="I422" s="14" t="s">
        <v>40</v>
      </c>
      <c r="J422" s="24">
        <f>MAX(rhoMin,(K422*R421/(B415*B418)))</f>
        <v>1.3602714373843307E-2</v>
      </c>
      <c r="K422" s="15">
        <v>9</v>
      </c>
      <c r="L422" s="39">
        <f>IF(M422&lt;2,(B415-(2*(J415+clrCover))-(K422*J421))/(K422-1),(B415-(2*(J415+clrCover))-(N422*J421))/((N422)-1))</f>
        <v>42.75</v>
      </c>
      <c r="M422" s="15">
        <v>2</v>
      </c>
      <c r="N422" s="22">
        <f>IF(M422&lt;2,K422,CEILING(K422/2,1))</f>
        <v>5</v>
      </c>
      <c r="O422" s="22">
        <f>K422-N422</f>
        <v>4</v>
      </c>
      <c r="Q422" s="37" t="s">
        <v>74</v>
      </c>
      <c r="R422" s="38">
        <f>rhoMin*B415*B418</f>
        <v>1069.8600000000001</v>
      </c>
      <c r="S422" s="22">
        <f>ROUNDUP(R422/R421,0)</f>
        <v>3</v>
      </c>
    </row>
    <row r="423" spans="1:19" x14ac:dyDescent="0.25">
      <c r="A423" s="12" t="s">
        <v>26</v>
      </c>
      <c r="B423" s="49">
        <f>B416-clrCover-J415-(IF(M425&gt;1,1.5*J424,0.5*J424))</f>
        <v>835.5</v>
      </c>
      <c r="C423" s="64">
        <v>-27.966427940382058</v>
      </c>
      <c r="D423" s="18">
        <v>0.15662448949813843</v>
      </c>
      <c r="E423" s="18">
        <v>168.3355715037232</v>
      </c>
      <c r="F423" s="17">
        <v>633.2863293870771</v>
      </c>
      <c r="G423" s="19">
        <v>-5.5393002466505907E-2</v>
      </c>
      <c r="I423" s="90" t="s">
        <v>69</v>
      </c>
      <c r="J423" s="91"/>
      <c r="K423" s="96" t="s">
        <v>35</v>
      </c>
      <c r="L423" s="73" t="s">
        <v>36</v>
      </c>
      <c r="M423" s="96" t="s">
        <v>37</v>
      </c>
      <c r="N423" s="98" t="s">
        <v>38</v>
      </c>
      <c r="O423" s="96" t="s">
        <v>72</v>
      </c>
      <c r="R423" s="36"/>
    </row>
    <row r="424" spans="1:19" x14ac:dyDescent="0.25">
      <c r="A424" s="12" t="s">
        <v>27</v>
      </c>
      <c r="B424" s="50">
        <f>K425*R424</f>
        <v>2450</v>
      </c>
      <c r="C424" s="64">
        <v>14.981679116593495</v>
      </c>
      <c r="D424" s="18">
        <v>18.387446796891968</v>
      </c>
      <c r="E424" s="18">
        <v>-560.34430647128829</v>
      </c>
      <c r="F424" s="18">
        <v>-1157.3998565745192</v>
      </c>
      <c r="G424" s="17">
        <v>-10.412176207206226</v>
      </c>
      <c r="I424" s="14" t="s">
        <v>23</v>
      </c>
      <c r="J424" s="41">
        <v>25</v>
      </c>
      <c r="K424" s="97"/>
      <c r="L424" s="40" t="s">
        <v>9</v>
      </c>
      <c r="M424" s="97"/>
      <c r="N424" s="99"/>
      <c r="O424" s="97"/>
      <c r="Q424" s="14" t="s">
        <v>75</v>
      </c>
      <c r="R424" s="21">
        <f>IF(J424=16,201,IF(J424=20,314,IF(J424=25,490,"Err")))</f>
        <v>490</v>
      </c>
      <c r="S424" s="16" t="s">
        <v>25</v>
      </c>
    </row>
    <row r="425" spans="1:19" x14ac:dyDescent="0.25">
      <c r="A425" s="27" t="s">
        <v>28</v>
      </c>
      <c r="B425" s="52">
        <f>phi*B415*(B423^2)*J425*fy*(1-(0.588*J425*fy/fc))/1000000</f>
        <v>712.29146499000001</v>
      </c>
      <c r="C425" s="53">
        <v>-44.37020761596419</v>
      </c>
      <c r="D425" s="28">
        <v>-14.79042065118006</v>
      </c>
      <c r="E425" s="28">
        <v>-42.58792332005271</v>
      </c>
      <c r="F425" s="28">
        <v>333.937034676736</v>
      </c>
      <c r="G425" s="17">
        <v>8.3515580710490145</v>
      </c>
      <c r="I425" s="14" t="s">
        <v>40</v>
      </c>
      <c r="J425" s="24">
        <f>MAX(rhoMin,(K425*R424/(B415*B423)))</f>
        <v>7.3309395571514065E-3</v>
      </c>
      <c r="K425" s="15">
        <v>5</v>
      </c>
      <c r="L425" s="21">
        <f>IF(M425&lt;2,(B415-(2*(J415+clrCover))-(K425*J424))/(K425-1),(B415-(2*(J415+clrCover))-(N425*J424))/((N425)-1))</f>
        <v>42.75</v>
      </c>
      <c r="M425" s="15">
        <v>1</v>
      </c>
      <c r="N425" s="22">
        <f>IF(M425&lt;2,K425,CEILING(K425/2,1))</f>
        <v>5</v>
      </c>
      <c r="O425" s="22">
        <f>K425-N425</f>
        <v>0</v>
      </c>
      <c r="Q425" s="37" t="s">
        <v>74</v>
      </c>
      <c r="R425" s="38">
        <f>rhoMin*B415*B423</f>
        <v>1102.8600000000001</v>
      </c>
      <c r="S425" s="22">
        <f>ROUNDUP(R425/R424,0)</f>
        <v>3</v>
      </c>
    </row>
    <row r="426" spans="1:19" x14ac:dyDescent="0.25">
      <c r="A426" s="65" t="s">
        <v>76</v>
      </c>
    </row>
    <row r="427" spans="1:19" x14ac:dyDescent="0.25">
      <c r="A427" s="69" t="s">
        <v>114</v>
      </c>
      <c r="B427" s="11" t="s">
        <v>11</v>
      </c>
      <c r="C427" s="10" t="s">
        <v>12</v>
      </c>
      <c r="D427" s="10" t="s">
        <v>13</v>
      </c>
      <c r="E427" s="10" t="s">
        <v>14</v>
      </c>
      <c r="F427" s="10" t="s">
        <v>15</v>
      </c>
      <c r="G427" s="11" t="s">
        <v>16</v>
      </c>
      <c r="H427" s="6">
        <v>125</v>
      </c>
      <c r="I427" s="90" t="s">
        <v>34</v>
      </c>
      <c r="J427" s="91"/>
      <c r="K427" s="71"/>
    </row>
    <row r="428" spans="1:19" x14ac:dyDescent="0.25">
      <c r="A428" s="12" t="s">
        <v>17</v>
      </c>
      <c r="B428" s="48">
        <v>600</v>
      </c>
      <c r="C428" s="44" t="s">
        <v>18</v>
      </c>
      <c r="D428" s="44" t="s">
        <v>18</v>
      </c>
      <c r="E428" s="44" t="s">
        <v>18</v>
      </c>
      <c r="F428" s="44" t="s">
        <v>19</v>
      </c>
      <c r="G428" s="45" t="s">
        <v>19</v>
      </c>
      <c r="H428" s="6">
        <v>150</v>
      </c>
      <c r="I428" s="14" t="s">
        <v>20</v>
      </c>
      <c r="J428" s="15">
        <v>12</v>
      </c>
      <c r="K428" s="16" t="s">
        <v>9</v>
      </c>
      <c r="L428" s="22" t="s">
        <v>29</v>
      </c>
      <c r="M428" s="22" t="s">
        <v>30</v>
      </c>
      <c r="N428" s="22" t="s">
        <v>31</v>
      </c>
      <c r="O428" s="22" t="s">
        <v>32</v>
      </c>
      <c r="P428" s="3"/>
    </row>
    <row r="429" spans="1:19" x14ac:dyDescent="0.25">
      <c r="A429" s="12" t="s">
        <v>22</v>
      </c>
      <c r="B429" s="48">
        <v>900</v>
      </c>
      <c r="C429" s="17">
        <v>-177.23039137581765</v>
      </c>
      <c r="D429" s="63">
        <v>0.48668725805064816</v>
      </c>
      <c r="E429" s="63">
        <v>0</v>
      </c>
      <c r="F429" s="63">
        <v>673.85903269255653</v>
      </c>
      <c r="G429" s="54">
        <v>0</v>
      </c>
      <c r="H429" s="6">
        <v>175</v>
      </c>
      <c r="I429" s="56"/>
      <c r="J429" s="57"/>
      <c r="K429" s="58"/>
      <c r="L429" s="92" t="s">
        <v>1</v>
      </c>
      <c r="M429" s="93"/>
      <c r="N429" s="22" t="s">
        <v>35</v>
      </c>
      <c r="O429" s="22" t="s">
        <v>9</v>
      </c>
    </row>
    <row r="430" spans="1:19" x14ac:dyDescent="0.25">
      <c r="A430" s="20" t="s">
        <v>24</v>
      </c>
      <c r="B430" s="13"/>
      <c r="C430" s="17">
        <v>119.16649196038139</v>
      </c>
      <c r="D430" s="18">
        <v>0</v>
      </c>
      <c r="E430" s="18">
        <v>-181.55831997815596</v>
      </c>
      <c r="F430" s="18">
        <v>0</v>
      </c>
      <c r="G430" s="19">
        <v>-0.31835211617962295</v>
      </c>
      <c r="H430" s="6">
        <v>200</v>
      </c>
      <c r="I430" s="59" t="s">
        <v>70</v>
      </c>
      <c r="J430" s="60"/>
      <c r="K430" s="61"/>
      <c r="L430" s="25">
        <f>MAX(ABS(E433),ABS(E434))*1000/(B431*B428)</f>
        <v>1.7936001399400994</v>
      </c>
      <c r="M430" s="25">
        <f>L430-phiVc</f>
        <v>1.1310907060450037</v>
      </c>
      <c r="N430" s="26">
        <f>M430*O430*B428/(phiV*fys*0.25*PI()*(J428^2))</f>
        <v>2.9093927588260891</v>
      </c>
      <c r="O430" s="15">
        <v>100</v>
      </c>
    </row>
    <row r="431" spans="1:19" x14ac:dyDescent="0.25">
      <c r="A431" s="12" t="s">
        <v>26</v>
      </c>
      <c r="B431" s="49">
        <f>B429-clrCover-J428-(IF(M435&gt;1,1.5*J434,0.5*J434))</f>
        <v>810.5</v>
      </c>
      <c r="C431" s="64">
        <v>79.456708951642312</v>
      </c>
      <c r="D431" s="17">
        <v>-19.95248106401765</v>
      </c>
      <c r="E431" s="18">
        <v>-146.91148457086291</v>
      </c>
      <c r="F431" s="18">
        <v>339.00105592925053</v>
      </c>
      <c r="G431" s="19">
        <v>12.489236459006303</v>
      </c>
      <c r="H431" s="6">
        <v>250</v>
      </c>
      <c r="I431" s="59" t="s">
        <v>71</v>
      </c>
      <c r="J431" s="60"/>
      <c r="K431" s="61"/>
      <c r="L431" s="25">
        <f>MAX(ABS(E433),ABS(E434))*1000/(B436*B428)</f>
        <v>1.7936001399400994</v>
      </c>
      <c r="M431" s="25">
        <f>L431-phiVc</f>
        <v>1.1310907060450037</v>
      </c>
      <c r="N431" s="26">
        <f>M431*O431*B428/(phiV*fys*0.25*PI()*(J428^2))</f>
        <v>2.9093927588260891</v>
      </c>
      <c r="O431" s="15">
        <v>100</v>
      </c>
    </row>
    <row r="432" spans="1:19" x14ac:dyDescent="0.25">
      <c r="A432" s="12" t="s">
        <v>27</v>
      </c>
      <c r="B432" s="50">
        <f>K435*R434</f>
        <v>7840</v>
      </c>
      <c r="C432" s="64">
        <v>-104.4986086344114</v>
      </c>
      <c r="D432" s="17">
        <v>22.770390900632499</v>
      </c>
      <c r="E432" s="18">
        <v>-692.63208236916591</v>
      </c>
      <c r="F432" s="18">
        <v>-1928.1996853149378</v>
      </c>
      <c r="G432" s="19">
        <v>-14.598346483010328</v>
      </c>
      <c r="H432" s="6">
        <v>300</v>
      </c>
    </row>
    <row r="433" spans="1:19" x14ac:dyDescent="0.25">
      <c r="A433" s="12" t="s">
        <v>28</v>
      </c>
      <c r="B433" s="51">
        <f>-phi*B428*(B431^2)*J435*fy*(1-(0.588*J435*fy/fc))/1000000</f>
        <v>-2023.4776713983995</v>
      </c>
      <c r="C433" s="64">
        <v>-29.164072048267212</v>
      </c>
      <c r="D433" s="18">
        <v>2.8846038743088238</v>
      </c>
      <c r="E433" s="17">
        <v>-872.22774805287031</v>
      </c>
      <c r="F433" s="18">
        <v>-1617.845189566013</v>
      </c>
      <c r="G433" s="19">
        <v>-2.1784224843932734</v>
      </c>
      <c r="I433" s="90" t="s">
        <v>68</v>
      </c>
      <c r="J433" s="91"/>
      <c r="K433" s="94" t="s">
        <v>35</v>
      </c>
      <c r="L433" s="73" t="s">
        <v>36</v>
      </c>
      <c r="M433" s="96" t="s">
        <v>37</v>
      </c>
      <c r="N433" s="98" t="s">
        <v>38</v>
      </c>
      <c r="O433" s="96" t="s">
        <v>72</v>
      </c>
      <c r="Q433" s="34" t="s">
        <v>73</v>
      </c>
    </row>
    <row r="434" spans="1:19" x14ac:dyDescent="0.25">
      <c r="A434" s="23" t="s">
        <v>33</v>
      </c>
      <c r="B434" s="13"/>
      <c r="C434" s="64">
        <v>-73.180239715080631</v>
      </c>
      <c r="D434" s="18">
        <v>-0.1434641153132962</v>
      </c>
      <c r="E434" s="17">
        <v>717.33687537492006</v>
      </c>
      <c r="F434" s="18">
        <v>-1590.4416723407448</v>
      </c>
      <c r="G434" s="19">
        <v>-0.27609199521949135</v>
      </c>
      <c r="I434" s="14" t="s">
        <v>23</v>
      </c>
      <c r="J434" s="41">
        <v>25</v>
      </c>
      <c r="K434" s="95"/>
      <c r="L434" s="40" t="s">
        <v>9</v>
      </c>
      <c r="M434" s="97"/>
      <c r="N434" s="99"/>
      <c r="O434" s="97"/>
      <c r="Q434" s="14" t="s">
        <v>75</v>
      </c>
      <c r="R434" s="21">
        <f>IF(J434=16,201,IF(J434=20,314,IF(J434=25,490,"Err")))</f>
        <v>490</v>
      </c>
      <c r="S434" s="16" t="s">
        <v>25</v>
      </c>
    </row>
    <row r="435" spans="1:19" x14ac:dyDescent="0.25">
      <c r="A435" s="20" t="s">
        <v>39</v>
      </c>
      <c r="B435" s="13"/>
      <c r="C435" s="64">
        <v>-104.4986086344114</v>
      </c>
      <c r="D435" s="18">
        <v>22.770390900632499</v>
      </c>
      <c r="E435" s="18">
        <v>-692.63208236916591</v>
      </c>
      <c r="F435" s="17">
        <v>-1928.1996853149378</v>
      </c>
      <c r="G435" s="19">
        <v>-14.598346483010328</v>
      </c>
      <c r="I435" s="14" t="s">
        <v>40</v>
      </c>
      <c r="J435" s="24">
        <f>MAX(rhoMin,(K435*R434/(B428*B431)))</f>
        <v>1.6121735554184658E-2</v>
      </c>
      <c r="K435" s="15">
        <v>16</v>
      </c>
      <c r="L435" s="39">
        <f>IF(M435&lt;2,(B428-(2*(J428+clrCover))-(K435*J434))/(K435-1),(B428-(2*(J428+clrCover))-(N435*J434))/((N435)-1))</f>
        <v>42.285714285714285</v>
      </c>
      <c r="M435" s="15">
        <v>2</v>
      </c>
      <c r="N435" s="22">
        <f>IF(M435&lt;2,K435,CEILING(K435/2,1))</f>
        <v>8</v>
      </c>
      <c r="O435" s="22">
        <f>K435-N435</f>
        <v>8</v>
      </c>
      <c r="Q435" s="37" t="s">
        <v>74</v>
      </c>
      <c r="R435" s="38">
        <f>rhoMin*B428*B431</f>
        <v>1604.79</v>
      </c>
      <c r="S435" s="22">
        <f>ROUNDUP(R435/R434,0)</f>
        <v>4</v>
      </c>
    </row>
    <row r="436" spans="1:19" x14ac:dyDescent="0.25">
      <c r="A436" s="12" t="s">
        <v>26</v>
      </c>
      <c r="B436" s="49">
        <f>B429-clrCover-J428-(IF(M438&gt;1,1.5*J437,0.5*J437))</f>
        <v>810.5</v>
      </c>
      <c r="C436" s="64">
        <v>-46.708423566500208</v>
      </c>
      <c r="D436" s="18">
        <v>0.39650337971452565</v>
      </c>
      <c r="E436" s="18">
        <v>-211.56667819579457</v>
      </c>
      <c r="F436" s="17">
        <v>1355.6749526863139</v>
      </c>
      <c r="G436" s="19">
        <v>0.55006492146872576</v>
      </c>
      <c r="I436" s="90" t="s">
        <v>69</v>
      </c>
      <c r="J436" s="91"/>
      <c r="K436" s="96" t="s">
        <v>35</v>
      </c>
      <c r="L436" s="73" t="s">
        <v>36</v>
      </c>
      <c r="M436" s="96" t="s">
        <v>37</v>
      </c>
      <c r="N436" s="98" t="s">
        <v>38</v>
      </c>
      <c r="O436" s="96" t="s">
        <v>72</v>
      </c>
      <c r="R436" s="36"/>
    </row>
    <row r="437" spans="1:19" x14ac:dyDescent="0.25">
      <c r="A437" s="12" t="s">
        <v>27</v>
      </c>
      <c r="B437" s="50">
        <f>K438*R437</f>
        <v>4900</v>
      </c>
      <c r="C437" s="64">
        <v>-104.4986086344114</v>
      </c>
      <c r="D437" s="18">
        <v>22.770390900632499</v>
      </c>
      <c r="E437" s="18">
        <v>-692.63208236916591</v>
      </c>
      <c r="F437" s="18">
        <v>-1928.1996853149378</v>
      </c>
      <c r="G437" s="17">
        <v>-14.598346483010328</v>
      </c>
      <c r="I437" s="14" t="s">
        <v>23</v>
      </c>
      <c r="J437" s="41">
        <v>25</v>
      </c>
      <c r="K437" s="97"/>
      <c r="L437" s="40" t="s">
        <v>9</v>
      </c>
      <c r="M437" s="97"/>
      <c r="N437" s="99"/>
      <c r="O437" s="97"/>
      <c r="Q437" s="14" t="s">
        <v>75</v>
      </c>
      <c r="R437" s="21">
        <f>IF(J437=16,201,IF(J437=20,314,IF(J437=25,490,"Err")))</f>
        <v>490</v>
      </c>
      <c r="S437" s="16" t="s">
        <v>25</v>
      </c>
    </row>
    <row r="438" spans="1:19" x14ac:dyDescent="0.25">
      <c r="A438" s="27" t="s">
        <v>28</v>
      </c>
      <c r="B438" s="52">
        <f>phi*B428*(B436^2)*J438*fy*(1-(0.588*J438*fy/fc))/1000000</f>
        <v>1345.3318166400002</v>
      </c>
      <c r="C438" s="53">
        <v>79.456708951642312</v>
      </c>
      <c r="D438" s="28">
        <v>-19.95248106401765</v>
      </c>
      <c r="E438" s="28">
        <v>-146.91148457086291</v>
      </c>
      <c r="F438" s="28">
        <v>339.00105592925053</v>
      </c>
      <c r="G438" s="17">
        <v>12.489236459006303</v>
      </c>
      <c r="I438" s="14" t="s">
        <v>40</v>
      </c>
      <c r="J438" s="24">
        <f>MAX(rhoMin,(K438*R437/(B428*B436)))</f>
        <v>1.0076084721365413E-2</v>
      </c>
      <c r="K438" s="15">
        <v>10</v>
      </c>
      <c r="L438" s="21">
        <f>IF(M438&lt;2,(B428-(2*(J428+clrCover))-(K438*J437))/(K438-1),(B428-(2*(J428+clrCover))-(N438*J437))/((N438)-1))</f>
        <v>92.75</v>
      </c>
      <c r="M438" s="15">
        <v>2</v>
      </c>
      <c r="N438" s="22">
        <f>IF(M438&lt;2,K438,CEILING(K438/2,1))</f>
        <v>5</v>
      </c>
      <c r="O438" s="22">
        <f>K438-N438</f>
        <v>5</v>
      </c>
      <c r="Q438" s="37" t="s">
        <v>74</v>
      </c>
      <c r="R438" s="38">
        <f>rhoMin*B428*B436</f>
        <v>1604.79</v>
      </c>
      <c r="S438" s="22">
        <f>ROUNDUP(R438/R437,0)</f>
        <v>4</v>
      </c>
    </row>
    <row r="439" spans="1:19" x14ac:dyDescent="0.25">
      <c r="A439" s="65" t="s">
        <v>76</v>
      </c>
    </row>
    <row r="440" spans="1:19" x14ac:dyDescent="0.25">
      <c r="A440" s="69" t="s">
        <v>115</v>
      </c>
      <c r="B440" s="11" t="s">
        <v>11</v>
      </c>
      <c r="C440" s="10" t="s">
        <v>12</v>
      </c>
      <c r="D440" s="10" t="s">
        <v>13</v>
      </c>
      <c r="E440" s="10" t="s">
        <v>14</v>
      </c>
      <c r="F440" s="10" t="s">
        <v>15</v>
      </c>
      <c r="G440" s="11" t="s">
        <v>16</v>
      </c>
      <c r="H440" s="6">
        <v>125</v>
      </c>
      <c r="I440" s="90" t="s">
        <v>34</v>
      </c>
      <c r="J440" s="91"/>
      <c r="K440" s="71"/>
    </row>
    <row r="441" spans="1:19" x14ac:dyDescent="0.25">
      <c r="A441" s="12" t="s">
        <v>17</v>
      </c>
      <c r="B441" s="48">
        <v>600</v>
      </c>
      <c r="C441" s="44" t="s">
        <v>18</v>
      </c>
      <c r="D441" s="44" t="s">
        <v>18</v>
      </c>
      <c r="E441" s="44" t="s">
        <v>18</v>
      </c>
      <c r="F441" s="44" t="s">
        <v>19</v>
      </c>
      <c r="G441" s="45" t="s">
        <v>19</v>
      </c>
      <c r="H441" s="6">
        <v>150</v>
      </c>
      <c r="I441" s="14" t="s">
        <v>20</v>
      </c>
      <c r="J441" s="15">
        <v>12</v>
      </c>
      <c r="K441" s="16" t="s">
        <v>9</v>
      </c>
      <c r="L441" s="22" t="s">
        <v>29</v>
      </c>
      <c r="M441" s="22" t="s">
        <v>30</v>
      </c>
      <c r="N441" s="22" t="s">
        <v>31</v>
      </c>
      <c r="O441" s="22" t="s">
        <v>32</v>
      </c>
      <c r="P441" s="3"/>
    </row>
    <row r="442" spans="1:19" x14ac:dyDescent="0.25">
      <c r="A442" s="12" t="s">
        <v>22</v>
      </c>
      <c r="B442" s="48">
        <v>900</v>
      </c>
      <c r="C442" s="17">
        <v>-369.78914177335531</v>
      </c>
      <c r="D442" s="63">
        <v>-18.277160822591735</v>
      </c>
      <c r="E442" s="63">
        <v>0</v>
      </c>
      <c r="F442" s="63">
        <v>-75.46122163509105</v>
      </c>
      <c r="G442" s="54">
        <v>0</v>
      </c>
      <c r="H442" s="6">
        <v>175</v>
      </c>
      <c r="I442" s="56"/>
      <c r="J442" s="57"/>
      <c r="K442" s="58"/>
      <c r="L442" s="92" t="s">
        <v>1</v>
      </c>
      <c r="M442" s="93"/>
      <c r="N442" s="22" t="s">
        <v>35</v>
      </c>
      <c r="O442" s="22" t="s">
        <v>9</v>
      </c>
    </row>
    <row r="443" spans="1:19" x14ac:dyDescent="0.25">
      <c r="A443" s="20" t="s">
        <v>24</v>
      </c>
      <c r="B443" s="13"/>
      <c r="C443" s="17">
        <v>396.03875878799306</v>
      </c>
      <c r="D443" s="18">
        <v>0</v>
      </c>
      <c r="E443" s="18">
        <v>-414.43919742884992</v>
      </c>
      <c r="F443" s="18">
        <v>0</v>
      </c>
      <c r="G443" s="19">
        <v>1.5895351293707671</v>
      </c>
      <c r="H443" s="6">
        <v>200</v>
      </c>
      <c r="I443" s="59" t="s">
        <v>70</v>
      </c>
      <c r="J443" s="60"/>
      <c r="K443" s="61"/>
      <c r="L443" s="25">
        <f>MAX(ABS(E446),ABS(E447))*1000/(B444*B441)</f>
        <v>0.85666336837872525</v>
      </c>
      <c r="M443" s="25">
        <f>L443-phiVc</f>
        <v>0.19415393448362961</v>
      </c>
      <c r="N443" s="26">
        <f>M443*O443*B441/(phiV*fys*0.25*PI()*(J441^2))</f>
        <v>0.49940296394035788</v>
      </c>
      <c r="O443" s="15">
        <v>100</v>
      </c>
    </row>
    <row r="444" spans="1:19" x14ac:dyDescent="0.25">
      <c r="A444" s="12" t="s">
        <v>26</v>
      </c>
      <c r="B444" s="49">
        <f>B442-clrCover-J441-(IF(M448&gt;1,1.5*J447,0.5*J447))</f>
        <v>838</v>
      </c>
      <c r="C444" s="64">
        <v>-369.78914177335531</v>
      </c>
      <c r="D444" s="17">
        <v>-18.277160822591735</v>
      </c>
      <c r="E444" s="18">
        <v>-81.425292689810931</v>
      </c>
      <c r="F444" s="18">
        <v>-75.46122163509105</v>
      </c>
      <c r="G444" s="19">
        <v>14.580014701328748</v>
      </c>
      <c r="H444" s="6">
        <v>250</v>
      </c>
      <c r="I444" s="59" t="s">
        <v>71</v>
      </c>
      <c r="J444" s="60"/>
      <c r="K444" s="61"/>
      <c r="L444" s="25">
        <f>MAX(ABS(E446),ABS(E447))*1000/(B449*B441)</f>
        <v>0.87760868300901196</v>
      </c>
      <c r="M444" s="25">
        <f>L444-phiVc</f>
        <v>0.21509924911391631</v>
      </c>
      <c r="N444" s="26">
        <f>M444*O444*B441/(phiV*fys*0.25*PI()*(J441^2))</f>
        <v>0.55327852528217802</v>
      </c>
      <c r="O444" s="15">
        <v>100</v>
      </c>
    </row>
    <row r="445" spans="1:19" x14ac:dyDescent="0.25">
      <c r="A445" s="12" t="s">
        <v>27</v>
      </c>
      <c r="B445" s="50">
        <f>K448*R447</f>
        <v>1884</v>
      </c>
      <c r="C445" s="64">
        <v>349.56605739968609</v>
      </c>
      <c r="D445" s="17">
        <v>12.462220167863791</v>
      </c>
      <c r="E445" s="18">
        <v>-58.149611688210499</v>
      </c>
      <c r="F445" s="18">
        <v>83.083781758378905</v>
      </c>
      <c r="G445" s="19">
        <v>-7.3715396603112078</v>
      </c>
      <c r="H445" s="6">
        <v>300</v>
      </c>
    </row>
    <row r="446" spans="1:19" x14ac:dyDescent="0.25">
      <c r="A446" s="12" t="s">
        <v>28</v>
      </c>
      <c r="B446" s="51">
        <f>-phi*B441*(B444^2)*J448*fy*(1-(0.588*J448*fy/fc))/1000000</f>
        <v>-568.38472222118401</v>
      </c>
      <c r="C446" s="64">
        <v>395.14067545536977</v>
      </c>
      <c r="D446" s="18">
        <v>-2.0424243572823362</v>
      </c>
      <c r="E446" s="17">
        <v>-430.73034162082308</v>
      </c>
      <c r="F446" s="18">
        <v>-349.38495630357443</v>
      </c>
      <c r="G446" s="19">
        <v>1.7096380174390926</v>
      </c>
      <c r="I446" s="90" t="s">
        <v>68</v>
      </c>
      <c r="J446" s="91"/>
      <c r="K446" s="94" t="s">
        <v>35</v>
      </c>
      <c r="L446" s="73" t="s">
        <v>36</v>
      </c>
      <c r="M446" s="96" t="s">
        <v>37</v>
      </c>
      <c r="N446" s="98" t="s">
        <v>38</v>
      </c>
      <c r="O446" s="96" t="s">
        <v>72</v>
      </c>
      <c r="Q446" s="34" t="s">
        <v>73</v>
      </c>
    </row>
    <row r="447" spans="1:19" x14ac:dyDescent="0.25">
      <c r="A447" s="23" t="s">
        <v>33</v>
      </c>
      <c r="B447" s="13"/>
      <c r="C447" s="64">
        <v>375.64817815835875</v>
      </c>
      <c r="D447" s="18">
        <v>-6.0438470572589251</v>
      </c>
      <c r="E447" s="17">
        <v>318.65304763843142</v>
      </c>
      <c r="F447" s="18">
        <v>-231.56147610813892</v>
      </c>
      <c r="G447" s="19">
        <v>-4.4229855498725854</v>
      </c>
      <c r="I447" s="14" t="s">
        <v>23</v>
      </c>
      <c r="J447" s="41">
        <v>20</v>
      </c>
      <c r="K447" s="95"/>
      <c r="L447" s="40" t="s">
        <v>9</v>
      </c>
      <c r="M447" s="97"/>
      <c r="N447" s="99"/>
      <c r="O447" s="97"/>
      <c r="Q447" s="14" t="s">
        <v>75</v>
      </c>
      <c r="R447" s="21">
        <f>IF(J447=16,201,IF(J447=20,314,IF(J447=25,490,"Err")))</f>
        <v>314</v>
      </c>
      <c r="S447" s="16" t="s">
        <v>25</v>
      </c>
    </row>
    <row r="448" spans="1:19" x14ac:dyDescent="0.25">
      <c r="A448" s="20" t="s">
        <v>39</v>
      </c>
      <c r="B448" s="13"/>
      <c r="C448" s="64">
        <v>395.14067545536977</v>
      </c>
      <c r="D448" s="18">
        <v>-2.0424243572823362</v>
      </c>
      <c r="E448" s="18">
        <v>-430.73034162082308</v>
      </c>
      <c r="F448" s="17">
        <v>-349.38495630357443</v>
      </c>
      <c r="G448" s="19">
        <v>1.7096380174390926</v>
      </c>
      <c r="I448" s="14" t="s">
        <v>40</v>
      </c>
      <c r="J448" s="24">
        <f>MAX(rhoMin,(K448*R447/(B441*B444)))</f>
        <v>3.7470167064439139E-3</v>
      </c>
      <c r="K448" s="15">
        <v>6</v>
      </c>
      <c r="L448" s="39">
        <f>IF(M448&lt;2,(B441-(2*(J441+clrCover))-(K448*J447))/(K448-1),(B441-(2*(J441+clrCover))-(N448*J447))/((N448)-1))</f>
        <v>75.2</v>
      </c>
      <c r="M448" s="15">
        <v>1</v>
      </c>
      <c r="N448" s="22">
        <f>IF(M448&lt;2,K448,CEILING(K448/2,1))</f>
        <v>6</v>
      </c>
      <c r="O448" s="22">
        <f>K448-N448</f>
        <v>0</v>
      </c>
      <c r="Q448" s="37" t="s">
        <v>74</v>
      </c>
      <c r="R448" s="38">
        <f>rhoMin*B441*B444</f>
        <v>1659.24</v>
      </c>
      <c r="S448" s="22">
        <f>ROUNDUP(R448/R447,0)</f>
        <v>6</v>
      </c>
    </row>
    <row r="449" spans="1:19" x14ac:dyDescent="0.25">
      <c r="A449" s="12" t="s">
        <v>26</v>
      </c>
      <c r="B449" s="49">
        <f>B442-clrCover-J441-(IF(M451&gt;1,1.5*J450,0.5*J450))</f>
        <v>818</v>
      </c>
      <c r="C449" s="64">
        <v>225.73821612156902</v>
      </c>
      <c r="D449" s="18">
        <v>3.6294457340672159</v>
      </c>
      <c r="E449" s="18">
        <v>10.426036480706937</v>
      </c>
      <c r="F449" s="17">
        <v>669.1246655945115</v>
      </c>
      <c r="G449" s="19">
        <v>-1.3066559980711614</v>
      </c>
      <c r="I449" s="90" t="s">
        <v>69</v>
      </c>
      <c r="J449" s="91"/>
      <c r="K449" s="96" t="s">
        <v>35</v>
      </c>
      <c r="L449" s="73" t="s">
        <v>36</v>
      </c>
      <c r="M449" s="96" t="s">
        <v>37</v>
      </c>
      <c r="N449" s="98" t="s">
        <v>38</v>
      </c>
      <c r="O449" s="96" t="s">
        <v>72</v>
      </c>
      <c r="R449" s="36"/>
    </row>
    <row r="450" spans="1:19" x14ac:dyDescent="0.25">
      <c r="A450" s="12" t="s">
        <v>27</v>
      </c>
      <c r="B450" s="50">
        <f>K451*R450</f>
        <v>2512</v>
      </c>
      <c r="C450" s="64">
        <v>342.9072492779203</v>
      </c>
      <c r="D450" s="18">
        <v>12.200967031922845</v>
      </c>
      <c r="E450" s="18">
        <v>-74.043772900443273</v>
      </c>
      <c r="F450" s="18">
        <v>14.292107213382399</v>
      </c>
      <c r="G450" s="17">
        <v>-10.403225546023457</v>
      </c>
      <c r="I450" s="14" t="s">
        <v>23</v>
      </c>
      <c r="J450" s="41">
        <v>20</v>
      </c>
      <c r="K450" s="97"/>
      <c r="L450" s="40" t="s">
        <v>9</v>
      </c>
      <c r="M450" s="97"/>
      <c r="N450" s="99"/>
      <c r="O450" s="97"/>
      <c r="Q450" s="14" t="s">
        <v>75</v>
      </c>
      <c r="R450" s="21">
        <f>IF(J450=16,201,IF(J450=20,314,IF(J450=25,490,"Err")))</f>
        <v>314</v>
      </c>
      <c r="S450" s="16" t="s">
        <v>25</v>
      </c>
    </row>
    <row r="451" spans="1:19" x14ac:dyDescent="0.25">
      <c r="A451" s="27" t="s">
        <v>28</v>
      </c>
      <c r="B451" s="52">
        <f>phi*B441*(B449^2)*J451*fy*(1-(0.588*J451*fy/fc))/1000000</f>
        <v>730.29434919321602</v>
      </c>
      <c r="C451" s="53">
        <v>-369.78914177335531</v>
      </c>
      <c r="D451" s="28">
        <v>-18.277160822591735</v>
      </c>
      <c r="E451" s="28">
        <v>-81.425292689810931</v>
      </c>
      <c r="F451" s="28">
        <v>-75.46122163509105</v>
      </c>
      <c r="G451" s="17">
        <v>14.580014701328748</v>
      </c>
      <c r="I451" s="14" t="s">
        <v>40</v>
      </c>
      <c r="J451" s="24">
        <f>MAX(rhoMin,(K451*R450/(B441*B449)))</f>
        <v>5.1181744091279542E-3</v>
      </c>
      <c r="K451" s="15">
        <v>8</v>
      </c>
      <c r="L451" s="21">
        <f>IF(M451&lt;2,(B441-(2*(J441+clrCover))-(K451*J450))/(K451-1),(B441-(2*(J441+clrCover))-(N451*J450))/((N451)-1))</f>
        <v>138.66666666666666</v>
      </c>
      <c r="M451" s="15">
        <v>2</v>
      </c>
      <c r="N451" s="22">
        <f>IF(M451&lt;2,K451,CEILING(K451/2,1))</f>
        <v>4</v>
      </c>
      <c r="O451" s="22">
        <f>K451-N451</f>
        <v>4</v>
      </c>
      <c r="Q451" s="37" t="s">
        <v>74</v>
      </c>
      <c r="R451" s="38">
        <f>rhoMin*B441*B449</f>
        <v>1619.6399999999999</v>
      </c>
      <c r="S451" s="22">
        <f>ROUNDUP(R451/R450,0)</f>
        <v>6</v>
      </c>
    </row>
    <row r="452" spans="1:19" x14ac:dyDescent="0.25">
      <c r="A452" s="65" t="s">
        <v>76</v>
      </c>
    </row>
    <row r="453" spans="1:19" x14ac:dyDescent="0.25">
      <c r="A453" s="69" t="s">
        <v>116</v>
      </c>
      <c r="B453" s="11" t="s">
        <v>11</v>
      </c>
      <c r="C453" s="10" t="s">
        <v>12</v>
      </c>
      <c r="D453" s="10" t="s">
        <v>13</v>
      </c>
      <c r="E453" s="10" t="s">
        <v>14</v>
      </c>
      <c r="F453" s="10" t="s">
        <v>15</v>
      </c>
      <c r="G453" s="11" t="s">
        <v>16</v>
      </c>
      <c r="H453" s="6">
        <v>125</v>
      </c>
      <c r="I453" s="90" t="s">
        <v>34</v>
      </c>
      <c r="J453" s="91"/>
      <c r="K453" s="71"/>
    </row>
    <row r="454" spans="1:19" x14ac:dyDescent="0.25">
      <c r="A454" s="12" t="s">
        <v>17</v>
      </c>
      <c r="B454" s="48">
        <v>500</v>
      </c>
      <c r="C454" s="44" t="s">
        <v>18</v>
      </c>
      <c r="D454" s="44" t="s">
        <v>18</v>
      </c>
      <c r="E454" s="44" t="s">
        <v>18</v>
      </c>
      <c r="F454" s="44" t="s">
        <v>19</v>
      </c>
      <c r="G454" s="45" t="s">
        <v>19</v>
      </c>
      <c r="H454" s="6">
        <v>150</v>
      </c>
      <c r="I454" s="14" t="s">
        <v>20</v>
      </c>
      <c r="J454" s="15">
        <v>12</v>
      </c>
      <c r="K454" s="16" t="s">
        <v>9</v>
      </c>
      <c r="L454" s="22" t="s">
        <v>29</v>
      </c>
      <c r="M454" s="22" t="s">
        <v>30</v>
      </c>
      <c r="N454" s="22" t="s">
        <v>31</v>
      </c>
      <c r="O454" s="22" t="s">
        <v>32</v>
      </c>
      <c r="P454" s="3"/>
    </row>
    <row r="455" spans="1:19" x14ac:dyDescent="0.25">
      <c r="A455" s="12" t="s">
        <v>22</v>
      </c>
      <c r="B455" s="48">
        <v>600</v>
      </c>
      <c r="C455" s="17">
        <v>-232.70156322970513</v>
      </c>
      <c r="D455" s="63">
        <v>2.856447301986774</v>
      </c>
      <c r="E455" s="63">
        <v>0</v>
      </c>
      <c r="F455" s="63">
        <v>122.61744526767338</v>
      </c>
      <c r="G455" s="54">
        <v>0</v>
      </c>
      <c r="H455" s="6">
        <v>175</v>
      </c>
      <c r="I455" s="56"/>
      <c r="J455" s="57"/>
      <c r="K455" s="58"/>
      <c r="L455" s="92" t="s">
        <v>1</v>
      </c>
      <c r="M455" s="93"/>
      <c r="N455" s="22" t="s">
        <v>35</v>
      </c>
      <c r="O455" s="22" t="s">
        <v>9</v>
      </c>
    </row>
    <row r="456" spans="1:19" x14ac:dyDescent="0.25">
      <c r="A456" s="20" t="s">
        <v>24</v>
      </c>
      <c r="B456" s="13"/>
      <c r="C456" s="17">
        <v>206.56006409334211</v>
      </c>
      <c r="D456" s="18">
        <v>0</v>
      </c>
      <c r="E456" s="18">
        <v>61.562682218851045</v>
      </c>
      <c r="F456" s="18">
        <v>0</v>
      </c>
      <c r="G456" s="19">
        <v>0.85301397405666191</v>
      </c>
      <c r="H456" s="6">
        <v>200</v>
      </c>
      <c r="I456" s="59" t="s">
        <v>70</v>
      </c>
      <c r="J456" s="60"/>
      <c r="K456" s="61"/>
      <c r="L456" s="25">
        <f>MAX(ABS(E459),ABS(E460))*1000/(B457*B454)</f>
        <v>2.0566585662714152</v>
      </c>
      <c r="M456" s="25">
        <f>L456-phiVc</f>
        <v>1.3941491323763195</v>
      </c>
      <c r="N456" s="26">
        <f>M456*O456*B454/(phiV*fys*0.25*PI()*(J454^2))</f>
        <v>2.9883599437706181</v>
      </c>
      <c r="O456" s="15">
        <v>100</v>
      </c>
    </row>
    <row r="457" spans="1:19" x14ac:dyDescent="0.25">
      <c r="A457" s="12" t="s">
        <v>26</v>
      </c>
      <c r="B457" s="49">
        <f>B455-clrCover-J454-(IF(M461&gt;1,1.5*J460,0.5*J460))</f>
        <v>510.5</v>
      </c>
      <c r="C457" s="64">
        <v>80.595713451710324</v>
      </c>
      <c r="D457" s="17">
        <v>-39.739096229865197</v>
      </c>
      <c r="E457" s="18">
        <v>-224.74012793659341</v>
      </c>
      <c r="F457" s="18">
        <v>-312.86441502888135</v>
      </c>
      <c r="G457" s="19">
        <v>28.887655744826798</v>
      </c>
      <c r="H457" s="6">
        <v>250</v>
      </c>
      <c r="I457" s="59" t="s">
        <v>71</v>
      </c>
      <c r="J457" s="60"/>
      <c r="K457" s="61"/>
      <c r="L457" s="25">
        <f>MAX(ABS(E459),ABS(E460))*1000/(B462*B454)</f>
        <v>2.0566585662714152</v>
      </c>
      <c r="M457" s="25">
        <f>L457-phiVc</f>
        <v>1.3941491323763195</v>
      </c>
      <c r="N457" s="26">
        <f>M457*O457*B454/(phiV*fys*0.25*PI()*(J454^2))</f>
        <v>2.9883599437706181</v>
      </c>
      <c r="O457" s="15">
        <v>100</v>
      </c>
    </row>
    <row r="458" spans="1:19" x14ac:dyDescent="0.25">
      <c r="A458" s="12" t="s">
        <v>27</v>
      </c>
      <c r="B458" s="50">
        <f>K461*R460</f>
        <v>5390</v>
      </c>
      <c r="C458" s="64">
        <v>-69.266395555392805</v>
      </c>
      <c r="D458" s="17">
        <v>32.493129669885199</v>
      </c>
      <c r="E458" s="18">
        <v>-137.19106636912969</v>
      </c>
      <c r="F458" s="18">
        <v>-156.09438695206489</v>
      </c>
      <c r="G458" s="19">
        <v>-23.87034439786995</v>
      </c>
      <c r="H458" s="6">
        <v>300</v>
      </c>
    </row>
    <row r="459" spans="1:19" x14ac:dyDescent="0.25">
      <c r="A459" s="12" t="s">
        <v>28</v>
      </c>
      <c r="B459" s="51">
        <f>-phi*B454*(B457^2)*J461*fy*(1-(0.588*J461*fy/fc))/1000000</f>
        <v>-830.05127872128003</v>
      </c>
      <c r="C459" s="64">
        <v>16.280882369877389</v>
      </c>
      <c r="D459" s="18">
        <v>-7.7217190567967444</v>
      </c>
      <c r="E459" s="17">
        <v>-389.6844000268369</v>
      </c>
      <c r="F459" s="18">
        <v>-513.60432186779576</v>
      </c>
      <c r="G459" s="19">
        <v>5.3696037398758421</v>
      </c>
      <c r="I459" s="90" t="s">
        <v>68</v>
      </c>
      <c r="J459" s="91"/>
      <c r="K459" s="94" t="s">
        <v>35</v>
      </c>
      <c r="L459" s="73" t="s">
        <v>36</v>
      </c>
      <c r="M459" s="96" t="s">
        <v>37</v>
      </c>
      <c r="N459" s="98" t="s">
        <v>38</v>
      </c>
      <c r="O459" s="96" t="s">
        <v>72</v>
      </c>
      <c r="Q459" s="34" t="s">
        <v>73</v>
      </c>
    </row>
    <row r="460" spans="1:19" x14ac:dyDescent="0.25">
      <c r="A460" s="23" t="s">
        <v>33</v>
      </c>
      <c r="B460" s="13"/>
      <c r="C460" s="64">
        <v>27.114290778039326</v>
      </c>
      <c r="D460" s="18">
        <v>6.163332469576055</v>
      </c>
      <c r="E460" s="17">
        <v>524.96209904077875</v>
      </c>
      <c r="F460" s="18">
        <v>-838.49889843724486</v>
      </c>
      <c r="G460" s="19">
        <v>5.2021881425207779</v>
      </c>
      <c r="I460" s="14" t="s">
        <v>23</v>
      </c>
      <c r="J460" s="41">
        <v>25</v>
      </c>
      <c r="K460" s="95"/>
      <c r="L460" s="40" t="s">
        <v>9</v>
      </c>
      <c r="M460" s="97"/>
      <c r="N460" s="99"/>
      <c r="O460" s="97"/>
      <c r="Q460" s="14" t="s">
        <v>75</v>
      </c>
      <c r="R460" s="21">
        <f>IF(J460=16,201,IF(J460=20,314,IF(J460=25,490,"Err")))</f>
        <v>490</v>
      </c>
      <c r="S460" s="16" t="s">
        <v>25</v>
      </c>
    </row>
    <row r="461" spans="1:19" x14ac:dyDescent="0.25">
      <c r="A461" s="20" t="s">
        <v>39</v>
      </c>
      <c r="B461" s="13"/>
      <c r="C461" s="64">
        <v>27.114290778039326</v>
      </c>
      <c r="D461" s="18">
        <v>6.163332469576055</v>
      </c>
      <c r="E461" s="18">
        <v>524.96209904077875</v>
      </c>
      <c r="F461" s="17">
        <v>-838.49889843724486</v>
      </c>
      <c r="G461" s="19">
        <v>5.2021881425207779</v>
      </c>
      <c r="I461" s="14" t="s">
        <v>40</v>
      </c>
      <c r="J461" s="24">
        <f>MAX(rhoMin,(K461*R460/(B454*B457)))</f>
        <v>2.1116552399608229E-2</v>
      </c>
      <c r="K461" s="15">
        <v>11</v>
      </c>
      <c r="L461" s="39">
        <f>IF(M461&lt;2,(B454-(2*(J454+clrCover))-(K461*J460))/(K461-1),(B454-(2*(J454+clrCover))-(N461*J460))/((N461)-1))</f>
        <v>49.2</v>
      </c>
      <c r="M461" s="15">
        <v>2</v>
      </c>
      <c r="N461" s="22">
        <f>IF(M461&lt;2,K461,CEILING(K461/2,1))</f>
        <v>6</v>
      </c>
      <c r="O461" s="22">
        <f>K461-N461</f>
        <v>5</v>
      </c>
      <c r="Q461" s="37" t="s">
        <v>74</v>
      </c>
      <c r="R461" s="38">
        <f>rhoMin*B454*B457</f>
        <v>842.32499999999993</v>
      </c>
      <c r="S461" s="22">
        <f>ROUNDUP(R461/R460,0)</f>
        <v>2</v>
      </c>
    </row>
    <row r="462" spans="1:19" x14ac:dyDescent="0.25">
      <c r="A462" s="12" t="s">
        <v>26</v>
      </c>
      <c r="B462" s="49">
        <f>B455-clrCover-J454-(IF(M464&gt;1,1.5*J463,0.5*J463))</f>
        <v>510.5</v>
      </c>
      <c r="C462" s="64">
        <v>14.749624016465733</v>
      </c>
      <c r="D462" s="18">
        <v>0.95151857149939745</v>
      </c>
      <c r="E462" s="18">
        <v>359.03827003803843</v>
      </c>
      <c r="F462" s="17">
        <v>595.21089742667891</v>
      </c>
      <c r="G462" s="19">
        <v>-0.67577751167053846</v>
      </c>
      <c r="I462" s="90" t="s">
        <v>69</v>
      </c>
      <c r="J462" s="91"/>
      <c r="K462" s="96" t="s">
        <v>35</v>
      </c>
      <c r="L462" s="73" t="s">
        <v>36</v>
      </c>
      <c r="M462" s="96" t="s">
        <v>37</v>
      </c>
      <c r="N462" s="98" t="s">
        <v>38</v>
      </c>
      <c r="O462" s="96" t="s">
        <v>72</v>
      </c>
      <c r="R462" s="36"/>
    </row>
    <row r="463" spans="1:19" x14ac:dyDescent="0.25">
      <c r="A463" s="12" t="s">
        <v>27</v>
      </c>
      <c r="B463" s="50">
        <f>K464*R463</f>
        <v>3920</v>
      </c>
      <c r="C463" s="64">
        <v>-69.266395555392805</v>
      </c>
      <c r="D463" s="18">
        <v>32.493129669885199</v>
      </c>
      <c r="E463" s="18">
        <v>-137.19106636912969</v>
      </c>
      <c r="F463" s="18">
        <v>-156.09438695206489</v>
      </c>
      <c r="G463" s="17">
        <v>-23.87034439786995</v>
      </c>
      <c r="I463" s="14" t="s">
        <v>23</v>
      </c>
      <c r="J463" s="41">
        <v>25</v>
      </c>
      <c r="K463" s="97"/>
      <c r="L463" s="40" t="s">
        <v>9</v>
      </c>
      <c r="M463" s="97"/>
      <c r="N463" s="99"/>
      <c r="O463" s="97"/>
      <c r="Q463" s="14" t="s">
        <v>75</v>
      </c>
      <c r="R463" s="21">
        <f>IF(J463=16,201,IF(J463=20,314,IF(J463=25,490,"Err")))</f>
        <v>490</v>
      </c>
      <c r="S463" s="16" t="s">
        <v>25</v>
      </c>
    </row>
    <row r="464" spans="1:19" x14ac:dyDescent="0.25">
      <c r="A464" s="27" t="s">
        <v>28</v>
      </c>
      <c r="B464" s="52">
        <f>phi*B454*(B462^2)*J464*fy*(1-(0.588*J464*fy/fc))/1000000</f>
        <v>642.38962781952</v>
      </c>
      <c r="C464" s="53">
        <v>80.595713451710324</v>
      </c>
      <c r="D464" s="28">
        <v>-39.739096229865197</v>
      </c>
      <c r="E464" s="28">
        <v>-224.74012793659341</v>
      </c>
      <c r="F464" s="28">
        <v>-312.86441502888135</v>
      </c>
      <c r="G464" s="17">
        <v>28.887655744826798</v>
      </c>
      <c r="I464" s="14" t="s">
        <v>40</v>
      </c>
      <c r="J464" s="24">
        <f>MAX(rhoMin,(K464*R463/(B454*B462)))</f>
        <v>1.5357492654260528E-2</v>
      </c>
      <c r="K464" s="15">
        <v>8</v>
      </c>
      <c r="L464" s="21">
        <f>IF(M464&lt;2,(B454-(2*(J454+clrCover))-(K464*J463))/(K464-1),(B454-(2*(J454+clrCover))-(N464*J463))/((N464)-1))</f>
        <v>98.666666666666671</v>
      </c>
      <c r="M464" s="15">
        <v>2</v>
      </c>
      <c r="N464" s="22">
        <f>IF(M464&lt;2,K464,CEILING(K464/2,1))</f>
        <v>4</v>
      </c>
      <c r="O464" s="22">
        <f>K464-N464</f>
        <v>4</v>
      </c>
      <c r="Q464" s="37" t="s">
        <v>74</v>
      </c>
      <c r="R464" s="38">
        <f>rhoMin*B454*B462</f>
        <v>842.32499999999993</v>
      </c>
      <c r="S464" s="22">
        <f>ROUNDUP(R464/R463,0)</f>
        <v>2</v>
      </c>
    </row>
    <row r="465" spans="1:19" x14ac:dyDescent="0.25">
      <c r="A465" s="65" t="s">
        <v>76</v>
      </c>
    </row>
    <row r="466" spans="1:19" x14ac:dyDescent="0.25">
      <c r="A466" s="69" t="s">
        <v>117</v>
      </c>
      <c r="B466" s="11" t="s">
        <v>11</v>
      </c>
      <c r="C466" s="10" t="s">
        <v>12</v>
      </c>
      <c r="D466" s="10" t="s">
        <v>13</v>
      </c>
      <c r="E466" s="10" t="s">
        <v>14</v>
      </c>
      <c r="F466" s="10" t="s">
        <v>15</v>
      </c>
      <c r="G466" s="11" t="s">
        <v>16</v>
      </c>
      <c r="H466" s="6">
        <v>125</v>
      </c>
      <c r="I466" s="90" t="s">
        <v>34</v>
      </c>
      <c r="J466" s="91"/>
      <c r="K466" s="71"/>
    </row>
    <row r="467" spans="1:19" x14ac:dyDescent="0.25">
      <c r="A467" s="12" t="s">
        <v>17</v>
      </c>
      <c r="B467" s="48">
        <v>300</v>
      </c>
      <c r="C467" s="44" t="s">
        <v>18</v>
      </c>
      <c r="D467" s="44" t="s">
        <v>18</v>
      </c>
      <c r="E467" s="44" t="s">
        <v>18</v>
      </c>
      <c r="F467" s="44" t="s">
        <v>19</v>
      </c>
      <c r="G467" s="45" t="s">
        <v>19</v>
      </c>
      <c r="H467" s="6">
        <v>150</v>
      </c>
      <c r="I467" s="14" t="s">
        <v>20</v>
      </c>
      <c r="J467" s="15">
        <v>12</v>
      </c>
      <c r="K467" s="16" t="s">
        <v>9</v>
      </c>
      <c r="L467" s="22" t="s">
        <v>29</v>
      </c>
      <c r="M467" s="22" t="s">
        <v>30</v>
      </c>
      <c r="N467" s="22" t="s">
        <v>31</v>
      </c>
      <c r="O467" s="22" t="s">
        <v>32</v>
      </c>
      <c r="P467" s="3"/>
    </row>
    <row r="468" spans="1:19" x14ac:dyDescent="0.25">
      <c r="A468" s="12" t="s">
        <v>22</v>
      </c>
      <c r="B468" s="48">
        <v>700</v>
      </c>
      <c r="C468" s="17">
        <v>-191.04835307088248</v>
      </c>
      <c r="D468" s="63">
        <v>-3.1140387302433519</v>
      </c>
      <c r="E468" s="63">
        <v>0</v>
      </c>
      <c r="F468" s="63">
        <v>-1.3014613386985729E-11</v>
      </c>
      <c r="G468" s="54">
        <v>0</v>
      </c>
      <c r="H468" s="6">
        <v>175</v>
      </c>
      <c r="I468" s="56"/>
      <c r="J468" s="57"/>
      <c r="K468" s="58"/>
      <c r="L468" s="92" t="s">
        <v>1</v>
      </c>
      <c r="M468" s="93"/>
      <c r="N468" s="22" t="s">
        <v>35</v>
      </c>
      <c r="O468" s="22" t="s">
        <v>9</v>
      </c>
    </row>
    <row r="469" spans="1:19" x14ac:dyDescent="0.25">
      <c r="A469" s="20" t="s">
        <v>24</v>
      </c>
      <c r="B469" s="13"/>
      <c r="C469" s="17">
        <v>243.56185924753774</v>
      </c>
      <c r="D469" s="18">
        <v>0</v>
      </c>
      <c r="E469" s="18">
        <v>2.7344265914055859</v>
      </c>
      <c r="F469" s="18">
        <v>0</v>
      </c>
      <c r="G469" s="19">
        <v>-7.5166052937447604E-12</v>
      </c>
      <c r="H469" s="6">
        <v>200</v>
      </c>
      <c r="I469" s="59" t="s">
        <v>70</v>
      </c>
      <c r="J469" s="60"/>
      <c r="K469" s="61"/>
      <c r="L469" s="25">
        <f>MAX(ABS(E472),ABS(E473))*1000/(B470*B467)</f>
        <v>1.4827610184040543</v>
      </c>
      <c r="M469" s="25">
        <f>L469-phiVc</f>
        <v>0.82025158450895863</v>
      </c>
      <c r="N469" s="26">
        <f>M469*O469*B467/(phiV*fys*0.25*PI()*(J467^2))</f>
        <v>1.0549260141701839</v>
      </c>
      <c r="O469" s="15">
        <v>100</v>
      </c>
    </row>
    <row r="470" spans="1:19" x14ac:dyDescent="0.25">
      <c r="A470" s="12" t="s">
        <v>26</v>
      </c>
      <c r="B470" s="49">
        <f>B468-clrCover-J467-(IF(M474&gt;1,1.5*J473,0.5*J473))</f>
        <v>618</v>
      </c>
      <c r="C470" s="64">
        <v>-5.7630266416624112</v>
      </c>
      <c r="D470" s="17">
        <v>-9.4222251919515614</v>
      </c>
      <c r="E470" s="18">
        <v>97.744845145606803</v>
      </c>
      <c r="F470" s="18">
        <v>-44.310495367765284</v>
      </c>
      <c r="G470" s="19">
        <v>3.6179612080860286</v>
      </c>
      <c r="H470" s="6">
        <v>250</v>
      </c>
      <c r="I470" s="59" t="s">
        <v>71</v>
      </c>
      <c r="J470" s="60"/>
      <c r="K470" s="61"/>
      <c r="L470" s="25">
        <f>MAX(ABS(E472),ABS(E473))*1000/(B475*B467)</f>
        <v>1.436279481776968</v>
      </c>
      <c r="M470" s="25">
        <f>L470-phiVc</f>
        <v>0.77377004788187231</v>
      </c>
      <c r="N470" s="26">
        <f>M470*O470*B467/(phiV*fys*0.25*PI()*(J467^2))</f>
        <v>0.99514608433820217</v>
      </c>
      <c r="O470" s="15">
        <v>100</v>
      </c>
    </row>
    <row r="471" spans="1:19" x14ac:dyDescent="0.25">
      <c r="A471" s="12" t="s">
        <v>27</v>
      </c>
      <c r="B471" s="50">
        <f>K474*R473</f>
        <v>1570</v>
      </c>
      <c r="C471" s="64">
        <v>45.887843693101672</v>
      </c>
      <c r="D471" s="17">
        <v>15.273983212265902</v>
      </c>
      <c r="E471" s="18">
        <v>161.42041620901699</v>
      </c>
      <c r="F471" s="18">
        <v>-50.954176590686998</v>
      </c>
      <c r="G471" s="19">
        <v>-5.7534036033784979</v>
      </c>
      <c r="H471" s="6">
        <v>300</v>
      </c>
    </row>
    <row r="472" spans="1:19" x14ac:dyDescent="0.25">
      <c r="A472" s="12" t="s">
        <v>28</v>
      </c>
      <c r="B472" s="51">
        <f>-phi*B467*(B470^2)*J474*fy*(1-(0.588*J474*fy/fc))/1000000</f>
        <v>-333.91724130720002</v>
      </c>
      <c r="C472" s="64">
        <v>55.042424259913481</v>
      </c>
      <c r="D472" s="18">
        <v>1.7775511607783221</v>
      </c>
      <c r="E472" s="17">
        <v>-88.800205798682228</v>
      </c>
      <c r="F472" s="18">
        <v>3.4605207335040253</v>
      </c>
      <c r="G472" s="19">
        <v>-0.91561998170617731</v>
      </c>
      <c r="I472" s="90" t="s">
        <v>68</v>
      </c>
      <c r="J472" s="91"/>
      <c r="K472" s="94" t="s">
        <v>35</v>
      </c>
      <c r="L472" s="73" t="s">
        <v>36</v>
      </c>
      <c r="M472" s="96" t="s">
        <v>37</v>
      </c>
      <c r="N472" s="98" t="s">
        <v>38</v>
      </c>
      <c r="O472" s="96" t="s">
        <v>72</v>
      </c>
      <c r="Q472" s="34" t="s">
        <v>73</v>
      </c>
    </row>
    <row r="473" spans="1:19" x14ac:dyDescent="0.25">
      <c r="A473" s="23" t="s">
        <v>33</v>
      </c>
      <c r="B473" s="13"/>
      <c r="C473" s="64">
        <v>43.678778301011448</v>
      </c>
      <c r="D473" s="18">
        <v>6.5496759463299705</v>
      </c>
      <c r="E473" s="17">
        <v>274.90389281211162</v>
      </c>
      <c r="F473" s="18">
        <v>-333.95715235503388</v>
      </c>
      <c r="G473" s="19">
        <v>3.5075969893782721</v>
      </c>
      <c r="I473" s="14" t="s">
        <v>23</v>
      </c>
      <c r="J473" s="41">
        <v>20</v>
      </c>
      <c r="K473" s="95"/>
      <c r="L473" s="40" t="s">
        <v>9</v>
      </c>
      <c r="M473" s="97"/>
      <c r="N473" s="99"/>
      <c r="O473" s="97"/>
      <c r="Q473" s="14" t="s">
        <v>75</v>
      </c>
      <c r="R473" s="21">
        <f>IF(J473=16,201,IF(J473=20,314,IF(J473=25,490,"Err")))</f>
        <v>314</v>
      </c>
      <c r="S473" s="16" t="s">
        <v>25</v>
      </c>
    </row>
    <row r="474" spans="1:19" x14ac:dyDescent="0.25">
      <c r="A474" s="20" t="s">
        <v>39</v>
      </c>
      <c r="B474" s="13"/>
      <c r="C474" s="64">
        <v>43.678778301011448</v>
      </c>
      <c r="D474" s="18">
        <v>6.5496759463299705</v>
      </c>
      <c r="E474" s="18">
        <v>274.90389281211162</v>
      </c>
      <c r="F474" s="17">
        <v>-333.95715235503388</v>
      </c>
      <c r="G474" s="19">
        <v>3.5075969893782721</v>
      </c>
      <c r="I474" s="14" t="s">
        <v>40</v>
      </c>
      <c r="J474" s="24">
        <f>MAX(rhoMin,(K474*R473/(B467*B470)))</f>
        <v>8.468176914778856E-3</v>
      </c>
      <c r="K474" s="15">
        <v>5</v>
      </c>
      <c r="L474" s="39">
        <f>IF(M474&lt;2,(B467-(2*(J467+clrCover))-(K474*J473))/(K474-1),(B467-(2*(J467+clrCover))-(N474*J473))/((N474)-1))</f>
        <v>68</v>
      </c>
      <c r="M474" s="15">
        <v>2</v>
      </c>
      <c r="N474" s="22">
        <f>IF(M474&lt;2,K474,CEILING(K474/2,1))</f>
        <v>3</v>
      </c>
      <c r="O474" s="22">
        <f>K474-N474</f>
        <v>2</v>
      </c>
      <c r="Q474" s="37" t="s">
        <v>74</v>
      </c>
      <c r="R474" s="38">
        <f>rhoMin*B467*B470</f>
        <v>611.82000000000005</v>
      </c>
      <c r="S474" s="22">
        <f>ROUNDUP(R474/R473,0)</f>
        <v>2</v>
      </c>
    </row>
    <row r="475" spans="1:19" x14ac:dyDescent="0.25">
      <c r="A475" s="12" t="s">
        <v>26</v>
      </c>
      <c r="B475" s="49">
        <f>B468-clrCover-J467-(IF(M477&gt;1,1.5*J476,0.5*J476))</f>
        <v>638</v>
      </c>
      <c r="C475" s="64">
        <v>58.347817148297814</v>
      </c>
      <c r="D475" s="18">
        <v>4.3739965626017261</v>
      </c>
      <c r="E475" s="18">
        <v>62.461416516502169</v>
      </c>
      <c r="F475" s="17">
        <v>252.64379776888495</v>
      </c>
      <c r="G475" s="19">
        <v>-2.1803991769993809</v>
      </c>
      <c r="I475" s="90" t="s">
        <v>69</v>
      </c>
      <c r="J475" s="91"/>
      <c r="K475" s="96" t="s">
        <v>35</v>
      </c>
      <c r="L475" s="73" t="s">
        <v>36</v>
      </c>
      <c r="M475" s="96" t="s">
        <v>37</v>
      </c>
      <c r="N475" s="98" t="s">
        <v>38</v>
      </c>
      <c r="O475" s="96" t="s">
        <v>72</v>
      </c>
      <c r="R475" s="36"/>
    </row>
    <row r="476" spans="1:19" x14ac:dyDescent="0.25">
      <c r="A476" s="12" t="s">
        <v>27</v>
      </c>
      <c r="B476" s="50">
        <f>K477*R476</f>
        <v>1256</v>
      </c>
      <c r="C476" s="64">
        <v>45.887843693101672</v>
      </c>
      <c r="D476" s="18">
        <v>15.273983212265902</v>
      </c>
      <c r="E476" s="18">
        <v>161.42041620901699</v>
      </c>
      <c r="F476" s="18">
        <v>-50.954176590686998</v>
      </c>
      <c r="G476" s="17">
        <v>-5.7534036033784979</v>
      </c>
      <c r="I476" s="14" t="s">
        <v>23</v>
      </c>
      <c r="J476" s="41">
        <v>20</v>
      </c>
      <c r="K476" s="97"/>
      <c r="L476" s="40" t="s">
        <v>9</v>
      </c>
      <c r="M476" s="97"/>
      <c r="N476" s="99"/>
      <c r="O476" s="97"/>
      <c r="Q476" s="14" t="s">
        <v>75</v>
      </c>
      <c r="R476" s="21">
        <f>IF(J476=16,201,IF(J476=20,314,IF(J476=25,490,"Err")))</f>
        <v>314</v>
      </c>
      <c r="S476" s="16" t="s">
        <v>25</v>
      </c>
    </row>
    <row r="477" spans="1:19" x14ac:dyDescent="0.25">
      <c r="A477" s="27" t="s">
        <v>28</v>
      </c>
      <c r="B477" s="52">
        <f>phi*B467*(B475^2)*J477*fy*(1-(0.588*J477*fy/fc))/1000000</f>
        <v>280.90976659660799</v>
      </c>
      <c r="C477" s="53">
        <v>45.887843693101672</v>
      </c>
      <c r="D477" s="28">
        <v>15.273983212265902</v>
      </c>
      <c r="E477" s="28">
        <v>166.78184042912264</v>
      </c>
      <c r="F477" s="28">
        <v>-198.84391704009329</v>
      </c>
      <c r="G477" s="17">
        <v>8.011677941329534</v>
      </c>
      <c r="I477" s="14" t="s">
        <v>40</v>
      </c>
      <c r="J477" s="24">
        <f>MAX(rhoMin,(K477*R476/(B467*B475)))</f>
        <v>6.562173458725183E-3</v>
      </c>
      <c r="K477" s="15">
        <v>4</v>
      </c>
      <c r="L477" s="21">
        <f>IF(M477&lt;2,(B467-(2*(J467+clrCover))-(K477*J476))/(K477-1),(B467-(2*(J467+clrCover))-(N477*J476))/((N477)-1))</f>
        <v>38.666666666666664</v>
      </c>
      <c r="M477" s="15">
        <v>1</v>
      </c>
      <c r="N477" s="22">
        <f>IF(M477&lt;2,K477,CEILING(K477/2,1))</f>
        <v>4</v>
      </c>
      <c r="O477" s="22">
        <f>K477-N477</f>
        <v>0</v>
      </c>
      <c r="Q477" s="37" t="s">
        <v>74</v>
      </c>
      <c r="R477" s="38">
        <f>rhoMin*B467*B475</f>
        <v>631.62</v>
      </c>
      <c r="S477" s="22">
        <f>ROUNDUP(R477/R476,0)</f>
        <v>3</v>
      </c>
    </row>
    <row r="478" spans="1:19" x14ac:dyDescent="0.25">
      <c r="A478" s="65" t="s">
        <v>76</v>
      </c>
    </row>
    <row r="479" spans="1:19" x14ac:dyDescent="0.25">
      <c r="A479" s="69" t="s">
        <v>118</v>
      </c>
      <c r="B479" s="11" t="s">
        <v>11</v>
      </c>
      <c r="C479" s="10" t="s">
        <v>12</v>
      </c>
      <c r="D479" s="10" t="s">
        <v>13</v>
      </c>
      <c r="E479" s="10" t="s">
        <v>14</v>
      </c>
      <c r="F479" s="10" t="s">
        <v>15</v>
      </c>
      <c r="G479" s="11" t="s">
        <v>16</v>
      </c>
      <c r="H479" s="6">
        <v>125</v>
      </c>
      <c r="I479" s="90" t="s">
        <v>34</v>
      </c>
      <c r="J479" s="91"/>
      <c r="K479" s="71"/>
    </row>
    <row r="480" spans="1:19" x14ac:dyDescent="0.25">
      <c r="A480" s="12" t="s">
        <v>17</v>
      </c>
      <c r="B480" s="48">
        <v>250</v>
      </c>
      <c r="C480" s="44" t="s">
        <v>18</v>
      </c>
      <c r="D480" s="44" t="s">
        <v>18</v>
      </c>
      <c r="E480" s="44" t="s">
        <v>18</v>
      </c>
      <c r="F480" s="44" t="s">
        <v>19</v>
      </c>
      <c r="G480" s="45" t="s">
        <v>19</v>
      </c>
      <c r="H480" s="6">
        <v>150</v>
      </c>
      <c r="I480" s="14" t="s">
        <v>20</v>
      </c>
      <c r="J480" s="15">
        <v>12</v>
      </c>
      <c r="K480" s="16" t="s">
        <v>9</v>
      </c>
      <c r="L480" s="22" t="s">
        <v>29</v>
      </c>
      <c r="M480" s="22" t="s">
        <v>30</v>
      </c>
      <c r="N480" s="22" t="s">
        <v>31</v>
      </c>
      <c r="O480" s="22" t="s">
        <v>32</v>
      </c>
      <c r="P480" s="3"/>
    </row>
    <row r="481" spans="1:19" x14ac:dyDescent="0.25">
      <c r="A481" s="12" t="s">
        <v>22</v>
      </c>
      <c r="B481" s="48">
        <v>500</v>
      </c>
      <c r="C481" s="17">
        <v>-47.5561377024355</v>
      </c>
      <c r="D481" s="63">
        <v>0.3546912621609416</v>
      </c>
      <c r="E481" s="63">
        <v>0</v>
      </c>
      <c r="F481" s="63">
        <v>-30.992332228358556</v>
      </c>
      <c r="G481" s="54">
        <v>0</v>
      </c>
      <c r="H481" s="6">
        <v>175</v>
      </c>
      <c r="I481" s="56"/>
      <c r="J481" s="57"/>
      <c r="K481" s="58"/>
      <c r="L481" s="92" t="s">
        <v>1</v>
      </c>
      <c r="M481" s="93"/>
      <c r="N481" s="22" t="s">
        <v>35</v>
      </c>
      <c r="O481" s="22" t="s">
        <v>9</v>
      </c>
    </row>
    <row r="482" spans="1:19" x14ac:dyDescent="0.25">
      <c r="A482" s="20" t="s">
        <v>24</v>
      </c>
      <c r="B482" s="13"/>
      <c r="C482" s="17">
        <v>93.769829213028132</v>
      </c>
      <c r="D482" s="18">
        <v>0</v>
      </c>
      <c r="E482" s="18">
        <v>-12.849771373981316</v>
      </c>
      <c r="F482" s="18">
        <v>0</v>
      </c>
      <c r="G482" s="19">
        <v>-0.46214026192302876</v>
      </c>
      <c r="H482" s="6">
        <v>200</v>
      </c>
      <c r="I482" s="59" t="s">
        <v>70</v>
      </c>
      <c r="J482" s="60"/>
      <c r="K482" s="61"/>
      <c r="L482" s="25">
        <f>MAX(ABS(E485),ABS(E486))*1000/(B483*B480)</f>
        <v>0.90588955793110815</v>
      </c>
      <c r="M482" s="25">
        <f>L482-phiVc</f>
        <v>0.2433801240360125</v>
      </c>
      <c r="N482" s="26">
        <f>M482*O482*B480/(phiV*fys*0.25*PI()*(J480^2))</f>
        <v>0.26084275953299657</v>
      </c>
      <c r="O482" s="15">
        <v>100</v>
      </c>
    </row>
    <row r="483" spans="1:19" x14ac:dyDescent="0.25">
      <c r="A483" s="12" t="s">
        <v>26</v>
      </c>
      <c r="B483" s="49">
        <f>B481-clrCover-J480-(IF(M487&gt;1,1.5*J486,0.5*J486))</f>
        <v>438</v>
      </c>
      <c r="C483" s="64">
        <v>44.715981866434902</v>
      </c>
      <c r="D483" s="17">
        <v>-1.9492847215027336</v>
      </c>
      <c r="E483" s="18">
        <v>11.895357962767674</v>
      </c>
      <c r="F483" s="18">
        <v>32.678958079739772</v>
      </c>
      <c r="G483" s="19">
        <v>0.78151878069968961</v>
      </c>
      <c r="H483" s="6">
        <v>250</v>
      </c>
      <c r="I483" s="59" t="s">
        <v>71</v>
      </c>
      <c r="J483" s="60"/>
      <c r="K483" s="61"/>
      <c r="L483" s="25">
        <f>MAX(ABS(E485),ABS(E486))*1000/(B488*B480)</f>
        <v>0.90588955793110815</v>
      </c>
      <c r="M483" s="25">
        <f>L483-phiVc</f>
        <v>0.2433801240360125</v>
      </c>
      <c r="N483" s="26">
        <f>M483*O483*B480/(phiV*fys*0.25*PI()*(J480^2))</f>
        <v>0.26084275953299657</v>
      </c>
      <c r="O483" s="15">
        <v>100</v>
      </c>
    </row>
    <row r="484" spans="1:19" x14ac:dyDescent="0.25">
      <c r="A484" s="12" t="s">
        <v>27</v>
      </c>
      <c r="B484" s="50">
        <f>K487*R486</f>
        <v>942</v>
      </c>
      <c r="C484" s="64">
        <v>38.336688456206495</v>
      </c>
      <c r="D484" s="17">
        <v>7.978299526274462</v>
      </c>
      <c r="E484" s="18">
        <v>2.120118591629641</v>
      </c>
      <c r="F484" s="18">
        <v>26.245244431859931</v>
      </c>
      <c r="G484" s="19">
        <v>-3.2984686309713855</v>
      </c>
      <c r="H484" s="6">
        <v>300</v>
      </c>
    </row>
    <row r="485" spans="1:19" x14ac:dyDescent="0.25">
      <c r="A485" s="12" t="s">
        <v>28</v>
      </c>
      <c r="B485" s="51">
        <f>-phi*B480*(B483^2)*J487*fy*(1-(0.588*J487*fy/fc))/1000000</f>
        <v>-141.80936341271044</v>
      </c>
      <c r="C485" s="64">
        <v>47.452723579736158</v>
      </c>
      <c r="D485" s="18">
        <v>4.7586709564235923</v>
      </c>
      <c r="E485" s="17">
        <v>-83.278755436272093</v>
      </c>
      <c r="F485" s="18">
        <v>-129.58312798286155</v>
      </c>
      <c r="G485" s="19">
        <v>-2.6217831393656881</v>
      </c>
      <c r="I485" s="90" t="s">
        <v>68</v>
      </c>
      <c r="J485" s="91"/>
      <c r="K485" s="94" t="s">
        <v>35</v>
      </c>
      <c r="L485" s="73" t="s">
        <v>36</v>
      </c>
      <c r="M485" s="96" t="s">
        <v>37</v>
      </c>
      <c r="N485" s="98" t="s">
        <v>38</v>
      </c>
      <c r="O485" s="96" t="s">
        <v>72</v>
      </c>
      <c r="Q485" s="34" t="s">
        <v>73</v>
      </c>
    </row>
    <row r="486" spans="1:19" x14ac:dyDescent="0.25">
      <c r="A486" s="23" t="s">
        <v>33</v>
      </c>
      <c r="B486" s="13"/>
      <c r="C486" s="64">
        <v>-5.0709068803028563</v>
      </c>
      <c r="D486" s="18">
        <v>4.3977967900300043E-2</v>
      </c>
      <c r="E486" s="17">
        <v>99.194906593456338</v>
      </c>
      <c r="F486" s="18">
        <v>-84.773346546391508</v>
      </c>
      <c r="G486" s="19">
        <v>4.0489669269072222E-2</v>
      </c>
      <c r="I486" s="14" t="s">
        <v>23</v>
      </c>
      <c r="J486" s="41">
        <v>20</v>
      </c>
      <c r="K486" s="95"/>
      <c r="L486" s="40" t="s">
        <v>9</v>
      </c>
      <c r="M486" s="97"/>
      <c r="N486" s="99"/>
      <c r="O486" s="97"/>
      <c r="Q486" s="14" t="s">
        <v>75</v>
      </c>
      <c r="R486" s="21">
        <f>IF(J486=16,201,IF(J486=20,314,IF(J486=25,490,"Err")))</f>
        <v>314</v>
      </c>
      <c r="S486" s="16" t="s">
        <v>25</v>
      </c>
    </row>
    <row r="487" spans="1:19" x14ac:dyDescent="0.25">
      <c r="A487" s="20" t="s">
        <v>39</v>
      </c>
      <c r="B487" s="13"/>
      <c r="C487" s="64">
        <v>36.162748529545993</v>
      </c>
      <c r="D487" s="18">
        <v>2.2905964461335868</v>
      </c>
      <c r="E487" s="18">
        <v>87.233171157474686</v>
      </c>
      <c r="F487" s="17">
        <v>-132.59570040923413</v>
      </c>
      <c r="G487" s="19">
        <v>1.2981816123886063</v>
      </c>
      <c r="I487" s="14" t="s">
        <v>40</v>
      </c>
      <c r="J487" s="24">
        <f>MAX(rhoMin,(K487*R486/(B480*B483)))</f>
        <v>8.6027397260273978E-3</v>
      </c>
      <c r="K487" s="15">
        <v>3</v>
      </c>
      <c r="L487" s="39">
        <f>IF(M487&lt;2,(B480-(2*(J480+clrCover))-(K487*J486))/(K487-1),(B480-(2*(J480+clrCover))-(N487*J486))/((N487)-1))</f>
        <v>43</v>
      </c>
      <c r="M487" s="15">
        <v>1</v>
      </c>
      <c r="N487" s="22">
        <f>IF(M487&lt;2,K487,CEILING(K487/2,1))</f>
        <v>3</v>
      </c>
      <c r="O487" s="22">
        <f>K487-N487</f>
        <v>0</v>
      </c>
      <c r="Q487" s="37" t="s">
        <v>74</v>
      </c>
      <c r="R487" s="38">
        <f>rhoMin*B480*B483</f>
        <v>361.34999999999997</v>
      </c>
      <c r="S487" s="22">
        <f>ROUNDUP(R487/R486,0)</f>
        <v>2</v>
      </c>
    </row>
    <row r="488" spans="1:19" x14ac:dyDescent="0.25">
      <c r="A488" s="12" t="s">
        <v>26</v>
      </c>
      <c r="B488" s="49">
        <f>B481-clrCover-J480-(IF(M490&gt;1,1.5*J489,0.5*J489))</f>
        <v>438</v>
      </c>
      <c r="C488" s="64">
        <v>19.084097339713377</v>
      </c>
      <c r="D488" s="18">
        <v>2.0257159714983946</v>
      </c>
      <c r="E488" s="18">
        <v>-8.8216920006951547</v>
      </c>
      <c r="F488" s="17">
        <v>97.955006946466781</v>
      </c>
      <c r="G488" s="19">
        <v>1.0685647489958752</v>
      </c>
      <c r="I488" s="90" t="s">
        <v>69</v>
      </c>
      <c r="J488" s="91"/>
      <c r="K488" s="96" t="s">
        <v>35</v>
      </c>
      <c r="L488" s="73" t="s">
        <v>36</v>
      </c>
      <c r="M488" s="96" t="s">
        <v>37</v>
      </c>
      <c r="N488" s="98" t="s">
        <v>38</v>
      </c>
      <c r="O488" s="96" t="s">
        <v>72</v>
      </c>
      <c r="R488" s="36"/>
    </row>
    <row r="489" spans="1:19" x14ac:dyDescent="0.25">
      <c r="A489" s="12" t="s">
        <v>27</v>
      </c>
      <c r="B489" s="50">
        <f>K490*R489</f>
        <v>942</v>
      </c>
      <c r="C489" s="64">
        <v>38.336688456206495</v>
      </c>
      <c r="D489" s="18">
        <v>7.978299526274462</v>
      </c>
      <c r="E489" s="18">
        <v>2.120118591629641</v>
      </c>
      <c r="F489" s="18">
        <v>26.245244431859931</v>
      </c>
      <c r="G489" s="17">
        <v>-3.2984686309713855</v>
      </c>
      <c r="I489" s="14" t="s">
        <v>23</v>
      </c>
      <c r="J489" s="41">
        <v>20</v>
      </c>
      <c r="K489" s="97"/>
      <c r="L489" s="40" t="s">
        <v>9</v>
      </c>
      <c r="M489" s="97"/>
      <c r="N489" s="99"/>
      <c r="O489" s="97"/>
      <c r="Q489" s="14" t="s">
        <v>75</v>
      </c>
      <c r="R489" s="21">
        <f>IF(J489=16,201,IF(J489=20,314,IF(J489=25,490,"Err")))</f>
        <v>314</v>
      </c>
      <c r="S489" s="16" t="s">
        <v>25</v>
      </c>
    </row>
    <row r="490" spans="1:19" x14ac:dyDescent="0.25">
      <c r="A490" s="27" t="s">
        <v>28</v>
      </c>
      <c r="B490" s="52">
        <f>phi*B480*(B488^2)*J490*fy*(1-(0.588*J490*fy/fc))/1000000</f>
        <v>141.80936341271044</v>
      </c>
      <c r="C490" s="53">
        <v>38.336688456206495</v>
      </c>
      <c r="D490" s="28">
        <v>7.978299526274462</v>
      </c>
      <c r="E490" s="28">
        <v>5.3391467105322779</v>
      </c>
      <c r="F490" s="28">
        <v>22.854879728863953</v>
      </c>
      <c r="G490" s="17">
        <v>3.954080784577799</v>
      </c>
      <c r="I490" s="14" t="s">
        <v>40</v>
      </c>
      <c r="J490" s="24">
        <f>MAX(rhoMin,(K490*R489/(B480*B488)))</f>
        <v>8.6027397260273978E-3</v>
      </c>
      <c r="K490" s="15">
        <v>3</v>
      </c>
      <c r="L490" s="21">
        <f>IF(M490&lt;2,(B480-(2*(J480+clrCover))-(K490*J489))/(K490-1),(B480-(2*(J480+clrCover))-(N490*J489))/((N490)-1))</f>
        <v>43</v>
      </c>
      <c r="M490" s="15">
        <v>1</v>
      </c>
      <c r="N490" s="22">
        <f>IF(M490&lt;2,K490,CEILING(K490/2,1))</f>
        <v>3</v>
      </c>
      <c r="O490" s="22">
        <f>K490-N490</f>
        <v>0</v>
      </c>
      <c r="Q490" s="37" t="s">
        <v>74</v>
      </c>
      <c r="R490" s="38">
        <f>rhoMin*B480*B488</f>
        <v>361.34999999999997</v>
      </c>
      <c r="S490" s="22">
        <f>ROUNDUP(R490/R489,0)</f>
        <v>2</v>
      </c>
    </row>
    <row r="491" spans="1:19" x14ac:dyDescent="0.25">
      <c r="A491" s="65" t="s">
        <v>76</v>
      </c>
    </row>
    <row r="492" spans="1:19" x14ac:dyDescent="0.25">
      <c r="A492" s="69" t="s">
        <v>119</v>
      </c>
      <c r="B492" s="11" t="s">
        <v>11</v>
      </c>
      <c r="C492" s="10" t="s">
        <v>12</v>
      </c>
      <c r="D492" s="10" t="s">
        <v>13</v>
      </c>
      <c r="E492" s="10" t="s">
        <v>14</v>
      </c>
      <c r="F492" s="10" t="s">
        <v>15</v>
      </c>
      <c r="G492" s="11" t="s">
        <v>16</v>
      </c>
      <c r="H492" s="6">
        <v>125</v>
      </c>
      <c r="I492" s="90" t="s">
        <v>34</v>
      </c>
      <c r="J492" s="91"/>
      <c r="K492" s="71"/>
    </row>
    <row r="493" spans="1:19" x14ac:dyDescent="0.25">
      <c r="A493" s="12" t="s">
        <v>17</v>
      </c>
      <c r="B493" s="48">
        <v>300</v>
      </c>
      <c r="C493" s="44" t="s">
        <v>18</v>
      </c>
      <c r="D493" s="44" t="s">
        <v>18</v>
      </c>
      <c r="E493" s="44" t="s">
        <v>18</v>
      </c>
      <c r="F493" s="44" t="s">
        <v>19</v>
      </c>
      <c r="G493" s="45" t="s">
        <v>19</v>
      </c>
      <c r="H493" s="6">
        <v>150</v>
      </c>
      <c r="I493" s="14" t="s">
        <v>20</v>
      </c>
      <c r="J493" s="15">
        <v>12</v>
      </c>
      <c r="K493" s="16" t="s">
        <v>9</v>
      </c>
      <c r="L493" s="22" t="s">
        <v>29</v>
      </c>
      <c r="M493" s="22" t="s">
        <v>30</v>
      </c>
      <c r="N493" s="22" t="s">
        <v>31</v>
      </c>
      <c r="O493" s="22" t="s">
        <v>32</v>
      </c>
      <c r="P493" s="3"/>
    </row>
    <row r="494" spans="1:19" x14ac:dyDescent="0.25">
      <c r="A494" s="12" t="s">
        <v>22</v>
      </c>
      <c r="B494" s="48">
        <v>400</v>
      </c>
      <c r="C494" s="17">
        <v>-132.17231731709282</v>
      </c>
      <c r="D494" s="63">
        <v>-7.8359113151616651</v>
      </c>
      <c r="E494" s="63">
        <v>0</v>
      </c>
      <c r="F494" s="63">
        <v>13.755746243458955</v>
      </c>
      <c r="G494" s="54">
        <v>0</v>
      </c>
      <c r="H494" s="6">
        <v>175</v>
      </c>
      <c r="I494" s="56"/>
      <c r="J494" s="57"/>
      <c r="K494" s="58"/>
      <c r="L494" s="92" t="s">
        <v>1</v>
      </c>
      <c r="M494" s="93"/>
      <c r="N494" s="22" t="s">
        <v>35</v>
      </c>
      <c r="O494" s="22" t="s">
        <v>9</v>
      </c>
    </row>
    <row r="495" spans="1:19" x14ac:dyDescent="0.25">
      <c r="A495" s="20" t="s">
        <v>24</v>
      </c>
      <c r="B495" s="13"/>
      <c r="C495" s="17">
        <v>151.76371508121986</v>
      </c>
      <c r="D495" s="18">
        <v>0</v>
      </c>
      <c r="E495" s="18">
        <v>-74.853777280080806</v>
      </c>
      <c r="F495" s="18">
        <v>0</v>
      </c>
      <c r="G495" s="19">
        <v>-2.8448700151154882</v>
      </c>
      <c r="H495" s="6">
        <v>200</v>
      </c>
      <c r="I495" s="59" t="s">
        <v>70</v>
      </c>
      <c r="J495" s="60"/>
      <c r="K495" s="61"/>
      <c r="L495" s="25">
        <f>MAX(ABS(E498),ABS(E499))*1000/(B496*B493)</f>
        <v>1.3865895148638294</v>
      </c>
      <c r="M495" s="25">
        <f>L495-phiVc</f>
        <v>0.72408008096873377</v>
      </c>
      <c r="N495" s="26">
        <f>M495*O495*B493/(phiV*fys*0.25*PI()*(J493^2))</f>
        <v>0.93123979054992945</v>
      </c>
      <c r="O495" s="15">
        <v>100</v>
      </c>
    </row>
    <row r="496" spans="1:19" x14ac:dyDescent="0.25">
      <c r="A496" s="12" t="s">
        <v>26</v>
      </c>
      <c r="B496" s="49">
        <f>B494-clrCover-J493-(IF(M500&gt;1,1.5*J499,0.5*J499))</f>
        <v>318</v>
      </c>
      <c r="C496" s="64">
        <v>-7.1446625614191959</v>
      </c>
      <c r="D496" s="17">
        <v>-8.5100970132503146</v>
      </c>
      <c r="E496" s="18">
        <v>-14.163426065104332</v>
      </c>
      <c r="F496" s="18">
        <v>2.8750896984439791</v>
      </c>
      <c r="G496" s="19">
        <v>1.3996658858294624</v>
      </c>
      <c r="H496" s="6">
        <v>250</v>
      </c>
      <c r="I496" s="59" t="s">
        <v>71</v>
      </c>
      <c r="J496" s="60"/>
      <c r="K496" s="61"/>
      <c r="L496" s="25">
        <f>MAX(ABS(E498),ABS(E499))*1000/(B501*B493)</f>
        <v>1.3045427980079816</v>
      </c>
      <c r="M496" s="25">
        <f>L496-phiVc</f>
        <v>0.64203336411288592</v>
      </c>
      <c r="N496" s="26">
        <f>M496*O496*B493/(phiV*fys*0.25*PI()*(J493^2))</f>
        <v>0.82571946285644016</v>
      </c>
      <c r="O496" s="15">
        <v>100</v>
      </c>
    </row>
    <row r="497" spans="1:19" x14ac:dyDescent="0.25">
      <c r="A497" s="12" t="s">
        <v>27</v>
      </c>
      <c r="B497" s="50">
        <f>K500*R499</f>
        <v>1570</v>
      </c>
      <c r="C497" s="64">
        <v>111.73507688613817</v>
      </c>
      <c r="D497" s="17">
        <v>15.770827074722359</v>
      </c>
      <c r="E497" s="18">
        <v>-108.31654594115152</v>
      </c>
      <c r="F497" s="18">
        <v>-86.227726082349932</v>
      </c>
      <c r="G497" s="19">
        <v>-9.9153268250941977</v>
      </c>
      <c r="H497" s="6">
        <v>300</v>
      </c>
    </row>
    <row r="498" spans="1:19" x14ac:dyDescent="0.25">
      <c r="A498" s="12" t="s">
        <v>28</v>
      </c>
      <c r="B498" s="51">
        <f>-phi*B493*(B496^2)*J500*fy*(1-(0.588*J500*fy/fc))/1000000</f>
        <v>-158.42264130720002</v>
      </c>
      <c r="C498" s="64">
        <v>111.73507688613817</v>
      </c>
      <c r="D498" s="18">
        <v>15.770827074722359</v>
      </c>
      <c r="E498" s="17">
        <v>-108.31654594115152</v>
      </c>
      <c r="F498" s="18">
        <v>-86.227726082349932</v>
      </c>
      <c r="G498" s="19">
        <v>-9.9153268250941977</v>
      </c>
      <c r="I498" s="90" t="s">
        <v>68</v>
      </c>
      <c r="J498" s="91"/>
      <c r="K498" s="94" t="s">
        <v>35</v>
      </c>
      <c r="L498" s="74" t="s">
        <v>36</v>
      </c>
      <c r="M498" s="96" t="s">
        <v>37</v>
      </c>
      <c r="N498" s="98" t="s">
        <v>38</v>
      </c>
      <c r="O498" s="96" t="s">
        <v>72</v>
      </c>
      <c r="Q498" s="34" t="s">
        <v>73</v>
      </c>
    </row>
    <row r="499" spans="1:19" x14ac:dyDescent="0.25">
      <c r="A499" s="23" t="s">
        <v>33</v>
      </c>
      <c r="B499" s="13"/>
      <c r="C499" s="64">
        <v>-30.077771239042036</v>
      </c>
      <c r="D499" s="18">
        <v>3.8675739002633165</v>
      </c>
      <c r="E499" s="17">
        <v>132.28063971800933</v>
      </c>
      <c r="F499" s="18">
        <v>-158.63040541853238</v>
      </c>
      <c r="G499" s="19">
        <v>2.1055441826800028</v>
      </c>
      <c r="I499" s="14" t="s">
        <v>23</v>
      </c>
      <c r="J499" s="41">
        <v>20</v>
      </c>
      <c r="K499" s="95"/>
      <c r="L499" s="40" t="s">
        <v>9</v>
      </c>
      <c r="M499" s="97"/>
      <c r="N499" s="99"/>
      <c r="O499" s="97"/>
      <c r="Q499" s="14" t="s">
        <v>75</v>
      </c>
      <c r="R499" s="21">
        <f>IF(J499=16,201,IF(J499=20,314,IF(J499=25,490,"Err")))</f>
        <v>314</v>
      </c>
      <c r="S499" s="16" t="s">
        <v>25</v>
      </c>
    </row>
    <row r="500" spans="1:19" x14ac:dyDescent="0.25">
      <c r="A500" s="20" t="s">
        <v>39</v>
      </c>
      <c r="B500" s="13"/>
      <c r="C500" s="64">
        <v>-30.077771239042036</v>
      </c>
      <c r="D500" s="18">
        <v>3.8675739002633165</v>
      </c>
      <c r="E500" s="18">
        <v>132.28063971800933</v>
      </c>
      <c r="F500" s="17">
        <v>-158.63040541853238</v>
      </c>
      <c r="G500" s="19">
        <v>2.1055441826800028</v>
      </c>
      <c r="I500" s="14" t="s">
        <v>40</v>
      </c>
      <c r="J500" s="24">
        <f>MAX(rhoMin,(K500*R499/(B493*B496)))</f>
        <v>1.6457023060796647E-2</v>
      </c>
      <c r="K500" s="15">
        <v>5</v>
      </c>
      <c r="L500" s="39">
        <f>IF(M500&lt;2,(B493-(2*(J493+clrCover))-(K500*J499))/(K500-1),(B493-(2*(J493+clrCover))-(N500*J499))/((N500)-1))</f>
        <v>68</v>
      </c>
      <c r="M500" s="15">
        <v>2</v>
      </c>
      <c r="N500" s="22">
        <f>IF(M500&lt;2,K500,CEILING(K500/2,1))</f>
        <v>3</v>
      </c>
      <c r="O500" s="22">
        <f>K500-N500</f>
        <v>2</v>
      </c>
      <c r="Q500" s="37" t="s">
        <v>74</v>
      </c>
      <c r="R500" s="38">
        <f>rhoMin*B493*B496</f>
        <v>314.82</v>
      </c>
      <c r="S500" s="22">
        <f>ROUNDUP(R500/R499,0)</f>
        <v>2</v>
      </c>
    </row>
    <row r="501" spans="1:19" x14ac:dyDescent="0.25">
      <c r="A501" s="12" t="s">
        <v>26</v>
      </c>
      <c r="B501" s="49">
        <f>B494-clrCover-J493-(IF(M503&gt;1,1.5*J502,0.5*J502))</f>
        <v>338</v>
      </c>
      <c r="C501" s="64">
        <v>1.1337026555106973</v>
      </c>
      <c r="D501" s="18">
        <v>1.2815041148909307</v>
      </c>
      <c r="E501" s="18">
        <v>26.541877997768054</v>
      </c>
      <c r="F501" s="17">
        <v>82.802597324164793</v>
      </c>
      <c r="G501" s="19">
        <v>-0.69905489283710776</v>
      </c>
      <c r="I501" s="90" t="s">
        <v>69</v>
      </c>
      <c r="J501" s="91"/>
      <c r="K501" s="96" t="s">
        <v>35</v>
      </c>
      <c r="L501" s="74" t="s">
        <v>36</v>
      </c>
      <c r="M501" s="96" t="s">
        <v>37</v>
      </c>
      <c r="N501" s="98" t="s">
        <v>38</v>
      </c>
      <c r="O501" s="96" t="s">
        <v>72</v>
      </c>
      <c r="R501" s="36"/>
    </row>
    <row r="502" spans="1:19" x14ac:dyDescent="0.25">
      <c r="A502" s="12" t="s">
        <v>27</v>
      </c>
      <c r="B502" s="50">
        <f>K503*R502</f>
        <v>942</v>
      </c>
      <c r="C502" s="64">
        <v>31.764700155135873</v>
      </c>
      <c r="D502" s="18">
        <v>15.558221048754568</v>
      </c>
      <c r="E502" s="18">
        <v>-68.415329186830164</v>
      </c>
      <c r="F502" s="18">
        <v>-50.558776457167845</v>
      </c>
      <c r="G502" s="17">
        <v>-10.097626460741584</v>
      </c>
      <c r="I502" s="14" t="s">
        <v>23</v>
      </c>
      <c r="J502" s="41">
        <v>20</v>
      </c>
      <c r="K502" s="97"/>
      <c r="L502" s="40" t="s">
        <v>9</v>
      </c>
      <c r="M502" s="97"/>
      <c r="N502" s="99"/>
      <c r="O502" s="97"/>
      <c r="Q502" s="14" t="s">
        <v>75</v>
      </c>
      <c r="R502" s="21">
        <f>IF(J502=16,201,IF(J502=20,314,IF(J502=25,490,"Err")))</f>
        <v>314</v>
      </c>
      <c r="S502" s="16" t="s">
        <v>25</v>
      </c>
    </row>
    <row r="503" spans="1:19" x14ac:dyDescent="0.25">
      <c r="A503" s="27" t="s">
        <v>28</v>
      </c>
      <c r="B503" s="52">
        <f>phi*B493*(B501^2)*J503*fy*(1-(0.588*J503*fy/fc))/1000000</f>
        <v>108.69776111059201</v>
      </c>
      <c r="C503" s="53">
        <v>111.73507688613817</v>
      </c>
      <c r="D503" s="28">
        <v>15.770827074722359</v>
      </c>
      <c r="E503" s="28">
        <v>-64.041589222295713</v>
      </c>
      <c r="F503" s="28">
        <v>21.033057767105756</v>
      </c>
      <c r="G503" s="17">
        <v>9.7119637535428769</v>
      </c>
      <c r="I503" s="14" t="s">
        <v>40</v>
      </c>
      <c r="J503" s="24">
        <f>MAX(rhoMin,(K503*R502/(B493*B501)))</f>
        <v>9.2899408284023675E-3</v>
      </c>
      <c r="K503" s="15">
        <v>3</v>
      </c>
      <c r="L503" s="21">
        <f>IF(M503&lt;2,(B493-(2*(J493+clrCover))-(K503*J502))/(K503-1),(B493-(2*(J493+clrCover))-(N503*J502))/((N503)-1))</f>
        <v>68</v>
      </c>
      <c r="M503" s="15">
        <v>1</v>
      </c>
      <c r="N503" s="22">
        <f>IF(M503&lt;2,K503,CEILING(K503/2,1))</f>
        <v>3</v>
      </c>
      <c r="O503" s="22">
        <f>K503-N503</f>
        <v>0</v>
      </c>
      <c r="Q503" s="37" t="s">
        <v>74</v>
      </c>
      <c r="R503" s="38">
        <f>rhoMin*B493*B501</f>
        <v>334.62</v>
      </c>
      <c r="S503" s="22">
        <f>ROUNDUP(R503/R502,0)</f>
        <v>2</v>
      </c>
    </row>
    <row r="504" spans="1:19" x14ac:dyDescent="0.25">
      <c r="A504" s="65" t="s">
        <v>76</v>
      </c>
    </row>
    <row r="505" spans="1:19" x14ac:dyDescent="0.25">
      <c r="A505" s="69" t="s">
        <v>120</v>
      </c>
      <c r="B505" s="11" t="s">
        <v>11</v>
      </c>
      <c r="C505" s="10" t="s">
        <v>12</v>
      </c>
      <c r="D505" s="10" t="s">
        <v>13</v>
      </c>
      <c r="E505" s="10" t="s">
        <v>14</v>
      </c>
      <c r="F505" s="10" t="s">
        <v>15</v>
      </c>
      <c r="G505" s="11" t="s">
        <v>16</v>
      </c>
      <c r="H505" s="6">
        <v>125</v>
      </c>
      <c r="I505" s="90" t="s">
        <v>34</v>
      </c>
      <c r="J505" s="91"/>
      <c r="K505" s="71"/>
    </row>
    <row r="506" spans="1:19" x14ac:dyDescent="0.25">
      <c r="A506" s="12" t="s">
        <v>17</v>
      </c>
      <c r="B506" s="48">
        <v>300</v>
      </c>
      <c r="C506" s="44" t="s">
        <v>18</v>
      </c>
      <c r="D506" s="44" t="s">
        <v>18</v>
      </c>
      <c r="E506" s="44" t="s">
        <v>18</v>
      </c>
      <c r="F506" s="44" t="s">
        <v>19</v>
      </c>
      <c r="G506" s="45" t="s">
        <v>19</v>
      </c>
      <c r="H506" s="6">
        <v>150</v>
      </c>
      <c r="I506" s="14" t="s">
        <v>20</v>
      </c>
      <c r="J506" s="15">
        <v>12</v>
      </c>
      <c r="K506" s="16" t="s">
        <v>9</v>
      </c>
      <c r="L506" s="22" t="s">
        <v>29</v>
      </c>
      <c r="M506" s="22" t="s">
        <v>30</v>
      </c>
      <c r="N506" s="22" t="s">
        <v>31</v>
      </c>
      <c r="O506" s="22" t="s">
        <v>32</v>
      </c>
      <c r="P506" s="3"/>
    </row>
    <row r="507" spans="1:19" x14ac:dyDescent="0.25">
      <c r="A507" s="12" t="s">
        <v>22</v>
      </c>
      <c r="B507" s="48">
        <v>400</v>
      </c>
      <c r="C507" s="17">
        <v>-42.461069278185839</v>
      </c>
      <c r="D507" s="63">
        <v>6.4485877502281932</v>
      </c>
      <c r="E507" s="63">
        <v>0</v>
      </c>
      <c r="F507" s="63">
        <v>-13.193964711660577</v>
      </c>
      <c r="G507" s="54">
        <v>0</v>
      </c>
      <c r="H507" s="6">
        <v>175</v>
      </c>
      <c r="I507" s="56"/>
      <c r="J507" s="57"/>
      <c r="K507" s="58"/>
      <c r="L507" s="92" t="s">
        <v>1</v>
      </c>
      <c r="M507" s="93"/>
      <c r="N507" s="22" t="s">
        <v>35</v>
      </c>
      <c r="O507" s="22" t="s">
        <v>9</v>
      </c>
    </row>
    <row r="508" spans="1:19" x14ac:dyDescent="0.25">
      <c r="A508" s="20" t="s">
        <v>24</v>
      </c>
      <c r="B508" s="13"/>
      <c r="C508" s="17">
        <v>24.246054246654534</v>
      </c>
      <c r="D508" s="18">
        <v>0</v>
      </c>
      <c r="E508" s="18">
        <v>24.384994459503655</v>
      </c>
      <c r="F508" s="18">
        <v>0</v>
      </c>
      <c r="G508" s="19">
        <v>1.3065261632053575</v>
      </c>
      <c r="H508" s="6">
        <v>200</v>
      </c>
      <c r="I508" s="59" t="s">
        <v>70</v>
      </c>
      <c r="J508" s="60"/>
      <c r="K508" s="61"/>
      <c r="L508" s="25">
        <f>MAX(ABS(E511),ABS(E512))*1000/(B509*B506)</f>
        <v>0.51121454693954782</v>
      </c>
      <c r="M508" s="25">
        <f>L508-phiVc</f>
        <v>-0.15129488695554782</v>
      </c>
      <c r="N508" s="26">
        <f>M508*O508*B506/(phiV*fys*0.25*PI()*(J506^2))</f>
        <v>-0.19458043736165617</v>
      </c>
      <c r="O508" s="15">
        <v>100</v>
      </c>
    </row>
    <row r="509" spans="1:19" x14ac:dyDescent="0.25">
      <c r="A509" s="12" t="s">
        <v>26</v>
      </c>
      <c r="B509" s="49">
        <f>B507-clrCover-J506-(IF(M513&gt;1,1.5*J512,0.5*J512))</f>
        <v>338</v>
      </c>
      <c r="C509" s="64">
        <v>24.246054246654534</v>
      </c>
      <c r="D509" s="17">
        <v>-3.0411829002334909</v>
      </c>
      <c r="E509" s="18">
        <v>24.384994459503655</v>
      </c>
      <c r="F509" s="18">
        <v>-15.103928092081516</v>
      </c>
      <c r="G509" s="19">
        <v>1.3065261632053575</v>
      </c>
      <c r="H509" s="6">
        <v>250</v>
      </c>
      <c r="I509" s="59" t="s">
        <v>71</v>
      </c>
      <c r="J509" s="60"/>
      <c r="K509" s="61"/>
      <c r="L509" s="25">
        <f>MAX(ABS(E511),ABS(E512))*1000/(B514*B506)</f>
        <v>0.51121454693954782</v>
      </c>
      <c r="M509" s="25">
        <f>L509-phiVc</f>
        <v>-0.15129488695554782</v>
      </c>
      <c r="N509" s="26">
        <f>M509*O509*B506/(phiV*fys*0.25*PI()*(J506^2))</f>
        <v>-0.19458043736165617</v>
      </c>
      <c r="O509" s="15">
        <v>100</v>
      </c>
    </row>
    <row r="510" spans="1:19" x14ac:dyDescent="0.25">
      <c r="A510" s="12" t="s">
        <v>27</v>
      </c>
      <c r="B510" s="50">
        <f>K513*R512</f>
        <v>628</v>
      </c>
      <c r="C510" s="64">
        <v>-42.461069278185839</v>
      </c>
      <c r="D510" s="17">
        <v>6.4485877502281932</v>
      </c>
      <c r="E510" s="18">
        <v>24.819062994450423</v>
      </c>
      <c r="F510" s="18">
        <v>-13.193964711660577</v>
      </c>
      <c r="G510" s="19">
        <v>-2.9220121579930964</v>
      </c>
      <c r="H510" s="6">
        <v>300</v>
      </c>
    </row>
    <row r="511" spans="1:19" x14ac:dyDescent="0.25">
      <c r="A511" s="12" t="s">
        <v>28</v>
      </c>
      <c r="B511" s="51">
        <f>-phi*B506*(B509^2)*J513*fy*(1-(0.588*J513*fy/fc))/1000000</f>
        <v>-74.673304849152004</v>
      </c>
      <c r="C511" s="64">
        <v>-15.688429296512393</v>
      </c>
      <c r="D511" s="18">
        <v>-0.51758718399150527</v>
      </c>
      <c r="E511" s="17">
        <v>2.1981598900930379</v>
      </c>
      <c r="F511" s="18">
        <v>-5.1386493952092787</v>
      </c>
      <c r="G511" s="19">
        <v>-1.2386100470111201</v>
      </c>
      <c r="I511" s="90" t="s">
        <v>68</v>
      </c>
      <c r="J511" s="91"/>
      <c r="K511" s="94" t="s">
        <v>35</v>
      </c>
      <c r="L511" s="74" t="s">
        <v>36</v>
      </c>
      <c r="M511" s="96" t="s">
        <v>37</v>
      </c>
      <c r="N511" s="98" t="s">
        <v>38</v>
      </c>
      <c r="O511" s="96" t="s">
        <v>72</v>
      </c>
      <c r="Q511" s="34" t="s">
        <v>73</v>
      </c>
    </row>
    <row r="512" spans="1:19" x14ac:dyDescent="0.25">
      <c r="A512" s="23" t="s">
        <v>33</v>
      </c>
      <c r="B512" s="13"/>
      <c r="C512" s="64">
        <v>-18.604259323611885</v>
      </c>
      <c r="D512" s="18">
        <v>4.2789952284650044</v>
      </c>
      <c r="E512" s="17">
        <v>51.837155059670152</v>
      </c>
      <c r="F512" s="18">
        <v>-72.61745983046643</v>
      </c>
      <c r="G512" s="19">
        <v>2.0864374998671855</v>
      </c>
      <c r="I512" s="14" t="s">
        <v>23</v>
      </c>
      <c r="J512" s="41">
        <v>20</v>
      </c>
      <c r="K512" s="95"/>
      <c r="L512" s="40" t="s">
        <v>9</v>
      </c>
      <c r="M512" s="97"/>
      <c r="N512" s="99"/>
      <c r="O512" s="97"/>
      <c r="Q512" s="14" t="s">
        <v>75</v>
      </c>
      <c r="R512" s="21">
        <f>IF(J512=16,201,IF(J512=20,314,IF(J512=25,490,"Err")))</f>
        <v>314</v>
      </c>
      <c r="S512" s="16" t="s">
        <v>25</v>
      </c>
    </row>
    <row r="513" spans="1:19" x14ac:dyDescent="0.25">
      <c r="A513" s="20" t="s">
        <v>39</v>
      </c>
      <c r="B513" s="13"/>
      <c r="C513" s="64">
        <v>-18.604259323611885</v>
      </c>
      <c r="D513" s="18">
        <v>4.2789952284650044</v>
      </c>
      <c r="E513" s="18">
        <v>51.837155059670152</v>
      </c>
      <c r="F513" s="17">
        <v>-72.61745983046643</v>
      </c>
      <c r="G513" s="19">
        <v>2.0864374998671855</v>
      </c>
      <c r="I513" s="14" t="s">
        <v>40</v>
      </c>
      <c r="J513" s="24">
        <f>MAX(rhoMin,(K513*R512/(B506*B509)))</f>
        <v>6.1932938856015781E-3</v>
      </c>
      <c r="K513" s="15">
        <v>2</v>
      </c>
      <c r="L513" s="39">
        <f>IF(M513&lt;2,(B506-(2*(J506+clrCover))-(K513*J512))/(K513-1),(B506-(2*(J506+clrCover))-(N513*J512))/((N513)-1))</f>
        <v>156</v>
      </c>
      <c r="M513" s="15">
        <v>1</v>
      </c>
      <c r="N513" s="22">
        <f>IF(M513&lt;2,K513,CEILING(K513/2,1))</f>
        <v>2</v>
      </c>
      <c r="O513" s="22">
        <f>K513-N513</f>
        <v>0</v>
      </c>
      <c r="Q513" s="37" t="s">
        <v>74</v>
      </c>
      <c r="R513" s="38">
        <f>rhoMin*B506*B509</f>
        <v>334.62</v>
      </c>
      <c r="S513" s="22">
        <f>ROUNDUP(R513/R512,0)</f>
        <v>2</v>
      </c>
    </row>
    <row r="514" spans="1:19" x14ac:dyDescent="0.25">
      <c r="A514" s="12" t="s">
        <v>26</v>
      </c>
      <c r="B514" s="49">
        <f>B507-clrCover-J506-(IF(M516&gt;1,1.5*J515,0.5*J515))</f>
        <v>338</v>
      </c>
      <c r="C514" s="64">
        <v>11.38393921612426</v>
      </c>
      <c r="D514" s="18">
        <v>-0.64296772728270457</v>
      </c>
      <c r="E514" s="18">
        <v>2.648058521963689</v>
      </c>
      <c r="F514" s="17">
        <v>-4.7061787379412037</v>
      </c>
      <c r="G514" s="19">
        <v>0.32987008870521173</v>
      </c>
      <c r="I514" s="90" t="s">
        <v>69</v>
      </c>
      <c r="J514" s="91"/>
      <c r="K514" s="96" t="s">
        <v>35</v>
      </c>
      <c r="L514" s="74" t="s">
        <v>36</v>
      </c>
      <c r="M514" s="96" t="s">
        <v>37</v>
      </c>
      <c r="N514" s="98" t="s">
        <v>38</v>
      </c>
      <c r="O514" s="96" t="s">
        <v>72</v>
      </c>
      <c r="R514" s="36"/>
    </row>
    <row r="515" spans="1:19" x14ac:dyDescent="0.25">
      <c r="A515" s="12" t="s">
        <v>27</v>
      </c>
      <c r="B515" s="50">
        <f>K516*R515</f>
        <v>628</v>
      </c>
      <c r="C515" s="64">
        <v>-42.461069278185839</v>
      </c>
      <c r="D515" s="18">
        <v>6.4485877502281932</v>
      </c>
      <c r="E515" s="18">
        <v>24.819062994450423</v>
      </c>
      <c r="F515" s="18">
        <v>-13.193964711660577</v>
      </c>
      <c r="G515" s="17">
        <v>-2.9220121579930964</v>
      </c>
      <c r="I515" s="14" t="s">
        <v>23</v>
      </c>
      <c r="J515" s="41">
        <v>20</v>
      </c>
      <c r="K515" s="97"/>
      <c r="L515" s="40" t="s">
        <v>9</v>
      </c>
      <c r="M515" s="97"/>
      <c r="N515" s="99"/>
      <c r="O515" s="97"/>
      <c r="Q515" s="14" t="s">
        <v>75</v>
      </c>
      <c r="R515" s="21">
        <f>IF(J515=16,201,IF(J515=20,314,IF(J515=25,490,"Err")))</f>
        <v>314</v>
      </c>
      <c r="S515" s="16" t="s">
        <v>25</v>
      </c>
    </row>
    <row r="516" spans="1:19" x14ac:dyDescent="0.25">
      <c r="A516" s="27" t="s">
        <v>28</v>
      </c>
      <c r="B516" s="52">
        <f>phi*B506*(B514^2)*J516*fy*(1-(0.588*J516*fy/fc))/1000000</f>
        <v>74.673304849152004</v>
      </c>
      <c r="C516" s="53">
        <v>-42.461069278185839</v>
      </c>
      <c r="D516" s="28">
        <v>6.4485877502281932</v>
      </c>
      <c r="E516" s="28">
        <v>28.070078032599234</v>
      </c>
      <c r="F516" s="28">
        <v>-38.483441990232954</v>
      </c>
      <c r="G516" s="17">
        <v>3.2449026461202677</v>
      </c>
      <c r="I516" s="14" t="s">
        <v>40</v>
      </c>
      <c r="J516" s="24">
        <f>MAX(rhoMin,(K516*R515/(B506*B514)))</f>
        <v>6.1932938856015781E-3</v>
      </c>
      <c r="K516" s="15">
        <v>2</v>
      </c>
      <c r="L516" s="21">
        <f>IF(M516&lt;2,(B506-(2*(J506+clrCover))-(K516*J515))/(K516-1),(B506-(2*(J506+clrCover))-(N516*J515))/((N516)-1))</f>
        <v>156</v>
      </c>
      <c r="M516" s="15">
        <v>1</v>
      </c>
      <c r="N516" s="22">
        <f>IF(M516&lt;2,K516,CEILING(K516/2,1))</f>
        <v>2</v>
      </c>
      <c r="O516" s="22">
        <f>K516-N516</f>
        <v>0</v>
      </c>
      <c r="Q516" s="37" t="s">
        <v>74</v>
      </c>
      <c r="R516" s="38">
        <f>rhoMin*B506*B514</f>
        <v>334.62</v>
      </c>
      <c r="S516" s="22">
        <f>ROUNDUP(R516/R515,0)</f>
        <v>2</v>
      </c>
    </row>
    <row r="517" spans="1:19" x14ac:dyDescent="0.25">
      <c r="A517" s="65" t="s">
        <v>76</v>
      </c>
    </row>
    <row r="518" spans="1:19" x14ac:dyDescent="0.25">
      <c r="A518" s="69" t="s">
        <v>121</v>
      </c>
      <c r="B518" s="11" t="s">
        <v>11</v>
      </c>
      <c r="C518" s="10" t="s">
        <v>12</v>
      </c>
      <c r="D518" s="10" t="s">
        <v>13</v>
      </c>
      <c r="E518" s="10" t="s">
        <v>14</v>
      </c>
      <c r="F518" s="10" t="s">
        <v>15</v>
      </c>
      <c r="G518" s="11" t="s">
        <v>16</v>
      </c>
      <c r="H518" s="6">
        <v>125</v>
      </c>
      <c r="I518" s="90" t="s">
        <v>34</v>
      </c>
      <c r="J518" s="91"/>
      <c r="K518" s="71"/>
    </row>
    <row r="519" spans="1:19" x14ac:dyDescent="0.25">
      <c r="A519" s="12" t="s">
        <v>17</v>
      </c>
      <c r="B519" s="48">
        <v>300</v>
      </c>
      <c r="C519" s="44" t="s">
        <v>18</v>
      </c>
      <c r="D519" s="44" t="s">
        <v>18</v>
      </c>
      <c r="E519" s="44" t="s">
        <v>18</v>
      </c>
      <c r="F519" s="44" t="s">
        <v>19</v>
      </c>
      <c r="G519" s="45" t="s">
        <v>19</v>
      </c>
      <c r="H519" s="6">
        <v>150</v>
      </c>
      <c r="I519" s="14" t="s">
        <v>20</v>
      </c>
      <c r="J519" s="15">
        <v>12</v>
      </c>
      <c r="K519" s="16" t="s">
        <v>9</v>
      </c>
      <c r="L519" s="22" t="s">
        <v>29</v>
      </c>
      <c r="M519" s="22" t="s">
        <v>30</v>
      </c>
      <c r="N519" s="22" t="s">
        <v>31</v>
      </c>
      <c r="O519" s="22" t="s">
        <v>32</v>
      </c>
      <c r="P519" s="3"/>
    </row>
    <row r="520" spans="1:19" x14ac:dyDescent="0.25">
      <c r="A520" s="12" t="s">
        <v>22</v>
      </c>
      <c r="B520" s="48">
        <v>500</v>
      </c>
      <c r="C520" s="17">
        <v>-546.72804015933161</v>
      </c>
      <c r="D520" s="63">
        <v>-7.972109578846133E-2</v>
      </c>
      <c r="E520" s="63">
        <v>0</v>
      </c>
      <c r="F520" s="63">
        <v>-102.77571260263936</v>
      </c>
      <c r="G520" s="54">
        <v>0</v>
      </c>
      <c r="H520" s="6">
        <v>175</v>
      </c>
      <c r="I520" s="56"/>
      <c r="J520" s="57"/>
      <c r="K520" s="58"/>
      <c r="L520" s="92" t="s">
        <v>1</v>
      </c>
      <c r="M520" s="93"/>
      <c r="N520" s="22" t="s">
        <v>35</v>
      </c>
      <c r="O520" s="22" t="s">
        <v>9</v>
      </c>
    </row>
    <row r="521" spans="1:19" x14ac:dyDescent="0.25">
      <c r="A521" s="20" t="s">
        <v>24</v>
      </c>
      <c r="B521" s="13"/>
      <c r="C521" s="17">
        <v>543.23072893315782</v>
      </c>
      <c r="D521" s="18">
        <v>0</v>
      </c>
      <c r="E521" s="18">
        <v>107.87525598904882</v>
      </c>
      <c r="F521" s="18">
        <v>0</v>
      </c>
      <c r="G521" s="19">
        <v>-0.17196526757320788</v>
      </c>
      <c r="H521" s="6">
        <v>200</v>
      </c>
      <c r="I521" s="59" t="s">
        <v>70</v>
      </c>
      <c r="J521" s="60"/>
      <c r="K521" s="61"/>
      <c r="L521" s="25">
        <f>MAX(ABS(E524),ABS(E525))*1000/(B522*B519)</f>
        <v>1.4562214736604531</v>
      </c>
      <c r="M521" s="25">
        <f>L521-phiVc</f>
        <v>0.79371203976535742</v>
      </c>
      <c r="N521" s="26">
        <f>M521*O521*B519/(phiV*fys*0.25*PI()*(J519^2))</f>
        <v>1.0207934910723848</v>
      </c>
      <c r="O521" s="15">
        <v>100</v>
      </c>
    </row>
    <row r="522" spans="1:19" x14ac:dyDescent="0.25">
      <c r="A522" s="12" t="s">
        <v>26</v>
      </c>
      <c r="B522" s="49">
        <f>B520-clrCover-J519-(IF(M526&gt;1,1.5*J525,0.5*J525))</f>
        <v>418</v>
      </c>
      <c r="C522" s="64">
        <v>-5.689252091942075</v>
      </c>
      <c r="D522" s="17">
        <v>-31.846707542245909</v>
      </c>
      <c r="E522" s="18">
        <v>62.449070343450209</v>
      </c>
      <c r="F522" s="18">
        <v>14.602379007480689</v>
      </c>
      <c r="G522" s="19">
        <v>11.540844435370577</v>
      </c>
      <c r="H522" s="6">
        <v>250</v>
      </c>
      <c r="I522" s="59" t="s">
        <v>71</v>
      </c>
      <c r="J522" s="60"/>
      <c r="K522" s="61"/>
      <c r="L522" s="25">
        <f>MAX(ABS(E524),ABS(E525))*1000/(B527*B519)</f>
        <v>1.4562214736604531</v>
      </c>
      <c r="M522" s="25">
        <f>L522-phiVc</f>
        <v>0.79371203976535742</v>
      </c>
      <c r="N522" s="26">
        <f>M522*O522*B519/(phiV*fys*0.25*PI()*(J519^2))</f>
        <v>1.0207934910723848</v>
      </c>
      <c r="O522" s="15">
        <v>100</v>
      </c>
    </row>
    <row r="523" spans="1:19" x14ac:dyDescent="0.25">
      <c r="A523" s="12" t="s">
        <v>27</v>
      </c>
      <c r="B523" s="50">
        <f>K526*R525</f>
        <v>2198</v>
      </c>
      <c r="C523" s="64">
        <v>50.187563719400764</v>
      </c>
      <c r="D523" s="17">
        <v>48.911197322305846</v>
      </c>
      <c r="E523" s="18">
        <v>119.43421412445359</v>
      </c>
      <c r="F523" s="18">
        <v>25.039863106796645</v>
      </c>
      <c r="G523" s="19">
        <v>-14.519739906482696</v>
      </c>
      <c r="H523" s="6">
        <v>300</v>
      </c>
    </row>
    <row r="524" spans="1:19" x14ac:dyDescent="0.25">
      <c r="A524" s="12" t="s">
        <v>28</v>
      </c>
      <c r="B524" s="51">
        <f>-phi*B519*(B522^2)*J526*fy*(1-(0.588*J526*fy/fc))/1000000</f>
        <v>-288.23226240211199</v>
      </c>
      <c r="C524" s="64">
        <v>-487.6896801210188</v>
      </c>
      <c r="D524" s="18">
        <v>-4.0496281300412367</v>
      </c>
      <c r="E524" s="17">
        <v>-182.61017279702082</v>
      </c>
      <c r="F524" s="18">
        <v>-286.21828513200512</v>
      </c>
      <c r="G524" s="19">
        <v>5.0033160022292886</v>
      </c>
      <c r="I524" s="90" t="s">
        <v>68</v>
      </c>
      <c r="J524" s="91"/>
      <c r="K524" s="94" t="s">
        <v>35</v>
      </c>
      <c r="L524" s="74" t="s">
        <v>36</v>
      </c>
      <c r="M524" s="96" t="s">
        <v>37</v>
      </c>
      <c r="N524" s="98" t="s">
        <v>38</v>
      </c>
      <c r="O524" s="96" t="s">
        <v>72</v>
      </c>
      <c r="Q524" s="34" t="s">
        <v>73</v>
      </c>
    </row>
    <row r="525" spans="1:19" x14ac:dyDescent="0.25">
      <c r="A525" s="23" t="s">
        <v>33</v>
      </c>
      <c r="B525" s="13"/>
      <c r="C525" s="64">
        <v>478.41806916165712</v>
      </c>
      <c r="D525" s="18">
        <v>4.1536100923154118</v>
      </c>
      <c r="E525" s="17">
        <v>162.96154791166759</v>
      </c>
      <c r="F525" s="18">
        <v>129.68889391547299</v>
      </c>
      <c r="G525" s="19">
        <v>-0.93860247622702397</v>
      </c>
      <c r="I525" s="14" t="s">
        <v>23</v>
      </c>
      <c r="J525" s="41">
        <v>20</v>
      </c>
      <c r="K525" s="95"/>
      <c r="L525" s="40" t="s">
        <v>9</v>
      </c>
      <c r="M525" s="97"/>
      <c r="N525" s="99"/>
      <c r="O525" s="97"/>
      <c r="Q525" s="14" t="s">
        <v>75</v>
      </c>
      <c r="R525" s="21">
        <f>IF(J525=16,201,IF(J525=20,314,IF(J525=25,490,"Err")))</f>
        <v>314</v>
      </c>
      <c r="S525" s="16" t="s">
        <v>25</v>
      </c>
    </row>
    <row r="526" spans="1:19" x14ac:dyDescent="0.25">
      <c r="A526" s="20" t="s">
        <v>39</v>
      </c>
      <c r="B526" s="13"/>
      <c r="C526" s="64">
        <v>-485.24272136815625</v>
      </c>
      <c r="D526" s="18">
        <v>-4.0636053460418875</v>
      </c>
      <c r="E526" s="18">
        <v>-178.10325749243509</v>
      </c>
      <c r="F526" s="17">
        <v>-286.65603007318759</v>
      </c>
      <c r="G526" s="19">
        <v>5.0139091640361748</v>
      </c>
      <c r="I526" s="14" t="s">
        <v>40</v>
      </c>
      <c r="J526" s="24">
        <f>MAX(rhoMin,(K526*R525/(B519*B522)))</f>
        <v>1.7527910685805424E-2</v>
      </c>
      <c r="K526" s="15">
        <v>7</v>
      </c>
      <c r="L526" s="39">
        <f>IF(M526&lt;2,(B519-(2*(J519+clrCover))-(K526*J525))/(K526-1),(B519-(2*(J519+clrCover))-(N526*J525))/((N526)-1))</f>
        <v>38.666666666666664</v>
      </c>
      <c r="M526" s="15">
        <v>2</v>
      </c>
      <c r="N526" s="22">
        <f>IF(M526&lt;2,K526,CEILING(K526/2,1))</f>
        <v>4</v>
      </c>
      <c r="O526" s="22">
        <f>K526-N526</f>
        <v>3</v>
      </c>
      <c r="Q526" s="37" t="s">
        <v>74</v>
      </c>
      <c r="R526" s="38">
        <f>rhoMin*B519*B522</f>
        <v>413.82</v>
      </c>
      <c r="S526" s="22">
        <f>ROUNDUP(R526/R525,0)</f>
        <v>2</v>
      </c>
    </row>
    <row r="527" spans="1:19" x14ac:dyDescent="0.25">
      <c r="A527" s="12" t="s">
        <v>26</v>
      </c>
      <c r="B527" s="49">
        <f>B520-clrCover-J519-(IF(M529&gt;1,1.5*J528,0.5*J528))</f>
        <v>418</v>
      </c>
      <c r="C527" s="64">
        <v>478.418069161657</v>
      </c>
      <c r="D527" s="18">
        <v>4.1536100923154118</v>
      </c>
      <c r="E527" s="18">
        <v>142.70738185518422</v>
      </c>
      <c r="F527" s="17">
        <v>283.77699914916371</v>
      </c>
      <c r="G527" s="19">
        <v>-5.1262829807034995</v>
      </c>
      <c r="I527" s="90" t="s">
        <v>69</v>
      </c>
      <c r="J527" s="91"/>
      <c r="K527" s="96" t="s">
        <v>35</v>
      </c>
      <c r="L527" s="74" t="s">
        <v>36</v>
      </c>
      <c r="M527" s="96" t="s">
        <v>37</v>
      </c>
      <c r="N527" s="98" t="s">
        <v>38</v>
      </c>
      <c r="O527" s="96" t="s">
        <v>72</v>
      </c>
      <c r="R527" s="36"/>
    </row>
    <row r="528" spans="1:19" x14ac:dyDescent="0.25">
      <c r="A528" s="12" t="s">
        <v>27</v>
      </c>
      <c r="B528" s="50">
        <f>K529*R528</f>
        <v>2198</v>
      </c>
      <c r="C528" s="64">
        <v>-201.14777371637493</v>
      </c>
      <c r="D528" s="18">
        <v>-14.55175852317447</v>
      </c>
      <c r="E528" s="18">
        <v>-19.590502502103494</v>
      </c>
      <c r="F528" s="18">
        <v>27.009170605848862</v>
      </c>
      <c r="G528" s="17">
        <v>-18.040849741772721</v>
      </c>
      <c r="I528" s="14" t="s">
        <v>23</v>
      </c>
      <c r="J528" s="41">
        <v>20</v>
      </c>
      <c r="K528" s="97"/>
      <c r="L528" s="40" t="s">
        <v>9</v>
      </c>
      <c r="M528" s="97"/>
      <c r="N528" s="99"/>
      <c r="O528" s="97"/>
      <c r="Q528" s="14" t="s">
        <v>75</v>
      </c>
      <c r="R528" s="21">
        <f>IF(J528=16,201,IF(J528=20,314,IF(J528=25,490,"Err")))</f>
        <v>314</v>
      </c>
      <c r="S528" s="16" t="s">
        <v>25</v>
      </c>
    </row>
    <row r="529" spans="1:19" x14ac:dyDescent="0.25">
      <c r="A529" s="27" t="s">
        <v>28</v>
      </c>
      <c r="B529" s="52">
        <f>phi*B519*(B527^2)*J529*fy*(1-(0.588*J529*fy/fc))/1000000</f>
        <v>288.23226240211199</v>
      </c>
      <c r="C529" s="53">
        <v>50.187563719400764</v>
      </c>
      <c r="D529" s="28">
        <v>48.911197322305846</v>
      </c>
      <c r="E529" s="28">
        <v>128.72293742104625</v>
      </c>
      <c r="F529" s="28">
        <v>-48.4858297452298</v>
      </c>
      <c r="G529" s="17">
        <v>14.463746154247216</v>
      </c>
      <c r="I529" s="14" t="s">
        <v>40</v>
      </c>
      <c r="J529" s="24">
        <f>MAX(rhoMin,(K529*R528/(B519*B527)))</f>
        <v>1.7527910685805424E-2</v>
      </c>
      <c r="K529" s="15">
        <v>7</v>
      </c>
      <c r="L529" s="21">
        <f>IF(M529&lt;2,(B519-(2*(J519+clrCover))-(K529*J528))/(K529-1),(B519-(2*(J519+clrCover))-(N529*J528))/((N529)-1))</f>
        <v>38.666666666666664</v>
      </c>
      <c r="M529" s="15">
        <v>2</v>
      </c>
      <c r="N529" s="22">
        <f>IF(M529&lt;2,K529,CEILING(K529/2,1))</f>
        <v>4</v>
      </c>
      <c r="O529" s="22">
        <f>K529-N529</f>
        <v>3</v>
      </c>
      <c r="Q529" s="37" t="s">
        <v>74</v>
      </c>
      <c r="R529" s="38">
        <f>rhoMin*B519*B527</f>
        <v>413.82</v>
      </c>
      <c r="S529" s="22">
        <f>ROUNDUP(R529/R528,0)</f>
        <v>2</v>
      </c>
    </row>
    <row r="530" spans="1:19" x14ac:dyDescent="0.25">
      <c r="A530" s="65" t="s">
        <v>76</v>
      </c>
    </row>
    <row r="531" spans="1:19" x14ac:dyDescent="0.25">
      <c r="A531" s="69" t="s">
        <v>122</v>
      </c>
      <c r="B531" s="11" t="s">
        <v>11</v>
      </c>
      <c r="C531" s="10" t="s">
        <v>12</v>
      </c>
      <c r="D531" s="10" t="s">
        <v>13</v>
      </c>
      <c r="E531" s="10" t="s">
        <v>14</v>
      </c>
      <c r="F531" s="10" t="s">
        <v>15</v>
      </c>
      <c r="G531" s="11" t="s">
        <v>16</v>
      </c>
      <c r="H531" s="6">
        <v>125</v>
      </c>
      <c r="I531" s="90" t="s">
        <v>34</v>
      </c>
      <c r="J531" s="91"/>
      <c r="K531" s="71"/>
    </row>
    <row r="532" spans="1:19" x14ac:dyDescent="0.25">
      <c r="A532" s="12" t="s">
        <v>17</v>
      </c>
      <c r="B532" s="48">
        <v>300</v>
      </c>
      <c r="C532" s="44" t="s">
        <v>18</v>
      </c>
      <c r="D532" s="44" t="s">
        <v>18</v>
      </c>
      <c r="E532" s="44" t="s">
        <v>18</v>
      </c>
      <c r="F532" s="44" t="s">
        <v>19</v>
      </c>
      <c r="G532" s="45" t="s">
        <v>19</v>
      </c>
      <c r="H532" s="6">
        <v>150</v>
      </c>
      <c r="I532" s="14" t="s">
        <v>20</v>
      </c>
      <c r="J532" s="15">
        <v>12</v>
      </c>
      <c r="K532" s="16" t="s">
        <v>9</v>
      </c>
      <c r="L532" s="22" t="s">
        <v>29</v>
      </c>
      <c r="M532" s="22" t="s">
        <v>30</v>
      </c>
      <c r="N532" s="22" t="s">
        <v>31</v>
      </c>
      <c r="O532" s="22" t="s">
        <v>32</v>
      </c>
      <c r="P532" s="3"/>
    </row>
    <row r="533" spans="1:19" x14ac:dyDescent="0.25">
      <c r="A533" s="12" t="s">
        <v>22</v>
      </c>
      <c r="B533" s="48">
        <v>500</v>
      </c>
      <c r="C533" s="17">
        <v>-380.67272161653915</v>
      </c>
      <c r="D533" s="63">
        <v>5.9238271246123961</v>
      </c>
      <c r="E533" s="63">
        <v>0</v>
      </c>
      <c r="F533" s="63">
        <v>-35.704088500852485</v>
      </c>
      <c r="G533" s="54">
        <v>0</v>
      </c>
      <c r="H533" s="6">
        <v>175</v>
      </c>
      <c r="I533" s="56"/>
      <c r="J533" s="57"/>
      <c r="K533" s="58"/>
      <c r="L533" s="92" t="s">
        <v>1</v>
      </c>
      <c r="M533" s="93"/>
      <c r="N533" s="22" t="s">
        <v>35</v>
      </c>
      <c r="O533" s="22" t="s">
        <v>9</v>
      </c>
    </row>
    <row r="534" spans="1:19" x14ac:dyDescent="0.25">
      <c r="A534" s="20" t="s">
        <v>24</v>
      </c>
      <c r="B534" s="13"/>
      <c r="C534" s="17">
        <v>283.87169831334324</v>
      </c>
      <c r="D534" s="18">
        <v>0</v>
      </c>
      <c r="E534" s="18">
        <v>13.330761633530402</v>
      </c>
      <c r="F534" s="18">
        <v>0</v>
      </c>
      <c r="G534" s="19">
        <v>5.067666626899415</v>
      </c>
      <c r="H534" s="6">
        <v>200</v>
      </c>
      <c r="I534" s="59" t="s">
        <v>70</v>
      </c>
      <c r="J534" s="60"/>
      <c r="K534" s="61"/>
      <c r="L534" s="25">
        <f>MAX(ABS(E537),ABS(E538))*1000/(B535*B532)</f>
        <v>1.3204197360622607</v>
      </c>
      <c r="M534" s="25">
        <f>L534-phiVc</f>
        <v>0.65791030216716506</v>
      </c>
      <c r="N534" s="26">
        <f>M534*O534*B532/(phiV*fys*0.25*PI()*(J532^2))</f>
        <v>0.84613880162413591</v>
      </c>
      <c r="O534" s="15">
        <v>100</v>
      </c>
    </row>
    <row r="535" spans="1:19" x14ac:dyDescent="0.25">
      <c r="A535" s="12" t="s">
        <v>26</v>
      </c>
      <c r="B535" s="49">
        <f>B533-clrCover-J532-(IF(M539&gt;1,1.5*J538,0.5*J538))</f>
        <v>418</v>
      </c>
      <c r="C535" s="64">
        <v>-210.89379554444011</v>
      </c>
      <c r="D535" s="17">
        <v>-19.244118518327646</v>
      </c>
      <c r="E535" s="18">
        <v>-4.8136488535999007</v>
      </c>
      <c r="F535" s="18">
        <v>17.464015867015462</v>
      </c>
      <c r="G535" s="19">
        <v>-6.5289307180948404</v>
      </c>
      <c r="H535" s="6">
        <v>250</v>
      </c>
      <c r="I535" s="59" t="s">
        <v>71</v>
      </c>
      <c r="J535" s="60"/>
      <c r="K535" s="61"/>
      <c r="L535" s="25">
        <f>MAX(ABS(E537),ABS(E538))*1000/(B540*B532)</f>
        <v>1.3204197360622607</v>
      </c>
      <c r="M535" s="25">
        <f>L535-phiVc</f>
        <v>0.65791030216716506</v>
      </c>
      <c r="N535" s="26">
        <f>M535*O535*B532/(phiV*fys*0.25*PI()*(J532^2))</f>
        <v>0.84613880162413591</v>
      </c>
      <c r="O535" s="15">
        <v>100</v>
      </c>
    </row>
    <row r="536" spans="1:19" x14ac:dyDescent="0.25">
      <c r="A536" s="12" t="s">
        <v>27</v>
      </c>
      <c r="B536" s="50">
        <f>K539*R538</f>
        <v>1570</v>
      </c>
      <c r="C536" s="64">
        <v>74.269180134687957</v>
      </c>
      <c r="D536" s="17">
        <v>13.344874493986355</v>
      </c>
      <c r="E536" s="18">
        <v>0.15822847865657946</v>
      </c>
      <c r="F536" s="18">
        <v>16.857053527315092</v>
      </c>
      <c r="G536" s="19">
        <v>9.3300631076110623</v>
      </c>
      <c r="H536" s="6">
        <v>300</v>
      </c>
    </row>
    <row r="537" spans="1:19" x14ac:dyDescent="0.25">
      <c r="A537" s="12" t="s">
        <v>28</v>
      </c>
      <c r="B537" s="51">
        <f>-phi*B532*(B535^2)*J539*fy*(1-(0.588*J539*fy/fc))/1000000</f>
        <v>-216.92084130720002</v>
      </c>
      <c r="C537" s="64">
        <v>26.794012209894081</v>
      </c>
      <c r="D537" s="18">
        <v>4.9372397248701905</v>
      </c>
      <c r="E537" s="17">
        <v>-165.58063490220749</v>
      </c>
      <c r="F537" s="18">
        <v>-191.92867664442835</v>
      </c>
      <c r="G537" s="19">
        <v>-2.5825516145520839</v>
      </c>
      <c r="I537" s="90" t="s">
        <v>68</v>
      </c>
      <c r="J537" s="91"/>
      <c r="K537" s="94" t="s">
        <v>35</v>
      </c>
      <c r="L537" s="74" t="s">
        <v>36</v>
      </c>
      <c r="M537" s="96" t="s">
        <v>37</v>
      </c>
      <c r="N537" s="98" t="s">
        <v>38</v>
      </c>
      <c r="O537" s="96" t="s">
        <v>72</v>
      </c>
      <c r="Q537" s="34" t="s">
        <v>73</v>
      </c>
    </row>
    <row r="538" spans="1:19" x14ac:dyDescent="0.25">
      <c r="A538" s="23" t="s">
        <v>33</v>
      </c>
      <c r="B538" s="13"/>
      <c r="C538" s="64">
        <v>11.158465221220158</v>
      </c>
      <c r="D538" s="18">
        <v>2.0491743780714256</v>
      </c>
      <c r="E538" s="17">
        <v>97.072153368020579</v>
      </c>
      <c r="F538" s="18">
        <v>-94.862627536521828</v>
      </c>
      <c r="G538" s="19">
        <v>1.0946905070821085</v>
      </c>
      <c r="I538" s="14" t="s">
        <v>23</v>
      </c>
      <c r="J538" s="41">
        <v>20</v>
      </c>
      <c r="K538" s="95"/>
      <c r="L538" s="40" t="s">
        <v>9</v>
      </c>
      <c r="M538" s="97"/>
      <c r="N538" s="99"/>
      <c r="O538" s="97"/>
      <c r="Q538" s="14" t="s">
        <v>75</v>
      </c>
      <c r="R538" s="21">
        <f>IF(J538=16,201,IF(J538=20,314,IF(J538=25,490,"Err")))</f>
        <v>314</v>
      </c>
      <c r="S538" s="16" t="s">
        <v>25</v>
      </c>
    </row>
    <row r="539" spans="1:19" x14ac:dyDescent="0.25">
      <c r="A539" s="20" t="s">
        <v>39</v>
      </c>
      <c r="B539" s="13"/>
      <c r="C539" s="64">
        <v>26.794012209894081</v>
      </c>
      <c r="D539" s="18">
        <v>4.9372397248701905</v>
      </c>
      <c r="E539" s="18">
        <v>-165.58063490220749</v>
      </c>
      <c r="F539" s="17">
        <v>-191.92867664442835</v>
      </c>
      <c r="G539" s="19">
        <v>-2.5825516145520839</v>
      </c>
      <c r="I539" s="14" t="s">
        <v>40</v>
      </c>
      <c r="J539" s="24">
        <f>MAX(rhoMin,(K539*R538/(B532*B535)))</f>
        <v>1.251993620414673E-2</v>
      </c>
      <c r="K539" s="15">
        <v>5</v>
      </c>
      <c r="L539" s="39">
        <f>IF(M539&lt;2,(B532-(2*(J532+clrCover))-(K539*J538))/(K539-1),(B532-(2*(J532+clrCover))-(N539*J538))/((N539)-1))</f>
        <v>68</v>
      </c>
      <c r="M539" s="15">
        <v>2</v>
      </c>
      <c r="N539" s="22">
        <f>IF(M539&lt;2,K539,CEILING(K539/2,1))</f>
        <v>3</v>
      </c>
      <c r="O539" s="22">
        <f>K539-N539</f>
        <v>2</v>
      </c>
      <c r="Q539" s="37" t="s">
        <v>74</v>
      </c>
      <c r="R539" s="38">
        <f>rhoMin*B532*B535</f>
        <v>413.82</v>
      </c>
      <c r="S539" s="22">
        <f>ROUNDUP(R539/R538,0)</f>
        <v>2</v>
      </c>
    </row>
    <row r="540" spans="1:19" x14ac:dyDescent="0.25">
      <c r="A540" s="12" t="s">
        <v>26</v>
      </c>
      <c r="B540" s="49">
        <f>B533-clrCover-J532-(IF(M542&gt;1,1.5*J541,0.5*J541))</f>
        <v>418</v>
      </c>
      <c r="C540" s="64">
        <v>28.055290414820114</v>
      </c>
      <c r="D540" s="18">
        <v>5.4298897704164961</v>
      </c>
      <c r="E540" s="18">
        <v>-49.442127384247577</v>
      </c>
      <c r="F540" s="17">
        <v>188.90577200483662</v>
      </c>
      <c r="G540" s="19">
        <v>2.797626896710304</v>
      </c>
      <c r="I540" s="90" t="s">
        <v>69</v>
      </c>
      <c r="J540" s="91"/>
      <c r="K540" s="96" t="s">
        <v>35</v>
      </c>
      <c r="L540" s="74" t="s">
        <v>36</v>
      </c>
      <c r="M540" s="96" t="s">
        <v>37</v>
      </c>
      <c r="N540" s="98" t="s">
        <v>38</v>
      </c>
      <c r="O540" s="96" t="s">
        <v>72</v>
      </c>
      <c r="R540" s="36"/>
    </row>
    <row r="541" spans="1:19" x14ac:dyDescent="0.25">
      <c r="A541" s="12" t="s">
        <v>27</v>
      </c>
      <c r="B541" s="50">
        <f>K542*R541</f>
        <v>1570</v>
      </c>
      <c r="C541" s="64">
        <v>-210.89379554444011</v>
      </c>
      <c r="D541" s="18">
        <v>-19.244118518327646</v>
      </c>
      <c r="E541" s="18">
        <v>-1.0560620873403317</v>
      </c>
      <c r="F541" s="18">
        <v>20.297534249508427</v>
      </c>
      <c r="G541" s="17">
        <v>-11.259253301607949</v>
      </c>
      <c r="I541" s="14" t="s">
        <v>23</v>
      </c>
      <c r="J541" s="41">
        <v>20</v>
      </c>
      <c r="K541" s="97"/>
      <c r="L541" s="40" t="s">
        <v>9</v>
      </c>
      <c r="M541" s="97"/>
      <c r="N541" s="99"/>
      <c r="O541" s="97"/>
      <c r="Q541" s="14" t="s">
        <v>75</v>
      </c>
      <c r="R541" s="21">
        <f>IF(J541=16,201,IF(J541=20,314,IF(J541=25,490,"Err")))</f>
        <v>314</v>
      </c>
      <c r="S541" s="16" t="s">
        <v>25</v>
      </c>
    </row>
    <row r="542" spans="1:19" x14ac:dyDescent="0.25">
      <c r="A542" s="27" t="s">
        <v>28</v>
      </c>
      <c r="B542" s="52">
        <f>phi*B532*(B540^2)*J542*fy*(1-(0.588*J542*fy/fc))/1000000</f>
        <v>216.92084130720002</v>
      </c>
      <c r="C542" s="53">
        <v>57.676733169711461</v>
      </c>
      <c r="D542" s="28">
        <v>12.622305997049851</v>
      </c>
      <c r="E542" s="28">
        <v>-0.60417334055390237</v>
      </c>
      <c r="F542" s="28">
        <v>19.653256127491154</v>
      </c>
      <c r="G542" s="17">
        <v>9.6751039027540049</v>
      </c>
      <c r="I542" s="14" t="s">
        <v>40</v>
      </c>
      <c r="J542" s="24">
        <f>MAX(rhoMin,(K542*R541/(B532*B540)))</f>
        <v>1.251993620414673E-2</v>
      </c>
      <c r="K542" s="15">
        <v>5</v>
      </c>
      <c r="L542" s="21">
        <f>IF(M542&lt;2,(B532-(2*(J532+clrCover))-(K542*J541))/(K542-1),(B532-(2*(J532+clrCover))-(N542*J541))/((N542)-1))</f>
        <v>68</v>
      </c>
      <c r="M542" s="15">
        <v>2</v>
      </c>
      <c r="N542" s="22">
        <f>IF(M542&lt;2,K542,CEILING(K542/2,1))</f>
        <v>3</v>
      </c>
      <c r="O542" s="22">
        <f>K542-N542</f>
        <v>2</v>
      </c>
      <c r="Q542" s="37" t="s">
        <v>74</v>
      </c>
      <c r="R542" s="38">
        <f>rhoMin*B532*B540</f>
        <v>413.82</v>
      </c>
      <c r="S542" s="22">
        <f>ROUNDUP(R542/R541,0)</f>
        <v>2</v>
      </c>
    </row>
    <row r="543" spans="1:19" x14ac:dyDescent="0.25">
      <c r="A543" s="65" t="s">
        <v>76</v>
      </c>
    </row>
    <row r="544" spans="1:19" x14ac:dyDescent="0.25">
      <c r="A544" s="69" t="s">
        <v>123</v>
      </c>
      <c r="B544" s="11" t="s">
        <v>11</v>
      </c>
      <c r="C544" s="10" t="s">
        <v>12</v>
      </c>
      <c r="D544" s="10" t="s">
        <v>13</v>
      </c>
      <c r="E544" s="10" t="s">
        <v>14</v>
      </c>
      <c r="F544" s="10" t="s">
        <v>15</v>
      </c>
      <c r="G544" s="11" t="s">
        <v>16</v>
      </c>
      <c r="H544" s="6">
        <v>125</v>
      </c>
      <c r="I544" s="90" t="s">
        <v>34</v>
      </c>
      <c r="J544" s="91"/>
      <c r="K544" s="71" t="s">
        <v>124</v>
      </c>
    </row>
    <row r="545" spans="1:19" x14ac:dyDescent="0.25">
      <c r="A545" s="12" t="s">
        <v>17</v>
      </c>
      <c r="B545" s="48">
        <v>350</v>
      </c>
      <c r="C545" s="44" t="s">
        <v>18</v>
      </c>
      <c r="D545" s="44" t="s">
        <v>18</v>
      </c>
      <c r="E545" s="44" t="s">
        <v>18</v>
      </c>
      <c r="F545" s="44" t="s">
        <v>19</v>
      </c>
      <c r="G545" s="45" t="s">
        <v>19</v>
      </c>
      <c r="H545" s="6">
        <v>150</v>
      </c>
      <c r="I545" s="14" t="s">
        <v>20</v>
      </c>
      <c r="J545" s="15">
        <v>12</v>
      </c>
      <c r="K545" s="16" t="s">
        <v>9</v>
      </c>
      <c r="L545" s="22" t="s">
        <v>29</v>
      </c>
      <c r="M545" s="22" t="s">
        <v>30</v>
      </c>
      <c r="N545" s="22" t="s">
        <v>31</v>
      </c>
      <c r="O545" s="22" t="s">
        <v>32</v>
      </c>
      <c r="P545" s="3"/>
    </row>
    <row r="546" spans="1:19" x14ac:dyDescent="0.25">
      <c r="A546" s="12" t="s">
        <v>22</v>
      </c>
      <c r="B546" s="48">
        <v>700</v>
      </c>
      <c r="C546" s="17">
        <v>-41.958677056659013</v>
      </c>
      <c r="D546" s="63">
        <v>-1.0985130122127029</v>
      </c>
      <c r="E546" s="63">
        <v>0</v>
      </c>
      <c r="F546" s="63">
        <v>54.59290184004621</v>
      </c>
      <c r="G546" s="54">
        <v>0</v>
      </c>
      <c r="H546" s="6">
        <v>175</v>
      </c>
      <c r="I546" s="56"/>
      <c r="J546" s="57"/>
      <c r="K546" s="58"/>
      <c r="L546" s="92" t="s">
        <v>1</v>
      </c>
      <c r="M546" s="93"/>
      <c r="N546" s="22" t="s">
        <v>35</v>
      </c>
      <c r="O546" s="22" t="s">
        <v>9</v>
      </c>
    </row>
    <row r="547" spans="1:19" x14ac:dyDescent="0.25">
      <c r="A547" s="20" t="s">
        <v>24</v>
      </c>
      <c r="B547" s="13"/>
      <c r="C547" s="17">
        <v>23.847219032594353</v>
      </c>
      <c r="D547" s="18">
        <v>0</v>
      </c>
      <c r="E547" s="18">
        <v>112.77546603960597</v>
      </c>
      <c r="F547" s="18">
        <v>0</v>
      </c>
      <c r="G547" s="19">
        <v>1.9877196887178981</v>
      </c>
      <c r="H547" s="6">
        <v>200</v>
      </c>
      <c r="I547" s="59" t="s">
        <v>70</v>
      </c>
      <c r="J547" s="60"/>
      <c r="K547" s="61"/>
      <c r="L547" s="25">
        <f>MAX(ABS(E550),ABS(E551))*1000/(B548*B545)</f>
        <v>1.579937059451469</v>
      </c>
      <c r="M547" s="25">
        <f>L547-phiVc</f>
        <v>0.91742762555637336</v>
      </c>
      <c r="N547" s="26">
        <f>M547*O547*B545/(phiV*fys*0.25*PI()*(J545^2))</f>
        <v>1.3765548697030314</v>
      </c>
      <c r="O547" s="15">
        <v>100</v>
      </c>
    </row>
    <row r="548" spans="1:19" x14ac:dyDescent="0.25">
      <c r="A548" s="12" t="s">
        <v>26</v>
      </c>
      <c r="B548" s="49">
        <f>B546-clrCover-J545-(IF(M552&gt;1,1.5*J551,0.5*J551))</f>
        <v>610.5</v>
      </c>
      <c r="C548" s="64">
        <v>-28.956970762984064</v>
      </c>
      <c r="D548" s="17">
        <v>-8.2727228645574851</v>
      </c>
      <c r="E548" s="18">
        <v>175.91315202492828</v>
      </c>
      <c r="F548" s="18">
        <v>-283.44672778106519</v>
      </c>
      <c r="G548" s="19">
        <v>-2.1510816407225586</v>
      </c>
      <c r="H548" s="6">
        <v>250</v>
      </c>
      <c r="I548" s="59" t="s">
        <v>71</v>
      </c>
      <c r="J548" s="60"/>
      <c r="K548" s="61"/>
      <c r="L548" s="25">
        <f>MAX(ABS(E550),ABS(E551))*1000/(B553*B545)</f>
        <v>1.511836324130285</v>
      </c>
      <c r="M548" s="25">
        <f>L548-phiVc</f>
        <v>0.84932689023518937</v>
      </c>
      <c r="N548" s="26">
        <f>M548*O548*B545/(phiV*fys*0.25*PI()*(J545^2))</f>
        <v>1.2743730776735165</v>
      </c>
      <c r="O548" s="15">
        <v>100</v>
      </c>
    </row>
    <row r="549" spans="1:19" x14ac:dyDescent="0.25">
      <c r="A549" s="12" t="s">
        <v>27</v>
      </c>
      <c r="B549" s="50">
        <f>K552*R551</f>
        <v>3920</v>
      </c>
      <c r="C549" s="64">
        <v>-4.19962181935907</v>
      </c>
      <c r="D549" s="17">
        <v>11.601781796502859</v>
      </c>
      <c r="E549" s="18">
        <v>246.29179111101035</v>
      </c>
      <c r="F549" s="18">
        <v>-402.70448578185506</v>
      </c>
      <c r="G549" s="19">
        <v>1.5489229830196456</v>
      </c>
      <c r="H549" s="6">
        <v>300</v>
      </c>
    </row>
    <row r="550" spans="1:19" x14ac:dyDescent="0.25">
      <c r="A550" s="12" t="s">
        <v>28</v>
      </c>
      <c r="B550" s="51">
        <f>-phi*B545*(B548^2)*J552*fy*(1-(0.588*J552*fy/fc))/1000000</f>
        <v>-744.20200431360001</v>
      </c>
      <c r="C550" s="64">
        <v>17.551555188827653</v>
      </c>
      <c r="D550" s="18">
        <v>0.51215967014819508</v>
      </c>
      <c r="E550" s="17">
        <v>55.700573241919813</v>
      </c>
      <c r="F550" s="18">
        <v>31.371445263513838</v>
      </c>
      <c r="G550" s="19">
        <v>-0.90096019528752513</v>
      </c>
      <c r="I550" s="90" t="s">
        <v>68</v>
      </c>
      <c r="J550" s="91"/>
      <c r="K550" s="94" t="s">
        <v>35</v>
      </c>
      <c r="L550" s="74" t="s">
        <v>36</v>
      </c>
      <c r="M550" s="96" t="s">
        <v>37</v>
      </c>
      <c r="N550" s="98" t="s">
        <v>38</v>
      </c>
      <c r="O550" s="96" t="s">
        <v>72</v>
      </c>
      <c r="Q550" s="34" t="s">
        <v>73</v>
      </c>
    </row>
    <row r="551" spans="1:19" x14ac:dyDescent="0.25">
      <c r="A551" s="23" t="s">
        <v>33</v>
      </c>
      <c r="B551" s="13"/>
      <c r="C551" s="64">
        <v>-29.03274312789523</v>
      </c>
      <c r="D551" s="18">
        <v>2.0875348913307263</v>
      </c>
      <c r="E551" s="17">
        <v>337.59305117829268</v>
      </c>
      <c r="F551" s="18">
        <v>-717.8276066975875</v>
      </c>
      <c r="G551" s="19">
        <v>0.73426288741176027</v>
      </c>
      <c r="I551" s="14" t="s">
        <v>23</v>
      </c>
      <c r="J551" s="41">
        <v>25</v>
      </c>
      <c r="K551" s="95"/>
      <c r="L551" s="40" t="s">
        <v>9</v>
      </c>
      <c r="M551" s="97"/>
      <c r="N551" s="99"/>
      <c r="O551" s="97"/>
      <c r="Q551" s="14" t="s">
        <v>75</v>
      </c>
      <c r="R551" s="21">
        <f>IF(J551=16,201,IF(J551=20,314,IF(J551=25,490,"Err")))</f>
        <v>490</v>
      </c>
      <c r="S551" s="16" t="s">
        <v>25</v>
      </c>
    </row>
    <row r="552" spans="1:19" x14ac:dyDescent="0.25">
      <c r="A552" s="20" t="s">
        <v>39</v>
      </c>
      <c r="B552" s="13"/>
      <c r="C552" s="64">
        <v>-29.03274312789523</v>
      </c>
      <c r="D552" s="18">
        <v>2.0875348913307263</v>
      </c>
      <c r="E552" s="18">
        <v>337.59305117829268</v>
      </c>
      <c r="F552" s="17">
        <v>-717.8276066975875</v>
      </c>
      <c r="G552" s="19">
        <v>0.73426288741176027</v>
      </c>
      <c r="I552" s="14" t="s">
        <v>40</v>
      </c>
      <c r="J552" s="24">
        <f>MAX(rhoMin,(K552*R551/(B545*B548)))</f>
        <v>1.8345618345618344E-2</v>
      </c>
      <c r="K552" s="15">
        <v>8</v>
      </c>
      <c r="L552" s="39">
        <f>IF(M552&lt;2,(B545-(2*(J545+clrCover))-(K552*J551))/(K552-1),(B545-(2*(J545+clrCover))-(N552*J551))/((N552)-1))</f>
        <v>48.666666666666664</v>
      </c>
      <c r="M552" s="15">
        <v>2</v>
      </c>
      <c r="N552" s="22">
        <f>IF(M552&lt;2,K552,CEILING(K552/2,1))</f>
        <v>4</v>
      </c>
      <c r="O552" s="22">
        <f>K552-N552</f>
        <v>4</v>
      </c>
      <c r="Q552" s="37" t="s">
        <v>74</v>
      </c>
      <c r="R552" s="38">
        <f>rhoMin*B545*B548</f>
        <v>705.12750000000005</v>
      </c>
      <c r="S552" s="22">
        <f>ROUNDUP(R552/R551,0)</f>
        <v>2</v>
      </c>
    </row>
    <row r="553" spans="1:19" x14ac:dyDescent="0.25">
      <c r="A553" s="12" t="s">
        <v>26</v>
      </c>
      <c r="B553" s="49">
        <f>B546-clrCover-J545-(IF(M555&gt;1,1.5*J554,0.5*J554))</f>
        <v>638</v>
      </c>
      <c r="C553" s="64">
        <v>-10.193149540159384</v>
      </c>
      <c r="D553" s="18">
        <v>-0.50250893923716033</v>
      </c>
      <c r="E553" s="18">
        <v>220.66753295638708</v>
      </c>
      <c r="F553" s="17">
        <v>123.33257348753968</v>
      </c>
      <c r="G553" s="19">
        <v>0.79692466657720296</v>
      </c>
      <c r="I553" s="90" t="s">
        <v>69</v>
      </c>
      <c r="J553" s="91"/>
      <c r="K553" s="96" t="s">
        <v>35</v>
      </c>
      <c r="L553" s="74" t="s">
        <v>36</v>
      </c>
      <c r="M553" s="96" t="s">
        <v>37</v>
      </c>
      <c r="N553" s="98" t="s">
        <v>38</v>
      </c>
      <c r="O553" s="96" t="s">
        <v>72</v>
      </c>
      <c r="R553" s="36"/>
    </row>
    <row r="554" spans="1:19" x14ac:dyDescent="0.25">
      <c r="A554" s="12" t="s">
        <v>27</v>
      </c>
      <c r="B554" s="50">
        <f>K555*R554</f>
        <v>942</v>
      </c>
      <c r="C554" s="64">
        <v>-28.956970762984064</v>
      </c>
      <c r="D554" s="18">
        <v>-8.2727228645574851</v>
      </c>
      <c r="E554" s="18">
        <v>178.21233217928025</v>
      </c>
      <c r="F554" s="18">
        <v>-379.44990446469222</v>
      </c>
      <c r="G554" s="17">
        <v>-2.8060495501723417</v>
      </c>
      <c r="I554" s="14" t="s">
        <v>23</v>
      </c>
      <c r="J554" s="41">
        <v>20</v>
      </c>
      <c r="K554" s="97"/>
      <c r="L554" s="40" t="s">
        <v>9</v>
      </c>
      <c r="M554" s="97"/>
      <c r="N554" s="99"/>
      <c r="O554" s="97"/>
      <c r="Q554" s="14" t="s">
        <v>75</v>
      </c>
      <c r="R554" s="21">
        <f>IF(J554=16,201,IF(J554=20,314,IF(J554=25,490,"Err")))</f>
        <v>314</v>
      </c>
      <c r="S554" s="16" t="s">
        <v>25</v>
      </c>
    </row>
    <row r="555" spans="1:19" x14ac:dyDescent="0.25">
      <c r="A555" s="27" t="s">
        <v>28</v>
      </c>
      <c r="B555" s="52">
        <f>phi*B545*(B553^2)*J555*fy*(1-(0.588*J555*fy/fc))/1000000</f>
        <v>215.41403375193602</v>
      </c>
      <c r="C555" s="53">
        <v>-4.19962181935907</v>
      </c>
      <c r="D555" s="28">
        <v>11.601781796502859</v>
      </c>
      <c r="E555" s="28">
        <v>249.51064332710311</v>
      </c>
      <c r="F555" s="28">
        <v>-536.63332401210221</v>
      </c>
      <c r="G555" s="17">
        <v>4.0051194700927484</v>
      </c>
      <c r="I555" s="14" t="s">
        <v>40</v>
      </c>
      <c r="J555" s="24">
        <f>MAX(rhoMin,(K555*R554/(B545*B553)))</f>
        <v>4.2185400806090461E-3</v>
      </c>
      <c r="K555" s="15">
        <v>3</v>
      </c>
      <c r="L555" s="21">
        <f>IF(M555&lt;2,(B545-(2*(J545+clrCover))-(K555*J554))/(K555-1),(B545-(2*(J545+clrCover))-(N555*J554))/((N555)-1))</f>
        <v>93</v>
      </c>
      <c r="M555" s="15">
        <v>1</v>
      </c>
      <c r="N555" s="22">
        <f>IF(M555&lt;2,K555,CEILING(K555/2,1))</f>
        <v>3</v>
      </c>
      <c r="O555" s="22">
        <f>K555-N555</f>
        <v>0</v>
      </c>
      <c r="Q555" s="37" t="s">
        <v>74</v>
      </c>
      <c r="R555" s="38">
        <f>rhoMin*B545*B553</f>
        <v>736.89</v>
      </c>
      <c r="S555" s="22">
        <f>ROUNDUP(R555/R554,0)</f>
        <v>3</v>
      </c>
    </row>
    <row r="556" spans="1:19" x14ac:dyDescent="0.25">
      <c r="A556" s="65" t="s">
        <v>76</v>
      </c>
    </row>
    <row r="557" spans="1:19" x14ac:dyDescent="0.25">
      <c r="A557" s="69" t="s">
        <v>125</v>
      </c>
      <c r="B557" s="11" t="s">
        <v>11</v>
      </c>
      <c r="C557" s="10" t="s">
        <v>12</v>
      </c>
      <c r="D557" s="10" t="s">
        <v>13</v>
      </c>
      <c r="E557" s="10" t="s">
        <v>14</v>
      </c>
      <c r="F557" s="10" t="s">
        <v>15</v>
      </c>
      <c r="G557" s="11" t="s">
        <v>16</v>
      </c>
      <c r="H557" s="6">
        <v>125</v>
      </c>
      <c r="I557" s="90" t="s">
        <v>34</v>
      </c>
      <c r="J557" s="91"/>
      <c r="K557" s="71"/>
    </row>
    <row r="558" spans="1:19" x14ac:dyDescent="0.25">
      <c r="A558" s="12" t="s">
        <v>17</v>
      </c>
      <c r="B558" s="48">
        <v>250</v>
      </c>
      <c r="C558" s="44" t="s">
        <v>18</v>
      </c>
      <c r="D558" s="44" t="s">
        <v>18</v>
      </c>
      <c r="E558" s="44" t="s">
        <v>18</v>
      </c>
      <c r="F558" s="44" t="s">
        <v>19</v>
      </c>
      <c r="G558" s="45" t="s">
        <v>19</v>
      </c>
      <c r="H558" s="6">
        <v>150</v>
      </c>
      <c r="I558" s="14" t="s">
        <v>20</v>
      </c>
      <c r="J558" s="15">
        <v>12</v>
      </c>
      <c r="K558" s="16" t="s">
        <v>9</v>
      </c>
      <c r="L558" s="22" t="s">
        <v>29</v>
      </c>
      <c r="M558" s="22" t="s">
        <v>30</v>
      </c>
      <c r="N558" s="22" t="s">
        <v>31</v>
      </c>
      <c r="O558" s="22" t="s">
        <v>32</v>
      </c>
      <c r="P558" s="3"/>
    </row>
    <row r="559" spans="1:19" x14ac:dyDescent="0.25">
      <c r="A559" s="12" t="s">
        <v>22</v>
      </c>
      <c r="B559" s="48">
        <v>400</v>
      </c>
      <c r="C559" s="17">
        <v>-68.279513859554328</v>
      </c>
      <c r="D559" s="63">
        <v>1.4185419751758466</v>
      </c>
      <c r="E559" s="63">
        <v>0</v>
      </c>
      <c r="F559" s="63">
        <v>-1.8464738962078266</v>
      </c>
      <c r="G559" s="54">
        <v>0</v>
      </c>
      <c r="H559" s="6">
        <v>175</v>
      </c>
      <c r="I559" s="56"/>
      <c r="J559" s="57"/>
      <c r="K559" s="58"/>
      <c r="L559" s="92" t="s">
        <v>1</v>
      </c>
      <c r="M559" s="93"/>
      <c r="N559" s="22" t="s">
        <v>35</v>
      </c>
      <c r="O559" s="22" t="s">
        <v>9</v>
      </c>
    </row>
    <row r="560" spans="1:19" x14ac:dyDescent="0.25">
      <c r="A560" s="20" t="s">
        <v>24</v>
      </c>
      <c r="B560" s="13"/>
      <c r="C560" s="17">
        <v>66.658461315938013</v>
      </c>
      <c r="D560" s="18">
        <v>0</v>
      </c>
      <c r="E560" s="18">
        <v>-2.8556533977863094</v>
      </c>
      <c r="F560" s="18">
        <v>0</v>
      </c>
      <c r="G560" s="19">
        <v>2.9466791359448807</v>
      </c>
      <c r="H560" s="6">
        <v>200</v>
      </c>
      <c r="I560" s="59" t="s">
        <v>70</v>
      </c>
      <c r="J560" s="60"/>
      <c r="K560" s="61"/>
      <c r="L560" s="25">
        <f>MAX(ABS(E563),ABS(E564))*1000/(B561*B558)</f>
        <v>0.5072217575847533</v>
      </c>
      <c r="M560" s="25">
        <f>L560-phiVc</f>
        <v>-0.15528767631034235</v>
      </c>
      <c r="N560" s="26">
        <f>M560*O560*B558/(phiV*fys*0.25*PI()*(J558^2))</f>
        <v>-0.16642963828986665</v>
      </c>
      <c r="O560" s="15">
        <v>100</v>
      </c>
    </row>
    <row r="561" spans="1:19" x14ac:dyDescent="0.25">
      <c r="A561" s="12" t="s">
        <v>26</v>
      </c>
      <c r="B561" s="49">
        <f>B559-clrCover-J558-(IF(M565&gt;1,1.5*J564,0.5*J564))</f>
        <v>340</v>
      </c>
      <c r="C561" s="64">
        <v>64.407482612731485</v>
      </c>
      <c r="D561" s="17">
        <v>-10.790868214753614</v>
      </c>
      <c r="E561" s="18">
        <v>0.32996058766149688</v>
      </c>
      <c r="F561" s="18">
        <v>7.7124589599655691</v>
      </c>
      <c r="G561" s="19">
        <v>4.3665613008603401</v>
      </c>
      <c r="H561" s="6">
        <v>250</v>
      </c>
      <c r="I561" s="59" t="s">
        <v>71</v>
      </c>
      <c r="J561" s="60"/>
      <c r="K561" s="61"/>
      <c r="L561" s="25">
        <f>MAX(ABS(E563),ABS(E564))*1000/(B566*B558)</f>
        <v>0.5072217575847533</v>
      </c>
      <c r="M561" s="25">
        <f>L561-phiVc</f>
        <v>-0.15528767631034235</v>
      </c>
      <c r="N561" s="26">
        <f>M561*O561*B558/(phiV*fys*0.25*PI()*(J558^2))</f>
        <v>-0.16642963828986665</v>
      </c>
      <c r="O561" s="15">
        <v>100</v>
      </c>
    </row>
    <row r="562" spans="1:19" x14ac:dyDescent="0.25">
      <c r="A562" s="12" t="s">
        <v>27</v>
      </c>
      <c r="B562" s="50">
        <f>K565*R564</f>
        <v>402</v>
      </c>
      <c r="C562" s="64">
        <v>-47.679350436720384</v>
      </c>
      <c r="D562" s="17">
        <v>7.5263195664971212</v>
      </c>
      <c r="E562" s="18">
        <v>-1.4863885104807399</v>
      </c>
      <c r="F562" s="18">
        <v>7.999875642555681</v>
      </c>
      <c r="G562" s="19">
        <v>-3.8224616664500788</v>
      </c>
      <c r="H562" s="6">
        <v>300</v>
      </c>
    </row>
    <row r="563" spans="1:19" x14ac:dyDescent="0.25">
      <c r="A563" s="12" t="s">
        <v>28</v>
      </c>
      <c r="B563" s="51">
        <f>-phi*B558*(B561^2)*J565*fy*(1-(0.588*J565*fy/fc))/1000000</f>
        <v>-48.755422911974399</v>
      </c>
      <c r="C563" s="64">
        <v>-4.6956847002298403</v>
      </c>
      <c r="D563" s="18">
        <v>-2.8852736404417882</v>
      </c>
      <c r="E563" s="17">
        <v>-40.66227708773927</v>
      </c>
      <c r="F563" s="18">
        <v>-14.741084969384854</v>
      </c>
      <c r="G563" s="19">
        <v>1.4074251562697049</v>
      </c>
      <c r="I563" s="90" t="s">
        <v>68</v>
      </c>
      <c r="J563" s="91"/>
      <c r="K563" s="94" t="s">
        <v>35</v>
      </c>
      <c r="L563" s="74" t="s">
        <v>36</v>
      </c>
      <c r="M563" s="96" t="s">
        <v>37</v>
      </c>
      <c r="N563" s="98" t="s">
        <v>38</v>
      </c>
      <c r="O563" s="96" t="s">
        <v>72</v>
      </c>
      <c r="Q563" s="34" t="s">
        <v>73</v>
      </c>
    </row>
    <row r="564" spans="1:19" x14ac:dyDescent="0.25">
      <c r="A564" s="23" t="s">
        <v>33</v>
      </c>
      <c r="B564" s="13"/>
      <c r="C564" s="64">
        <v>8.3836170126879761</v>
      </c>
      <c r="D564" s="18">
        <v>-5.5276129232032432</v>
      </c>
      <c r="E564" s="17">
        <v>43.113849394704026</v>
      </c>
      <c r="F564" s="18">
        <v>-28.211893213226187</v>
      </c>
      <c r="G564" s="19">
        <v>-2.5108957582577389</v>
      </c>
      <c r="I564" s="14" t="s">
        <v>23</v>
      </c>
      <c r="J564" s="41">
        <v>16</v>
      </c>
      <c r="K564" s="95"/>
      <c r="L564" s="40" t="s">
        <v>9</v>
      </c>
      <c r="M564" s="97"/>
      <c r="N564" s="99"/>
      <c r="O564" s="97"/>
      <c r="Q564" s="14" t="s">
        <v>75</v>
      </c>
      <c r="R564" s="21">
        <f>IF(J564=16,201,IF(J564=20,314,IF(J564=25,490,"Err")))</f>
        <v>201</v>
      </c>
      <c r="S564" s="16" t="s">
        <v>25</v>
      </c>
    </row>
    <row r="565" spans="1:19" x14ac:dyDescent="0.25">
      <c r="A565" s="20" t="s">
        <v>39</v>
      </c>
      <c r="B565" s="13"/>
      <c r="C565" s="64">
        <v>8.3836170126879761</v>
      </c>
      <c r="D565" s="18">
        <v>-5.5276129232032432</v>
      </c>
      <c r="E565" s="18">
        <v>43.113849394704026</v>
      </c>
      <c r="F565" s="17">
        <v>-28.211893213226187</v>
      </c>
      <c r="G565" s="19">
        <v>-2.5108957582577389</v>
      </c>
      <c r="I565" s="14" t="s">
        <v>40</v>
      </c>
      <c r="J565" s="24">
        <f>MAX(rhoMin,(K565*R564/(B558*B561)))</f>
        <v>4.7294117647058822E-3</v>
      </c>
      <c r="K565" s="15">
        <v>2</v>
      </c>
      <c r="L565" s="39">
        <f>IF(M565&lt;2,(B558-(2*(J558+clrCover))-(K565*J564))/(K565-1),(B558-(2*(J558+clrCover))-(N565*J564))/((N565)-1))</f>
        <v>114</v>
      </c>
      <c r="M565" s="15">
        <v>1</v>
      </c>
      <c r="N565" s="22">
        <f>IF(M565&lt;2,K565,CEILING(K565/2,1))</f>
        <v>2</v>
      </c>
      <c r="O565" s="22">
        <f>K565-N565</f>
        <v>0</v>
      </c>
      <c r="Q565" s="37" t="s">
        <v>74</v>
      </c>
      <c r="R565" s="38">
        <f>rhoMin*B558*B561</f>
        <v>280.5</v>
      </c>
      <c r="S565" s="22">
        <f>ROUNDUP(R565/R564,0)</f>
        <v>2</v>
      </c>
    </row>
    <row r="566" spans="1:19" x14ac:dyDescent="0.25">
      <c r="A566" s="12" t="s">
        <v>26</v>
      </c>
      <c r="B566" s="49">
        <f>B559-clrCover-J558-(IF(M568&gt;1,1.5*J567,0.5*J567))</f>
        <v>340</v>
      </c>
      <c r="C566" s="64">
        <v>-3.1562988183357423</v>
      </c>
      <c r="D566" s="18">
        <v>-2.776289189971231</v>
      </c>
      <c r="E566" s="18">
        <v>0.26310216168941325</v>
      </c>
      <c r="F566" s="17">
        <v>20.460316899997622</v>
      </c>
      <c r="G566" s="19">
        <v>-1.1236484801691362</v>
      </c>
      <c r="I566" s="90" t="s">
        <v>69</v>
      </c>
      <c r="J566" s="91"/>
      <c r="K566" s="96" t="s">
        <v>35</v>
      </c>
      <c r="L566" s="74" t="s">
        <v>36</v>
      </c>
      <c r="M566" s="96" t="s">
        <v>37</v>
      </c>
      <c r="N566" s="98" t="s">
        <v>38</v>
      </c>
      <c r="O566" s="96" t="s">
        <v>72</v>
      </c>
      <c r="R566" s="36"/>
    </row>
    <row r="567" spans="1:19" x14ac:dyDescent="0.25">
      <c r="A567" s="12" t="s">
        <v>27</v>
      </c>
      <c r="B567" s="50">
        <f>K568*R567</f>
        <v>402</v>
      </c>
      <c r="C567" s="64">
        <v>64.407482612731485</v>
      </c>
      <c r="D567" s="18">
        <v>-10.790868214753614</v>
      </c>
      <c r="E567" s="18">
        <v>16.251737587921568</v>
      </c>
      <c r="F567" s="18">
        <v>0.64312827680581264</v>
      </c>
      <c r="G567" s="17">
        <v>-4.8344523662224823</v>
      </c>
      <c r="I567" s="14" t="s">
        <v>23</v>
      </c>
      <c r="J567" s="41">
        <v>16</v>
      </c>
      <c r="K567" s="97"/>
      <c r="L567" s="40" t="s">
        <v>9</v>
      </c>
      <c r="M567" s="97"/>
      <c r="N567" s="99"/>
      <c r="O567" s="97"/>
      <c r="Q567" s="14" t="s">
        <v>75</v>
      </c>
      <c r="R567" s="21">
        <f>IF(J567=16,201,IF(J567=20,314,IF(J567=25,490,"Err")))</f>
        <v>201</v>
      </c>
      <c r="S567" s="16" t="s">
        <v>25</v>
      </c>
    </row>
    <row r="568" spans="1:19" x14ac:dyDescent="0.25">
      <c r="A568" s="27" t="s">
        <v>28</v>
      </c>
      <c r="B568" s="52">
        <f>phi*B558*(B566^2)*J568*fy*(1-(0.588*J568*fy/fc))/1000000</f>
        <v>48.755422911974399</v>
      </c>
      <c r="C568" s="53">
        <v>48.155461977440275</v>
      </c>
      <c r="D568" s="28">
        <v>-9.995107739420332</v>
      </c>
      <c r="E568" s="28">
        <v>-30.227826457146403</v>
      </c>
      <c r="F568" s="28">
        <v>-18.051152910649495</v>
      </c>
      <c r="G568" s="17">
        <v>4.7177490960573518</v>
      </c>
      <c r="I568" s="14" t="s">
        <v>40</v>
      </c>
      <c r="J568" s="24">
        <f>MAX(rhoMin,(K568*R567/(B558*B566)))</f>
        <v>4.7294117647058822E-3</v>
      </c>
      <c r="K568" s="15">
        <v>2</v>
      </c>
      <c r="L568" s="21">
        <f>IF(M568&lt;2,(B558-(2*(J558+clrCover))-(K568*J567))/(K568-1),(B558-(2*(J558+clrCover))-(N568*J567))/((N568)-1))</f>
        <v>114</v>
      </c>
      <c r="M568" s="15">
        <v>1</v>
      </c>
      <c r="N568" s="22">
        <f>IF(M568&lt;2,K568,CEILING(K568/2,1))</f>
        <v>2</v>
      </c>
      <c r="O568" s="22">
        <f>K568-N568</f>
        <v>0</v>
      </c>
      <c r="Q568" s="37" t="s">
        <v>74</v>
      </c>
      <c r="R568" s="38">
        <f>rhoMin*B558*B566</f>
        <v>280.5</v>
      </c>
      <c r="S568" s="22">
        <f>ROUNDUP(R568/R567,0)</f>
        <v>2</v>
      </c>
    </row>
    <row r="569" spans="1:19" x14ac:dyDescent="0.25">
      <c r="A569" s="65" t="s">
        <v>76</v>
      </c>
    </row>
    <row r="570" spans="1:19" x14ac:dyDescent="0.25">
      <c r="A570" s="69" t="s">
        <v>126</v>
      </c>
      <c r="B570" s="11" t="s">
        <v>11</v>
      </c>
      <c r="C570" s="10" t="s">
        <v>12</v>
      </c>
      <c r="D570" s="10" t="s">
        <v>13</v>
      </c>
      <c r="E570" s="10" t="s">
        <v>14</v>
      </c>
      <c r="F570" s="10" t="s">
        <v>15</v>
      </c>
      <c r="G570" s="11" t="s">
        <v>16</v>
      </c>
      <c r="H570" s="6">
        <v>125</v>
      </c>
      <c r="I570" s="90" t="s">
        <v>34</v>
      </c>
      <c r="J570" s="91"/>
      <c r="K570" s="71"/>
    </row>
    <row r="571" spans="1:19" x14ac:dyDescent="0.25">
      <c r="A571" s="12" t="s">
        <v>17</v>
      </c>
      <c r="B571" s="48">
        <v>300</v>
      </c>
      <c r="C571" s="44" t="s">
        <v>18</v>
      </c>
      <c r="D571" s="44" t="s">
        <v>18</v>
      </c>
      <c r="E571" s="44" t="s">
        <v>18</v>
      </c>
      <c r="F571" s="44" t="s">
        <v>19</v>
      </c>
      <c r="G571" s="45" t="s">
        <v>19</v>
      </c>
      <c r="H571" s="6">
        <v>150</v>
      </c>
      <c r="I571" s="14" t="s">
        <v>20</v>
      </c>
      <c r="J571" s="15">
        <v>12</v>
      </c>
      <c r="K571" s="16" t="s">
        <v>9</v>
      </c>
      <c r="L571" s="22" t="s">
        <v>29</v>
      </c>
      <c r="M571" s="22" t="s">
        <v>30</v>
      </c>
      <c r="N571" s="22" t="s">
        <v>31</v>
      </c>
      <c r="O571" s="22" t="s">
        <v>32</v>
      </c>
      <c r="P571" s="3"/>
    </row>
    <row r="572" spans="1:19" x14ac:dyDescent="0.25">
      <c r="A572" s="12" t="s">
        <v>22</v>
      </c>
      <c r="B572" s="48">
        <v>700</v>
      </c>
      <c r="C572" s="17">
        <v>-191.04835307088248</v>
      </c>
      <c r="D572" s="63">
        <v>-3.1140387302433519</v>
      </c>
      <c r="E572" s="63">
        <v>0</v>
      </c>
      <c r="F572" s="63">
        <v>-1.3014613386985729E-11</v>
      </c>
      <c r="G572" s="54">
        <v>0</v>
      </c>
      <c r="H572" s="6">
        <v>175</v>
      </c>
      <c r="I572" s="56"/>
      <c r="J572" s="57"/>
      <c r="K572" s="58"/>
      <c r="L572" s="92" t="s">
        <v>1</v>
      </c>
      <c r="M572" s="93"/>
      <c r="N572" s="22" t="s">
        <v>35</v>
      </c>
      <c r="O572" s="22" t="s">
        <v>9</v>
      </c>
    </row>
    <row r="573" spans="1:19" x14ac:dyDescent="0.25">
      <c r="A573" s="20" t="s">
        <v>24</v>
      </c>
      <c r="B573" s="13"/>
      <c r="C573" s="17">
        <v>243.56185924753774</v>
      </c>
      <c r="D573" s="18">
        <v>0</v>
      </c>
      <c r="E573" s="18">
        <v>2.7344265914055859</v>
      </c>
      <c r="F573" s="18">
        <v>0</v>
      </c>
      <c r="G573" s="19">
        <v>-7.5166052937447604E-12</v>
      </c>
      <c r="H573" s="6">
        <v>200</v>
      </c>
      <c r="I573" s="59" t="s">
        <v>70</v>
      </c>
      <c r="J573" s="60"/>
      <c r="K573" s="61"/>
      <c r="L573" s="25">
        <f>MAX(ABS(E576),ABS(E577))*1000/(B574*B571)</f>
        <v>0.62482698139467097</v>
      </c>
      <c r="M573" s="25">
        <f>L573-phiVc</f>
        <v>-3.7682452500424679E-2</v>
      </c>
      <c r="N573" s="26">
        <f>M573*O573*B571/(phiV*fys*0.25*PI()*(J571^2))</f>
        <v>-4.8463422895096066E-2</v>
      </c>
      <c r="O573" s="15">
        <v>100</v>
      </c>
    </row>
    <row r="574" spans="1:19" x14ac:dyDescent="0.25">
      <c r="A574" s="12" t="s">
        <v>26</v>
      </c>
      <c r="B574" s="49">
        <f>B572-clrCover-J571-(IF(M578&gt;1,1.5*J577,0.5*J577))</f>
        <v>638</v>
      </c>
      <c r="C574" s="64">
        <v>-39.669375045643029</v>
      </c>
      <c r="D574" s="17">
        <v>-6.2549077148592129</v>
      </c>
      <c r="E574" s="18">
        <v>1.6832054327553405</v>
      </c>
      <c r="F574" s="18">
        <v>31.979063416854022</v>
      </c>
      <c r="G574" s="19">
        <v>2.799574933901543</v>
      </c>
      <c r="H574" s="6">
        <v>250</v>
      </c>
      <c r="I574" s="59" t="s">
        <v>71</v>
      </c>
      <c r="J574" s="60"/>
      <c r="K574" s="61"/>
      <c r="L574" s="25">
        <f>MAX(ABS(E576),ABS(E577))*1000/(B579*B571)</f>
        <v>0.62482698139467097</v>
      </c>
      <c r="M574" s="25">
        <f>L574-phiVc</f>
        <v>-3.7682452500424679E-2</v>
      </c>
      <c r="N574" s="26">
        <f>M574*O574*B571/(phiV*fys*0.25*PI()*(J571^2))</f>
        <v>-4.8463422895096066E-2</v>
      </c>
      <c r="O574" s="15">
        <v>100</v>
      </c>
    </row>
    <row r="575" spans="1:19" x14ac:dyDescent="0.25">
      <c r="A575" s="12" t="s">
        <v>27</v>
      </c>
      <c r="B575" s="50">
        <f>K578*R577</f>
        <v>942</v>
      </c>
      <c r="C575" s="64">
        <v>73.224809356836005</v>
      </c>
      <c r="D575" s="17">
        <v>8.9817117619523117</v>
      </c>
      <c r="E575" s="18">
        <v>21.292937466970038</v>
      </c>
      <c r="F575" s="18">
        <v>92.891802189241886</v>
      </c>
      <c r="G575" s="19">
        <v>-3.9893351248251814</v>
      </c>
      <c r="H575" s="6">
        <v>300</v>
      </c>
    </row>
    <row r="576" spans="1:19" x14ac:dyDescent="0.25">
      <c r="A576" s="12" t="s">
        <v>28</v>
      </c>
      <c r="B576" s="51">
        <f>-phi*B571*(B574^2)*J578*fy*(1-(0.588*J578*fy/fc))/1000000</f>
        <v>-213.99452111059205</v>
      </c>
      <c r="C576" s="64">
        <v>21.020772445889399</v>
      </c>
      <c r="D576" s="18">
        <v>1.3148693573333936</v>
      </c>
      <c r="E576" s="17">
        <v>-113.10605464769755</v>
      </c>
      <c r="F576" s="18">
        <v>65.747570270107474</v>
      </c>
      <c r="G576" s="19">
        <v>-0.74405955460592221</v>
      </c>
      <c r="I576" s="90" t="s">
        <v>68</v>
      </c>
      <c r="J576" s="91"/>
      <c r="K576" s="94" t="s">
        <v>35</v>
      </c>
      <c r="L576" s="74" t="s">
        <v>36</v>
      </c>
      <c r="M576" s="96" t="s">
        <v>37</v>
      </c>
      <c r="N576" s="98" t="s">
        <v>38</v>
      </c>
      <c r="O576" s="96" t="s">
        <v>72</v>
      </c>
      <c r="Q576" s="34" t="s">
        <v>73</v>
      </c>
    </row>
    <row r="577" spans="1:19" x14ac:dyDescent="0.25">
      <c r="A577" s="23" t="s">
        <v>33</v>
      </c>
      <c r="B577" s="13"/>
      <c r="C577" s="64">
        <v>1.2199444449449832</v>
      </c>
      <c r="D577" s="18">
        <v>0.42656345276517887</v>
      </c>
      <c r="E577" s="17">
        <v>119.59188423894003</v>
      </c>
      <c r="F577" s="18">
        <v>-2.3799657355993986E-12</v>
      </c>
      <c r="G577" s="19">
        <v>1.3409362509264609E-14</v>
      </c>
      <c r="I577" s="14" t="s">
        <v>23</v>
      </c>
      <c r="J577" s="41">
        <v>20</v>
      </c>
      <c r="K577" s="95"/>
      <c r="L577" s="40" t="s">
        <v>9</v>
      </c>
      <c r="M577" s="97"/>
      <c r="N577" s="99"/>
      <c r="O577" s="97"/>
      <c r="Q577" s="14" t="s">
        <v>75</v>
      </c>
      <c r="R577" s="21">
        <f>IF(J577=16,201,IF(J577=20,314,IF(J577=25,490,"Err")))</f>
        <v>314</v>
      </c>
      <c r="S577" s="16" t="s">
        <v>25</v>
      </c>
    </row>
    <row r="578" spans="1:19" x14ac:dyDescent="0.25">
      <c r="A578" s="20" t="s">
        <v>39</v>
      </c>
      <c r="B578" s="13"/>
      <c r="C578" s="64">
        <v>50.98895841230491</v>
      </c>
      <c r="D578" s="18">
        <v>1.2063420540734446</v>
      </c>
      <c r="E578" s="18">
        <v>35.649378733187994</v>
      </c>
      <c r="F578" s="17">
        <v>-21.158729469501431</v>
      </c>
      <c r="G578" s="19">
        <v>1.3096246657388824</v>
      </c>
      <c r="I578" s="14" t="s">
        <v>40</v>
      </c>
      <c r="J578" s="24">
        <f>MAX(rhoMin,(K578*R577/(B571*B574)))</f>
        <v>4.921630094043887E-3</v>
      </c>
      <c r="K578" s="15">
        <v>3</v>
      </c>
      <c r="L578" s="39">
        <f>IF(M578&lt;2,(B571-(2*(J571+clrCover))-(K578*J577))/(K578-1),(B571-(2*(J571+clrCover))-(N578*J577))/((N578)-1))</f>
        <v>68</v>
      </c>
      <c r="M578" s="15">
        <v>1</v>
      </c>
      <c r="N578" s="22">
        <f>IF(M578&lt;2,K578,CEILING(K578/2,1))</f>
        <v>3</v>
      </c>
      <c r="O578" s="22">
        <f>K578-N578</f>
        <v>0</v>
      </c>
      <c r="Q578" s="37" t="s">
        <v>74</v>
      </c>
      <c r="R578" s="38">
        <f>rhoMin*B571*B574</f>
        <v>631.62</v>
      </c>
      <c r="S578" s="22">
        <f>ROUNDUP(R578/R577,0)</f>
        <v>3</v>
      </c>
    </row>
    <row r="579" spans="1:19" x14ac:dyDescent="0.25">
      <c r="A579" s="12" t="s">
        <v>26</v>
      </c>
      <c r="B579" s="49">
        <f>B572-clrCover-J571-(IF(M581&gt;1,1.5*J580,0.5*J580))</f>
        <v>638</v>
      </c>
      <c r="C579" s="64">
        <v>10.729440961713374</v>
      </c>
      <c r="D579" s="18">
        <v>0.54630435346816453</v>
      </c>
      <c r="E579" s="18">
        <v>2.018686821463171</v>
      </c>
      <c r="F579" s="17">
        <v>221.20570436865492</v>
      </c>
      <c r="G579" s="19">
        <v>-0.19504930030795706</v>
      </c>
      <c r="I579" s="90" t="s">
        <v>69</v>
      </c>
      <c r="J579" s="91"/>
      <c r="K579" s="96" t="s">
        <v>35</v>
      </c>
      <c r="L579" s="74" t="s">
        <v>36</v>
      </c>
      <c r="M579" s="96" t="s">
        <v>37</v>
      </c>
      <c r="N579" s="98" t="s">
        <v>38</v>
      </c>
      <c r="O579" s="96" t="s">
        <v>72</v>
      </c>
      <c r="R579" s="36"/>
    </row>
    <row r="580" spans="1:19" x14ac:dyDescent="0.25">
      <c r="A580" s="12" t="s">
        <v>27</v>
      </c>
      <c r="B580" s="50">
        <f>K581*R580</f>
        <v>1256</v>
      </c>
      <c r="C580" s="64">
        <v>-0.83746367728169713</v>
      </c>
      <c r="D580" s="18">
        <v>3.7557782556965211</v>
      </c>
      <c r="E580" s="18">
        <v>35.868091833043621</v>
      </c>
      <c r="F580" s="18">
        <v>51.395469125474108</v>
      </c>
      <c r="G580" s="17">
        <v>-4.0531107134644486</v>
      </c>
      <c r="I580" s="14" t="s">
        <v>23</v>
      </c>
      <c r="J580" s="41">
        <v>20</v>
      </c>
      <c r="K580" s="97"/>
      <c r="L580" s="40" t="s">
        <v>9</v>
      </c>
      <c r="M580" s="97"/>
      <c r="N580" s="99"/>
      <c r="O580" s="97"/>
      <c r="Q580" s="14" t="s">
        <v>75</v>
      </c>
      <c r="R580" s="21">
        <f>IF(J580=16,201,IF(J580=20,314,IF(J580=25,490,"Err")))</f>
        <v>314</v>
      </c>
      <c r="S580" s="16" t="s">
        <v>25</v>
      </c>
    </row>
    <row r="581" spans="1:19" x14ac:dyDescent="0.25">
      <c r="A581" s="27" t="s">
        <v>28</v>
      </c>
      <c r="B581" s="52">
        <f>phi*B571*(B579^2)*J581*fy*(1-(0.588*J581*fy/fc))/1000000</f>
        <v>280.90976659660799</v>
      </c>
      <c r="C581" s="53">
        <v>73.224809356836005</v>
      </c>
      <c r="D581" s="28">
        <v>8.9817117619523117</v>
      </c>
      <c r="E581" s="28">
        <v>44.807043559919833</v>
      </c>
      <c r="F581" s="28">
        <v>57.225354313815828</v>
      </c>
      <c r="G581" s="17">
        <v>5.7034287584036116</v>
      </c>
      <c r="I581" s="14" t="s">
        <v>40</v>
      </c>
      <c r="J581" s="24">
        <f>MAX(rhoMin,(K581*R580/(B571*B579)))</f>
        <v>6.562173458725183E-3</v>
      </c>
      <c r="K581" s="15">
        <v>4</v>
      </c>
      <c r="L581" s="21">
        <f>IF(M581&lt;2,(B571-(2*(J571+clrCover))-(K581*J580))/(K581-1),(B571-(2*(J571+clrCover))-(N581*J580))/((N581)-1))</f>
        <v>38.666666666666664</v>
      </c>
      <c r="M581" s="15">
        <v>1</v>
      </c>
      <c r="N581" s="22">
        <f>IF(M581&lt;2,K581,CEILING(K581/2,1))</f>
        <v>4</v>
      </c>
      <c r="O581" s="22">
        <f>K581-N581</f>
        <v>0</v>
      </c>
      <c r="Q581" s="37" t="s">
        <v>74</v>
      </c>
      <c r="R581" s="38">
        <f>rhoMin*B571*B579</f>
        <v>631.62</v>
      </c>
      <c r="S581" s="22">
        <f>ROUNDUP(R581/R580,0)</f>
        <v>3</v>
      </c>
    </row>
    <row r="582" spans="1:19" x14ac:dyDescent="0.25">
      <c r="A582" s="65" t="s">
        <v>76</v>
      </c>
    </row>
    <row r="583" spans="1:19" x14ac:dyDescent="0.25">
      <c r="A583" s="69" t="s">
        <v>127</v>
      </c>
      <c r="B583" s="11" t="s">
        <v>11</v>
      </c>
      <c r="C583" s="10" t="s">
        <v>12</v>
      </c>
      <c r="D583" s="10" t="s">
        <v>13</v>
      </c>
      <c r="E583" s="10" t="s">
        <v>14</v>
      </c>
      <c r="F583" s="10" t="s">
        <v>15</v>
      </c>
      <c r="G583" s="11" t="s">
        <v>16</v>
      </c>
      <c r="H583" s="6">
        <v>125</v>
      </c>
      <c r="I583" s="90" t="s">
        <v>34</v>
      </c>
      <c r="J583" s="91"/>
      <c r="K583" s="71"/>
    </row>
    <row r="584" spans="1:19" x14ac:dyDescent="0.25">
      <c r="A584" s="12" t="s">
        <v>17</v>
      </c>
      <c r="B584" s="48">
        <v>400</v>
      </c>
      <c r="C584" s="44" t="s">
        <v>18</v>
      </c>
      <c r="D584" s="44" t="s">
        <v>18</v>
      </c>
      <c r="E584" s="44" t="s">
        <v>18</v>
      </c>
      <c r="F584" s="44" t="s">
        <v>19</v>
      </c>
      <c r="G584" s="45" t="s">
        <v>19</v>
      </c>
      <c r="H584" s="6">
        <v>150</v>
      </c>
      <c r="I584" s="14" t="s">
        <v>20</v>
      </c>
      <c r="J584" s="15">
        <v>12</v>
      </c>
      <c r="K584" s="16" t="s">
        <v>9</v>
      </c>
      <c r="L584" s="22" t="s">
        <v>29</v>
      </c>
      <c r="M584" s="22" t="s">
        <v>30</v>
      </c>
      <c r="N584" s="22" t="s">
        <v>31</v>
      </c>
      <c r="O584" s="22" t="s">
        <v>32</v>
      </c>
      <c r="P584" s="3"/>
    </row>
    <row r="585" spans="1:19" x14ac:dyDescent="0.25">
      <c r="A585" s="12" t="s">
        <v>22</v>
      </c>
      <c r="B585" s="48">
        <v>700</v>
      </c>
      <c r="C585" s="17">
        <v>-37.896309988149504</v>
      </c>
      <c r="D585" s="63">
        <v>-0.76311413879130674</v>
      </c>
      <c r="E585" s="63">
        <v>0</v>
      </c>
      <c r="F585" s="63">
        <v>77.315899777662892</v>
      </c>
      <c r="G585" s="54">
        <v>0</v>
      </c>
      <c r="H585" s="6">
        <v>175</v>
      </c>
      <c r="I585" s="56"/>
      <c r="J585" s="57"/>
      <c r="K585" s="58"/>
      <c r="L585" s="92" t="s">
        <v>1</v>
      </c>
      <c r="M585" s="93"/>
      <c r="N585" s="22" t="s">
        <v>35</v>
      </c>
      <c r="O585" s="22" t="s">
        <v>9</v>
      </c>
    </row>
    <row r="586" spans="1:19" x14ac:dyDescent="0.25">
      <c r="A586" s="20" t="s">
        <v>24</v>
      </c>
      <c r="B586" s="13"/>
      <c r="C586" s="17">
        <v>39.184605982699935</v>
      </c>
      <c r="D586" s="18">
        <v>0</v>
      </c>
      <c r="E586" s="18">
        <v>24.666206649001719</v>
      </c>
      <c r="F586" s="18">
        <v>0</v>
      </c>
      <c r="G586" s="19">
        <v>0.33491641423164697</v>
      </c>
      <c r="H586" s="6">
        <v>200</v>
      </c>
      <c r="I586" s="59" t="s">
        <v>70</v>
      </c>
      <c r="J586" s="60"/>
      <c r="K586" s="61"/>
      <c r="L586" s="25">
        <f>MAX(ABS(E589),ABS(E590))*1000/(B587*B584)</f>
        <v>0.70411503356106042</v>
      </c>
      <c r="M586" s="25">
        <f>L586-phiVc</f>
        <v>4.1605599665964776E-2</v>
      </c>
      <c r="N586" s="26">
        <f>M586*O586*B584/(phiV*fys*0.25*PI()*(J584^2))</f>
        <v>7.1345312831146701E-2</v>
      </c>
      <c r="O586" s="15">
        <v>100</v>
      </c>
    </row>
    <row r="587" spans="1:19" x14ac:dyDescent="0.25">
      <c r="A587" s="12" t="s">
        <v>26</v>
      </c>
      <c r="B587" s="49">
        <f>B585-clrCover-J584-(IF(M591&gt;1,1.5*J590,0.5*J590))</f>
        <v>638</v>
      </c>
      <c r="C587" s="64">
        <v>-26.116556136326036</v>
      </c>
      <c r="D587" s="17">
        <v>-6.6451189730066478</v>
      </c>
      <c r="E587" s="18">
        <v>1.1602925284166341</v>
      </c>
      <c r="F587" s="18">
        <v>-17.475219573470444</v>
      </c>
      <c r="G587" s="19">
        <v>2.2613256453347543</v>
      </c>
      <c r="H587" s="6">
        <v>250</v>
      </c>
      <c r="I587" s="59" t="s">
        <v>71</v>
      </c>
      <c r="J587" s="60"/>
      <c r="K587" s="61"/>
      <c r="L587" s="25">
        <f>MAX(ABS(E589),ABS(E590))*1000/(B592*B584)</f>
        <v>0.70411503356106042</v>
      </c>
      <c r="M587" s="25">
        <f>L587-phiVc</f>
        <v>4.1605599665964776E-2</v>
      </c>
      <c r="N587" s="26">
        <f>M587*O587*B584/(phiV*fys*0.25*PI()*(J584^2))</f>
        <v>7.1345312831146701E-2</v>
      </c>
      <c r="O587" s="15">
        <v>100</v>
      </c>
    </row>
    <row r="588" spans="1:19" x14ac:dyDescent="0.25">
      <c r="A588" s="12" t="s">
        <v>27</v>
      </c>
      <c r="B588" s="50">
        <f>K591*R590</f>
        <v>1570</v>
      </c>
      <c r="C588" s="64">
        <v>26.691323960364386</v>
      </c>
      <c r="D588" s="17">
        <v>6.6742431138797178</v>
      </c>
      <c r="E588" s="18">
        <v>102.58177737434924</v>
      </c>
      <c r="F588" s="18">
        <v>-23.435838776372634</v>
      </c>
      <c r="G588" s="19">
        <v>-2.1531666510488767</v>
      </c>
      <c r="H588" s="6">
        <v>300</v>
      </c>
    </row>
    <row r="589" spans="1:19" x14ac:dyDescent="0.25">
      <c r="A589" s="12" t="s">
        <v>28</v>
      </c>
      <c r="B589" s="51">
        <f>-phi*B584*(B587^2)*J591*fy*(1-(0.588*J591*fy/fc))/1000000</f>
        <v>-352.51728998039999</v>
      </c>
      <c r="C589" s="64">
        <v>0.66221821725570518</v>
      </c>
      <c r="D589" s="18">
        <v>-5.415853364153466E-2</v>
      </c>
      <c r="E589" s="17">
        <v>-179.6901565647826</v>
      </c>
      <c r="F589" s="18">
        <v>-194.83344822957247</v>
      </c>
      <c r="G589" s="19">
        <v>1.9984822386064138E-5</v>
      </c>
      <c r="I589" s="90" t="s">
        <v>68</v>
      </c>
      <c r="J589" s="91"/>
      <c r="K589" s="94" t="s">
        <v>35</v>
      </c>
      <c r="L589" s="74" t="s">
        <v>36</v>
      </c>
      <c r="M589" s="96" t="s">
        <v>37</v>
      </c>
      <c r="N589" s="98" t="s">
        <v>38</v>
      </c>
      <c r="O589" s="96" t="s">
        <v>72</v>
      </c>
      <c r="Q589" s="34" t="s">
        <v>73</v>
      </c>
    </row>
    <row r="590" spans="1:19" x14ac:dyDescent="0.25">
      <c r="A590" s="23" t="s">
        <v>33</v>
      </c>
      <c r="B590" s="13"/>
      <c r="C590" s="64">
        <v>-0.5288309562134923</v>
      </c>
      <c r="D590" s="18">
        <v>-8.9857605678793737E-2</v>
      </c>
      <c r="E590" s="17">
        <v>142.94818927157755</v>
      </c>
      <c r="F590" s="18">
        <v>-202.09150032813073</v>
      </c>
      <c r="G590" s="19">
        <v>6.5877277190934558E-2</v>
      </c>
      <c r="I590" s="14" t="s">
        <v>23</v>
      </c>
      <c r="J590" s="41">
        <v>20</v>
      </c>
      <c r="K590" s="95"/>
      <c r="L590" s="40" t="s">
        <v>9</v>
      </c>
      <c r="M590" s="97"/>
      <c r="N590" s="99"/>
      <c r="O590" s="97"/>
      <c r="Q590" s="14" t="s">
        <v>75</v>
      </c>
      <c r="R590" s="21">
        <f>IF(J590=16,201,IF(J590=20,314,IF(J590=25,490,"Err")))</f>
        <v>314</v>
      </c>
      <c r="S590" s="16" t="s">
        <v>25</v>
      </c>
    </row>
    <row r="591" spans="1:19" x14ac:dyDescent="0.25">
      <c r="A591" s="20" t="s">
        <v>39</v>
      </c>
      <c r="B591" s="13"/>
      <c r="C591" s="64">
        <v>0.44705984945126692</v>
      </c>
      <c r="D591" s="18">
        <v>-4.7408463526853746</v>
      </c>
      <c r="E591" s="18">
        <v>-177.57599954036422</v>
      </c>
      <c r="F591" s="17">
        <v>-329.6763746546481</v>
      </c>
      <c r="G591" s="19">
        <v>2.9788339713080898</v>
      </c>
      <c r="I591" s="14" t="s">
        <v>40</v>
      </c>
      <c r="J591" s="24">
        <f>MAX(rhoMin,(K591*R590/(B584*B587)))</f>
        <v>6.1520376175548588E-3</v>
      </c>
      <c r="K591" s="15">
        <v>5</v>
      </c>
      <c r="L591" s="39">
        <f>IF(M591&lt;2,(B584-(2*(J584+clrCover))-(K591*J590))/(K591-1),(B584-(2*(J584+clrCover))-(N591*J590))/((N591)-1))</f>
        <v>49</v>
      </c>
      <c r="M591" s="15">
        <v>1</v>
      </c>
      <c r="N591" s="22">
        <f>IF(M591&lt;2,K591,CEILING(K591/2,1))</f>
        <v>5</v>
      </c>
      <c r="O591" s="22">
        <f>K591-N591</f>
        <v>0</v>
      </c>
      <c r="Q591" s="37" t="s">
        <v>74</v>
      </c>
      <c r="R591" s="38">
        <f>rhoMin*B584*B587</f>
        <v>842.16000000000008</v>
      </c>
      <c r="S591" s="22">
        <f>ROUNDUP(R591/R590,0)</f>
        <v>3</v>
      </c>
    </row>
    <row r="592" spans="1:19" x14ac:dyDescent="0.25">
      <c r="A592" s="12" t="s">
        <v>26</v>
      </c>
      <c r="B592" s="49">
        <f>B585-clrCover-J584-(IF(M594&gt;1,1.5*J593,0.5*J593))</f>
        <v>638</v>
      </c>
      <c r="C592" s="64">
        <v>1.0899899885395521</v>
      </c>
      <c r="D592" s="18">
        <v>4.8106349489904856</v>
      </c>
      <c r="E592" s="18">
        <v>16.827452552961738</v>
      </c>
      <c r="F592" s="17">
        <v>155.13071718342488</v>
      </c>
      <c r="G592" s="19">
        <v>-3.0475605207485721</v>
      </c>
      <c r="I592" s="90" t="s">
        <v>69</v>
      </c>
      <c r="J592" s="91"/>
      <c r="K592" s="96" t="s">
        <v>35</v>
      </c>
      <c r="L592" s="74" t="s">
        <v>36</v>
      </c>
      <c r="M592" s="96" t="s">
        <v>37</v>
      </c>
      <c r="N592" s="98" t="s">
        <v>38</v>
      </c>
      <c r="O592" s="96" t="s">
        <v>72</v>
      </c>
      <c r="R592" s="36"/>
    </row>
    <row r="593" spans="1:19" x14ac:dyDescent="0.25">
      <c r="A593" s="12" t="s">
        <v>27</v>
      </c>
      <c r="B593" s="50">
        <f>K594*R593</f>
        <v>942</v>
      </c>
      <c r="C593" s="64">
        <v>-26.116556136326036</v>
      </c>
      <c r="D593" s="18">
        <v>-6.6451189730066478</v>
      </c>
      <c r="E593" s="18">
        <v>7.246035378707842</v>
      </c>
      <c r="F593" s="18">
        <v>-21.774900576753993</v>
      </c>
      <c r="G593" s="17">
        <v>-4.5363848719009008</v>
      </c>
      <c r="I593" s="14" t="s">
        <v>23</v>
      </c>
      <c r="J593" s="41">
        <v>20</v>
      </c>
      <c r="K593" s="97"/>
      <c r="L593" s="40" t="s">
        <v>9</v>
      </c>
      <c r="M593" s="97"/>
      <c r="N593" s="99"/>
      <c r="O593" s="97"/>
      <c r="Q593" s="14" t="s">
        <v>75</v>
      </c>
      <c r="R593" s="21">
        <f>IF(J593=16,201,IF(J593=20,314,IF(J593=25,490,"Err")))</f>
        <v>314</v>
      </c>
      <c r="S593" s="16" t="s">
        <v>25</v>
      </c>
    </row>
    <row r="594" spans="1:19" x14ac:dyDescent="0.25">
      <c r="A594" s="27" t="s">
        <v>28</v>
      </c>
      <c r="B594" s="52">
        <f>phi*B584*(B592^2)*J594*fy*(1-(0.588*J594*fy/fc))/1000000</f>
        <v>216.47866823294402</v>
      </c>
      <c r="C594" s="53">
        <v>26.691323960364386</v>
      </c>
      <c r="D594" s="28">
        <v>6.6742431138797178</v>
      </c>
      <c r="E594" s="28">
        <v>110.69610117473754</v>
      </c>
      <c r="F594" s="28">
        <v>-132.52352283410889</v>
      </c>
      <c r="G594" s="17">
        <v>4.6743367832921789</v>
      </c>
      <c r="I594" s="14" t="s">
        <v>40</v>
      </c>
      <c r="J594" s="24">
        <f>MAX(rhoMin,(K594*R593/(B584*B592)))</f>
        <v>3.6912225705329153E-3</v>
      </c>
      <c r="K594" s="15">
        <v>3</v>
      </c>
      <c r="L594" s="21">
        <f>IF(M594&lt;2,(B584-(2*(J584+clrCover))-(K594*J593))/(K594-1),(B584-(2*(J584+clrCover))-(N594*J593))/((N594)-1))</f>
        <v>118</v>
      </c>
      <c r="M594" s="15">
        <v>1</v>
      </c>
      <c r="N594" s="22">
        <f>IF(M594&lt;2,K594,CEILING(K594/2,1))</f>
        <v>3</v>
      </c>
      <c r="O594" s="22">
        <f>K594-N594</f>
        <v>0</v>
      </c>
      <c r="Q594" s="37" t="s">
        <v>74</v>
      </c>
      <c r="R594" s="38">
        <f>rhoMin*B584*B592</f>
        <v>842.16000000000008</v>
      </c>
      <c r="S594" s="22">
        <f>ROUNDUP(R594/R593,0)</f>
        <v>3</v>
      </c>
    </row>
    <row r="595" spans="1:19" x14ac:dyDescent="0.25">
      <c r="A595" s="65" t="s">
        <v>76</v>
      </c>
    </row>
    <row r="596" spans="1:19" x14ac:dyDescent="0.25">
      <c r="A596" s="69" t="s">
        <v>130</v>
      </c>
      <c r="B596" s="11" t="s">
        <v>11</v>
      </c>
      <c r="C596" s="10" t="s">
        <v>12</v>
      </c>
      <c r="D596" s="10" t="s">
        <v>13</v>
      </c>
      <c r="E596" s="10" t="s">
        <v>14</v>
      </c>
      <c r="F596" s="10" t="s">
        <v>15</v>
      </c>
      <c r="G596" s="11" t="s">
        <v>16</v>
      </c>
      <c r="H596" s="6">
        <v>125</v>
      </c>
      <c r="I596" s="90" t="s">
        <v>34</v>
      </c>
      <c r="J596" s="91"/>
      <c r="K596" s="71" t="s">
        <v>128</v>
      </c>
    </row>
    <row r="597" spans="1:19" x14ac:dyDescent="0.25">
      <c r="A597" s="12" t="s">
        <v>17</v>
      </c>
      <c r="B597" s="48">
        <v>500</v>
      </c>
      <c r="C597" s="44" t="s">
        <v>18</v>
      </c>
      <c r="D597" s="44" t="s">
        <v>18</v>
      </c>
      <c r="E597" s="44" t="s">
        <v>18</v>
      </c>
      <c r="F597" s="44" t="s">
        <v>19</v>
      </c>
      <c r="G597" s="45" t="s">
        <v>19</v>
      </c>
      <c r="H597" s="6">
        <v>150</v>
      </c>
      <c r="I597" s="14" t="s">
        <v>20</v>
      </c>
      <c r="J597" s="15">
        <v>12</v>
      </c>
      <c r="K597" s="16" t="s">
        <v>9</v>
      </c>
      <c r="L597" s="22" t="s">
        <v>29</v>
      </c>
      <c r="M597" s="22" t="s">
        <v>30</v>
      </c>
      <c r="N597" s="22" t="s">
        <v>31</v>
      </c>
      <c r="O597" s="22" t="s">
        <v>32</v>
      </c>
      <c r="P597" s="3"/>
    </row>
    <row r="598" spans="1:19" x14ac:dyDescent="0.25">
      <c r="A598" s="12" t="s">
        <v>22</v>
      </c>
      <c r="B598" s="48">
        <v>800</v>
      </c>
      <c r="C598" s="17">
        <v>-92.815754666312557</v>
      </c>
      <c r="D598" s="63">
        <v>0.99923729741315015</v>
      </c>
      <c r="E598" s="63">
        <v>0</v>
      </c>
      <c r="F598" s="63">
        <v>-400.77949541285545</v>
      </c>
      <c r="G598" s="54">
        <v>0</v>
      </c>
      <c r="H598" s="6">
        <v>175</v>
      </c>
      <c r="I598" s="56"/>
      <c r="J598" s="57"/>
      <c r="K598" s="58"/>
      <c r="L598" s="92" t="s">
        <v>1</v>
      </c>
      <c r="M598" s="93"/>
      <c r="N598" s="22" t="s">
        <v>35</v>
      </c>
      <c r="O598" s="22" t="s">
        <v>9</v>
      </c>
    </row>
    <row r="599" spans="1:19" x14ac:dyDescent="0.25">
      <c r="A599" s="20" t="s">
        <v>24</v>
      </c>
      <c r="B599" s="13"/>
      <c r="C599" s="17">
        <v>87.207165579996996</v>
      </c>
      <c r="D599" s="18">
        <v>0</v>
      </c>
      <c r="E599" s="18">
        <v>309.85890328355799</v>
      </c>
      <c r="F599" s="18">
        <v>0</v>
      </c>
      <c r="G599" s="19">
        <v>-1.5607521352433309E-2</v>
      </c>
      <c r="H599" s="6">
        <v>200</v>
      </c>
      <c r="I599" s="59" t="s">
        <v>70</v>
      </c>
      <c r="J599" s="60"/>
      <c r="K599" s="61"/>
      <c r="L599" s="25">
        <f>MAX(ABS(E602),ABS(E603))*1000/(B600*B597)</f>
        <v>1.7541030251140688</v>
      </c>
      <c r="M599" s="25">
        <f>L599-phiVc</f>
        <v>1.0915935912189731</v>
      </c>
      <c r="N599" s="26">
        <f>M599*O599*B597/(phiV*fys*0.25*PI()*(J597^2))</f>
        <v>2.3398318638374858</v>
      </c>
      <c r="O599" s="15">
        <v>100</v>
      </c>
    </row>
    <row r="600" spans="1:19" x14ac:dyDescent="0.25">
      <c r="A600" s="12" t="s">
        <v>26</v>
      </c>
      <c r="B600" s="49">
        <f>B598-clrCover-J597-(IF(M604&gt;1,1.5*J603,0.5*J603))</f>
        <v>710.5</v>
      </c>
      <c r="C600" s="64">
        <v>-11.512389520526336</v>
      </c>
      <c r="D600" s="17">
        <v>-10.18962010756017</v>
      </c>
      <c r="E600" s="18">
        <v>-95.857499863078743</v>
      </c>
      <c r="F600" s="18">
        <v>-105.90659113764251</v>
      </c>
      <c r="G600" s="19">
        <v>6.1778988688005336</v>
      </c>
      <c r="H600" s="6">
        <v>250</v>
      </c>
      <c r="I600" s="59" t="s">
        <v>71</v>
      </c>
      <c r="J600" s="60"/>
      <c r="K600" s="61"/>
      <c r="L600" s="25">
        <f>MAX(ABS(E602),ABS(E603))*1000/(B605*B597)</f>
        <v>1.6944802166465613</v>
      </c>
      <c r="M600" s="25">
        <f>L600-phiVc</f>
        <v>1.0319707827514657</v>
      </c>
      <c r="N600" s="26">
        <f>M600*O600*B597/(phiV*fys*0.25*PI()*(J597^2))</f>
        <v>2.2120303192095379</v>
      </c>
      <c r="O600" s="15">
        <v>100</v>
      </c>
    </row>
    <row r="601" spans="1:19" x14ac:dyDescent="0.25">
      <c r="A601" s="12" t="s">
        <v>27</v>
      </c>
      <c r="B601" s="50">
        <f>K604*R603</f>
        <v>5390</v>
      </c>
      <c r="C601" s="64">
        <v>33.131449417522916</v>
      </c>
      <c r="D601" s="17">
        <v>11.458797599552806</v>
      </c>
      <c r="E601" s="18">
        <v>391.25290072155832</v>
      </c>
      <c r="F601" s="18">
        <v>-414.08698911342412</v>
      </c>
      <c r="G601" s="19">
        <v>-3.5408209841918565</v>
      </c>
      <c r="H601" s="6">
        <v>300</v>
      </c>
    </row>
    <row r="602" spans="1:19" x14ac:dyDescent="0.25">
      <c r="A602" s="12" t="s">
        <v>28</v>
      </c>
      <c r="B602" s="51">
        <f>-phi*B597*(B600^2)*J604*fy*(1-(0.588*J604*fy/fc))/1000000</f>
        <v>-1231.7140787212797</v>
      </c>
      <c r="C602" s="64">
        <v>-6.22956712582336</v>
      </c>
      <c r="D602" s="18">
        <v>-0.1624268736618506</v>
      </c>
      <c r="E602" s="17">
        <v>-298.19894289629525</v>
      </c>
      <c r="F602" s="18">
        <v>-305.37918520190715</v>
      </c>
      <c r="G602" s="19">
        <v>2.8304385897690906E-2</v>
      </c>
      <c r="I602" s="90" t="s">
        <v>68</v>
      </c>
      <c r="J602" s="91"/>
      <c r="K602" s="94" t="s">
        <v>35</v>
      </c>
      <c r="L602" s="74" t="s">
        <v>36</v>
      </c>
      <c r="M602" s="96" t="s">
        <v>37</v>
      </c>
      <c r="N602" s="98" t="s">
        <v>38</v>
      </c>
      <c r="O602" s="96" t="s">
        <v>72</v>
      </c>
      <c r="Q602" s="34" t="s">
        <v>73</v>
      </c>
    </row>
    <row r="603" spans="1:19" x14ac:dyDescent="0.25">
      <c r="A603" s="23" t="s">
        <v>33</v>
      </c>
      <c r="B603" s="13"/>
      <c r="C603" s="64">
        <v>-6.1938000069119008</v>
      </c>
      <c r="D603" s="18">
        <v>1.8843621531513439</v>
      </c>
      <c r="E603" s="17">
        <v>623.14509967177287</v>
      </c>
      <c r="F603" s="18">
        <v>-1213.3919862302898</v>
      </c>
      <c r="G603" s="19">
        <v>1.070210373312326</v>
      </c>
      <c r="I603" s="14" t="s">
        <v>23</v>
      </c>
      <c r="J603" s="41">
        <v>25</v>
      </c>
      <c r="K603" s="95"/>
      <c r="L603" s="40" t="s">
        <v>9</v>
      </c>
      <c r="M603" s="97"/>
      <c r="N603" s="99"/>
      <c r="O603" s="97"/>
      <c r="Q603" s="14" t="s">
        <v>75</v>
      </c>
      <c r="R603" s="21">
        <f>IF(J603=16,201,IF(J603=20,314,IF(J603=25,490,"Err")))</f>
        <v>490</v>
      </c>
      <c r="S603" s="16" t="s">
        <v>25</v>
      </c>
    </row>
    <row r="604" spans="1:19" x14ac:dyDescent="0.25">
      <c r="A604" s="20" t="s">
        <v>39</v>
      </c>
      <c r="B604" s="13"/>
      <c r="C604" s="64">
        <v>-6.1938000069119008</v>
      </c>
      <c r="D604" s="18">
        <v>1.8843621531513439</v>
      </c>
      <c r="E604" s="18">
        <v>623.14509967177287</v>
      </c>
      <c r="F604" s="17">
        <v>-1213.3919862302898</v>
      </c>
      <c r="G604" s="19">
        <v>1.070210373312326</v>
      </c>
      <c r="I604" s="14" t="s">
        <v>40</v>
      </c>
      <c r="J604" s="24">
        <f>MAX(rhoMin,(K604*R603/(B597*B600)))</f>
        <v>1.5172413793103448E-2</v>
      </c>
      <c r="K604" s="15">
        <v>11</v>
      </c>
      <c r="L604" s="39">
        <f>IF(M604&lt;2,(B597-(2*(J597+clrCover))-(K604*J603))/(K604-1),(B597-(2*(J597+clrCover))-(N604*J603))/((N604)-1))</f>
        <v>49.2</v>
      </c>
      <c r="M604" s="15">
        <v>2</v>
      </c>
      <c r="N604" s="22">
        <f>IF(M604&lt;2,K604,CEILING(K604/2,1))</f>
        <v>6</v>
      </c>
      <c r="O604" s="22">
        <f>K604-N604</f>
        <v>5</v>
      </c>
      <c r="Q604" s="37" t="s">
        <v>74</v>
      </c>
      <c r="R604" s="38">
        <f>rhoMin*B597*B600</f>
        <v>1172.325</v>
      </c>
      <c r="S604" s="22">
        <f>ROUNDUP(R604/R603,0)</f>
        <v>3</v>
      </c>
    </row>
    <row r="605" spans="1:19" x14ac:dyDescent="0.25">
      <c r="A605" s="12" t="s">
        <v>26</v>
      </c>
      <c r="B605" s="49">
        <f>B598-clrCover-J597-(IF(M607&gt;1,1.5*J606,0.5*J606))</f>
        <v>735.5</v>
      </c>
      <c r="C605" s="64">
        <v>-7.2466961861722163</v>
      </c>
      <c r="D605" s="18">
        <v>0.23166094772815707</v>
      </c>
      <c r="E605" s="18">
        <v>137.99932612495886</v>
      </c>
      <c r="F605" s="17">
        <v>502.26196952889973</v>
      </c>
      <c r="G605" s="19">
        <v>-0.18013818486804861</v>
      </c>
      <c r="I605" s="90" t="s">
        <v>69</v>
      </c>
      <c r="J605" s="91"/>
      <c r="K605" s="96" t="s">
        <v>35</v>
      </c>
      <c r="L605" s="74" t="s">
        <v>36</v>
      </c>
      <c r="M605" s="96" t="s">
        <v>37</v>
      </c>
      <c r="N605" s="98" t="s">
        <v>38</v>
      </c>
      <c r="O605" s="96" t="s">
        <v>72</v>
      </c>
      <c r="R605" s="36"/>
    </row>
    <row r="606" spans="1:19" x14ac:dyDescent="0.25">
      <c r="A606" s="12" t="s">
        <v>27</v>
      </c>
      <c r="B606" s="50">
        <f>K607*R606</f>
        <v>1960</v>
      </c>
      <c r="C606" s="64">
        <v>-38.74003850383847</v>
      </c>
      <c r="D606" s="18">
        <v>-9.5663773728078283</v>
      </c>
      <c r="E606" s="18">
        <v>182.57712873281392</v>
      </c>
      <c r="F606" s="18">
        <v>-331.17383273886747</v>
      </c>
      <c r="G606" s="17">
        <v>-6.4728875717416967</v>
      </c>
      <c r="I606" s="14" t="s">
        <v>23</v>
      </c>
      <c r="J606" s="41">
        <v>25</v>
      </c>
      <c r="K606" s="97"/>
      <c r="L606" s="40" t="s">
        <v>9</v>
      </c>
      <c r="M606" s="97"/>
      <c r="N606" s="99"/>
      <c r="O606" s="97"/>
      <c r="Q606" s="14" t="s">
        <v>75</v>
      </c>
      <c r="R606" s="21">
        <f>IF(J606=16,201,IF(J606=20,314,IF(J606=25,490,"Err")))</f>
        <v>490</v>
      </c>
      <c r="S606" s="16" t="s">
        <v>25</v>
      </c>
    </row>
    <row r="607" spans="1:19" x14ac:dyDescent="0.25">
      <c r="A607" s="27" t="s">
        <v>28</v>
      </c>
      <c r="B607" s="52">
        <f>phi*B597*(B605^2)*J607*fy*(1-(0.588*J607*fy/fc))/1000000</f>
        <v>511.32206095488004</v>
      </c>
      <c r="C607" s="53">
        <v>33.131449417522916</v>
      </c>
      <c r="D607" s="28">
        <v>11.458797599552806</v>
      </c>
      <c r="E607" s="28">
        <v>398.93771758101269</v>
      </c>
      <c r="F607" s="28">
        <v>-796.86146154429844</v>
      </c>
      <c r="G607" s="17">
        <v>7.5606401171382638</v>
      </c>
      <c r="I607" s="14" t="s">
        <v>40</v>
      </c>
      <c r="J607" s="24">
        <f>MAX(rhoMin,(K607*R606/(B597*B605)))</f>
        <v>5.3297076818490819E-3</v>
      </c>
      <c r="K607" s="15">
        <v>4</v>
      </c>
      <c r="L607" s="21">
        <f>IF(M607&lt;2,(B597-(2*(J597+clrCover))-(K607*J606))/(K607-1),(B597-(2*(J597+clrCover))-(N607*J606))/((N607)-1))</f>
        <v>98.666666666666671</v>
      </c>
      <c r="M607" s="15">
        <v>1</v>
      </c>
      <c r="N607" s="22">
        <f>IF(M607&lt;2,K607,CEILING(K607/2,1))</f>
        <v>4</v>
      </c>
      <c r="O607" s="22">
        <f>K607-N607</f>
        <v>0</v>
      </c>
      <c r="Q607" s="37" t="s">
        <v>74</v>
      </c>
      <c r="R607" s="38">
        <f>rhoMin*B597*B605</f>
        <v>1213.575</v>
      </c>
      <c r="S607" s="22">
        <f>ROUNDUP(R607/R606,0)</f>
        <v>3</v>
      </c>
    </row>
    <row r="608" spans="1:19" x14ac:dyDescent="0.25">
      <c r="A608" s="65" t="s">
        <v>76</v>
      </c>
    </row>
    <row r="609" spans="1:19" x14ac:dyDescent="0.25">
      <c r="A609" s="69" t="s">
        <v>131</v>
      </c>
      <c r="B609" s="11" t="s">
        <v>11</v>
      </c>
      <c r="C609" s="10" t="s">
        <v>12</v>
      </c>
      <c r="D609" s="10" t="s">
        <v>13</v>
      </c>
      <c r="E609" s="10" t="s">
        <v>14</v>
      </c>
      <c r="F609" s="10" t="s">
        <v>15</v>
      </c>
      <c r="G609" s="11" t="s">
        <v>16</v>
      </c>
      <c r="H609" s="6">
        <v>125</v>
      </c>
      <c r="I609" s="90" t="s">
        <v>34</v>
      </c>
      <c r="J609" s="91"/>
      <c r="K609" s="71"/>
    </row>
    <row r="610" spans="1:19" x14ac:dyDescent="0.25">
      <c r="A610" s="12" t="s">
        <v>17</v>
      </c>
      <c r="B610" s="48">
        <v>300</v>
      </c>
      <c r="C610" s="44" t="s">
        <v>18</v>
      </c>
      <c r="D610" s="44" t="s">
        <v>18</v>
      </c>
      <c r="E610" s="44" t="s">
        <v>18</v>
      </c>
      <c r="F610" s="44" t="s">
        <v>19</v>
      </c>
      <c r="G610" s="45" t="s">
        <v>19</v>
      </c>
      <c r="H610" s="6">
        <v>150</v>
      </c>
      <c r="I610" s="14" t="s">
        <v>20</v>
      </c>
      <c r="J610" s="15">
        <v>12</v>
      </c>
      <c r="K610" s="16" t="s">
        <v>9</v>
      </c>
      <c r="L610" s="22" t="s">
        <v>29</v>
      </c>
      <c r="M610" s="22" t="s">
        <v>30</v>
      </c>
      <c r="N610" s="22" t="s">
        <v>31</v>
      </c>
      <c r="O610" s="22" t="s">
        <v>32</v>
      </c>
      <c r="P610" s="3"/>
    </row>
    <row r="611" spans="1:19" x14ac:dyDescent="0.25">
      <c r="A611" s="12" t="s">
        <v>22</v>
      </c>
      <c r="B611" s="48">
        <v>600</v>
      </c>
      <c r="C611" s="17">
        <v>-156.71648326200074</v>
      </c>
      <c r="D611" s="63">
        <v>8.7097374007752801</v>
      </c>
      <c r="E611" s="63">
        <v>0</v>
      </c>
      <c r="F611" s="63">
        <v>-33.095674376812696</v>
      </c>
      <c r="G611" s="54">
        <v>0</v>
      </c>
      <c r="H611" s="6">
        <v>175</v>
      </c>
      <c r="I611" s="56"/>
      <c r="J611" s="57"/>
      <c r="K611" s="58"/>
      <c r="L611" s="92" t="s">
        <v>1</v>
      </c>
      <c r="M611" s="93"/>
      <c r="N611" s="22" t="s">
        <v>35</v>
      </c>
      <c r="O611" s="22" t="s">
        <v>9</v>
      </c>
    </row>
    <row r="612" spans="1:19" x14ac:dyDescent="0.25">
      <c r="A612" s="20" t="s">
        <v>24</v>
      </c>
      <c r="B612" s="13"/>
      <c r="C612" s="17">
        <v>118.20727247547293</v>
      </c>
      <c r="D612" s="18">
        <v>0</v>
      </c>
      <c r="E612" s="18">
        <v>-108.58544883108313</v>
      </c>
      <c r="F612" s="18">
        <v>0</v>
      </c>
      <c r="G612" s="19">
        <v>-1.9386070492496092</v>
      </c>
      <c r="H612" s="6">
        <v>200</v>
      </c>
      <c r="I612" s="59" t="s">
        <v>70</v>
      </c>
      <c r="J612" s="60"/>
      <c r="K612" s="61"/>
      <c r="L612" s="25">
        <f>MAX(ABS(E615),ABS(E616))*1000/(B613*B610)</f>
        <v>1.5611367133984404</v>
      </c>
      <c r="M612" s="25">
        <f>L612-phiVc</f>
        <v>0.89862727950334476</v>
      </c>
      <c r="N612" s="26">
        <f>M612*O612*B610/(phiV*fys*0.25*PI()*(J610^2))</f>
        <v>1.1557250386277134</v>
      </c>
      <c r="O612" s="15">
        <v>100</v>
      </c>
    </row>
    <row r="613" spans="1:19" x14ac:dyDescent="0.25">
      <c r="A613" s="12" t="s">
        <v>26</v>
      </c>
      <c r="B613" s="49">
        <f>B611-clrCover-J610-(IF(M617&gt;1,1.5*J616,0.5*J616))</f>
        <v>518</v>
      </c>
      <c r="C613" s="64">
        <v>4.7253508781731144</v>
      </c>
      <c r="D613" s="17">
        <v>-124.28276532489062</v>
      </c>
      <c r="E613" s="18">
        <v>-28.410912961142291</v>
      </c>
      <c r="F613" s="18">
        <v>127.10069833500609</v>
      </c>
      <c r="G613" s="19">
        <v>-5.961856967349771</v>
      </c>
      <c r="H613" s="6">
        <v>250</v>
      </c>
      <c r="I613" s="59" t="s">
        <v>71</v>
      </c>
      <c r="J613" s="60"/>
      <c r="K613" s="61"/>
      <c r="L613" s="25">
        <f>MAX(ABS(E615),ABS(E616))*1000/(B618*B610)</f>
        <v>1.5611367133984404</v>
      </c>
      <c r="M613" s="25">
        <f>L613-phiVc</f>
        <v>0.89862727950334476</v>
      </c>
      <c r="N613" s="26">
        <f>M613*O613*B610/(phiV*fys*0.25*PI()*(J610^2))</f>
        <v>1.1557250386277134</v>
      </c>
      <c r="O613" s="15">
        <v>100</v>
      </c>
    </row>
    <row r="614" spans="1:19" x14ac:dyDescent="0.25">
      <c r="A614" s="12" t="s">
        <v>27</v>
      </c>
      <c r="B614" s="50">
        <f>K617*R616</f>
        <v>1884</v>
      </c>
      <c r="C614" s="64">
        <v>-77.425482312572001</v>
      </c>
      <c r="D614" s="17">
        <v>51.438337476706494</v>
      </c>
      <c r="E614" s="18">
        <v>45.717161939824187</v>
      </c>
      <c r="F614" s="18">
        <v>116.76374281405413</v>
      </c>
      <c r="G614" s="19">
        <v>1.1194443864592729</v>
      </c>
      <c r="H614" s="6">
        <v>300</v>
      </c>
    </row>
    <row r="615" spans="1:19" x14ac:dyDescent="0.25">
      <c r="A615" s="12" t="s">
        <v>28</v>
      </c>
      <c r="B615" s="51">
        <f>-phi*B610*(B613^2)*J617*fy*(1-(0.588*J617*fy/fc))/1000000</f>
        <v>-323.87845724236803</v>
      </c>
      <c r="C615" s="64">
        <v>15.310822229817747</v>
      </c>
      <c r="D615" s="18">
        <v>-18.033810225183117</v>
      </c>
      <c r="E615" s="17">
        <v>-140.84459733743375</v>
      </c>
      <c r="F615" s="18">
        <v>122.17815754268885</v>
      </c>
      <c r="G615" s="19">
        <v>8.8047124350463104</v>
      </c>
      <c r="I615" s="90" t="s">
        <v>68</v>
      </c>
      <c r="J615" s="91"/>
      <c r="K615" s="94" t="s">
        <v>35</v>
      </c>
      <c r="L615" s="74" t="s">
        <v>36</v>
      </c>
      <c r="M615" s="96" t="s">
        <v>37</v>
      </c>
      <c r="N615" s="98" t="s">
        <v>38</v>
      </c>
      <c r="O615" s="96" t="s">
        <v>72</v>
      </c>
      <c r="Q615" s="34" t="s">
        <v>73</v>
      </c>
    </row>
    <row r="616" spans="1:19" x14ac:dyDescent="0.25">
      <c r="A616" s="23" t="s">
        <v>33</v>
      </c>
      <c r="B616" s="13"/>
      <c r="C616" s="64">
        <v>17.464798057988379</v>
      </c>
      <c r="D616" s="18">
        <v>-12.448963062451398</v>
      </c>
      <c r="E616" s="17">
        <v>242.60064526211764</v>
      </c>
      <c r="F616" s="18">
        <v>-330.82610345054508</v>
      </c>
      <c r="G616" s="19">
        <v>-7.1439807473054389</v>
      </c>
      <c r="I616" s="14" t="s">
        <v>23</v>
      </c>
      <c r="J616" s="41">
        <v>20</v>
      </c>
      <c r="K616" s="95"/>
      <c r="L616" s="40" t="s">
        <v>9</v>
      </c>
      <c r="M616" s="97"/>
      <c r="N616" s="99"/>
      <c r="O616" s="97"/>
      <c r="Q616" s="14" t="s">
        <v>75</v>
      </c>
      <c r="R616" s="21">
        <f>IF(J616=16,201,IF(J616=20,314,IF(J616=25,490,"Err")))</f>
        <v>314</v>
      </c>
      <c r="S616" s="16" t="s">
        <v>25</v>
      </c>
    </row>
    <row r="617" spans="1:19" x14ac:dyDescent="0.25">
      <c r="A617" s="20" t="s">
        <v>39</v>
      </c>
      <c r="B617" s="13"/>
      <c r="C617" s="64">
        <v>17.464798057988379</v>
      </c>
      <c r="D617" s="18">
        <v>-12.448963062451398</v>
      </c>
      <c r="E617" s="18">
        <v>242.60064526211764</v>
      </c>
      <c r="F617" s="17">
        <v>-330.82610345054508</v>
      </c>
      <c r="G617" s="19">
        <v>-7.1439807473054389</v>
      </c>
      <c r="I617" s="14" t="s">
        <v>40</v>
      </c>
      <c r="J617" s="24">
        <f>MAX(rhoMin,(K617*R616/(B610*B613)))</f>
        <v>1.2123552123552124E-2</v>
      </c>
      <c r="K617" s="15">
        <v>6</v>
      </c>
      <c r="L617" s="39">
        <f>IF(M617&lt;2,(B610-(2*(J610+clrCover))-(K617*J616))/(K617-1),(B610-(2*(J610+clrCover))-(N617*J616))/((N617)-1))</f>
        <v>68</v>
      </c>
      <c r="M617" s="15">
        <v>2</v>
      </c>
      <c r="N617" s="22">
        <f>IF(M617&lt;2,K617,CEILING(K617/2,1))</f>
        <v>3</v>
      </c>
      <c r="O617" s="22">
        <f>K617-N617</f>
        <v>3</v>
      </c>
      <c r="Q617" s="37" t="s">
        <v>74</v>
      </c>
      <c r="R617" s="38">
        <f>rhoMin*B610*B613</f>
        <v>512.82000000000005</v>
      </c>
      <c r="S617" s="22">
        <f>ROUNDUP(R617/R616,0)</f>
        <v>2</v>
      </c>
    </row>
    <row r="618" spans="1:19" x14ac:dyDescent="0.25">
      <c r="A618" s="12" t="s">
        <v>26</v>
      </c>
      <c r="B618" s="49">
        <f>B611-clrCover-J610-(IF(M620&gt;1,1.5*J619,0.5*J619))</f>
        <v>518</v>
      </c>
      <c r="C618" s="64">
        <v>101.28307562068105</v>
      </c>
      <c r="D618" s="18">
        <v>-121.55579329539538</v>
      </c>
      <c r="E618" s="18">
        <v>-123.26875958159724</v>
      </c>
      <c r="F618" s="17">
        <v>248.15864512249763</v>
      </c>
      <c r="G618" s="19">
        <v>-5.7826952422430411</v>
      </c>
      <c r="I618" s="90" t="s">
        <v>69</v>
      </c>
      <c r="J618" s="91"/>
      <c r="K618" s="96" t="s">
        <v>35</v>
      </c>
      <c r="L618" s="74" t="s">
        <v>36</v>
      </c>
      <c r="M618" s="96" t="s">
        <v>37</v>
      </c>
      <c r="N618" s="98" t="s">
        <v>38</v>
      </c>
      <c r="O618" s="96" t="s">
        <v>72</v>
      </c>
      <c r="R618" s="36"/>
    </row>
    <row r="619" spans="1:19" x14ac:dyDescent="0.25">
      <c r="A619" s="12" t="s">
        <v>27</v>
      </c>
      <c r="B619" s="50">
        <f>K620*R619</f>
        <v>1570</v>
      </c>
      <c r="C619" s="64">
        <v>-104.10471222039378</v>
      </c>
      <c r="D619" s="18">
        <v>-24.421362929926275</v>
      </c>
      <c r="E619" s="18">
        <v>-32.45905365230508</v>
      </c>
      <c r="F619" s="18">
        <v>127.75296068515917</v>
      </c>
      <c r="G619" s="17">
        <v>-11.281271281159523</v>
      </c>
      <c r="I619" s="14" t="s">
        <v>23</v>
      </c>
      <c r="J619" s="41">
        <v>20</v>
      </c>
      <c r="K619" s="97"/>
      <c r="L619" s="40" t="s">
        <v>9</v>
      </c>
      <c r="M619" s="97"/>
      <c r="N619" s="99"/>
      <c r="O619" s="97"/>
      <c r="Q619" s="14" t="s">
        <v>75</v>
      </c>
      <c r="R619" s="21">
        <f>IF(J619=16,201,IF(J619=20,314,IF(J619=25,490,"Err")))</f>
        <v>314</v>
      </c>
      <c r="S619" s="16" t="s">
        <v>25</v>
      </c>
    </row>
    <row r="620" spans="1:19" x14ac:dyDescent="0.25">
      <c r="A620" s="27" t="s">
        <v>28</v>
      </c>
      <c r="B620" s="52">
        <f>phi*B610*(B618^2)*J620*fy*(1-(0.588*J620*fy/fc))/1000000</f>
        <v>275.41904130720002</v>
      </c>
      <c r="C620" s="53">
        <v>-104.10471222039378</v>
      </c>
      <c r="D620" s="28">
        <v>-24.421362929926275</v>
      </c>
      <c r="E620" s="28">
        <v>-37.205949597330779</v>
      </c>
      <c r="F620" s="28">
        <v>95.32740143871213</v>
      </c>
      <c r="G620" s="17">
        <v>11.452563890733609</v>
      </c>
      <c r="I620" s="14" t="s">
        <v>40</v>
      </c>
      <c r="J620" s="24">
        <f>MAX(rhoMin,(K620*R619/(B610*B618)))</f>
        <v>1.0102960102960103E-2</v>
      </c>
      <c r="K620" s="15">
        <v>5</v>
      </c>
      <c r="L620" s="21">
        <f>IF(M620&lt;2,(B610-(2*(J610+clrCover))-(K620*J619))/(K620-1),(B610-(2*(J610+clrCover))-(N620*J619))/((N620)-1))</f>
        <v>68</v>
      </c>
      <c r="M620" s="15">
        <v>2</v>
      </c>
      <c r="N620" s="22">
        <f>IF(M620&lt;2,K620,CEILING(K620/2,1))</f>
        <v>3</v>
      </c>
      <c r="O620" s="22">
        <f>K620-N620</f>
        <v>2</v>
      </c>
      <c r="Q620" s="37" t="s">
        <v>74</v>
      </c>
      <c r="R620" s="38">
        <f>rhoMin*B610*B618</f>
        <v>512.82000000000005</v>
      </c>
      <c r="S620" s="22">
        <f>ROUNDUP(R620/R619,0)</f>
        <v>2</v>
      </c>
    </row>
    <row r="621" spans="1:19" x14ac:dyDescent="0.25">
      <c r="A621" s="65" t="s">
        <v>76</v>
      </c>
    </row>
    <row r="622" spans="1:19" x14ac:dyDescent="0.25">
      <c r="A622" s="69" t="s">
        <v>132</v>
      </c>
      <c r="B622" s="11" t="s">
        <v>11</v>
      </c>
      <c r="C622" s="10" t="s">
        <v>12</v>
      </c>
      <c r="D622" s="10" t="s">
        <v>13</v>
      </c>
      <c r="E622" s="10" t="s">
        <v>14</v>
      </c>
      <c r="F622" s="10" t="s">
        <v>15</v>
      </c>
      <c r="G622" s="11" t="s">
        <v>16</v>
      </c>
      <c r="H622" s="6">
        <v>125</v>
      </c>
      <c r="I622" s="90" t="s">
        <v>34</v>
      </c>
      <c r="J622" s="91"/>
      <c r="K622" s="71" t="s">
        <v>133</v>
      </c>
    </row>
    <row r="623" spans="1:19" x14ac:dyDescent="0.25">
      <c r="A623" s="12" t="s">
        <v>17</v>
      </c>
      <c r="B623" s="48">
        <v>400</v>
      </c>
      <c r="C623" s="44" t="s">
        <v>18</v>
      </c>
      <c r="D623" s="44" t="s">
        <v>18</v>
      </c>
      <c r="E623" s="44" t="s">
        <v>18</v>
      </c>
      <c r="F623" s="44" t="s">
        <v>19</v>
      </c>
      <c r="G623" s="45" t="s">
        <v>19</v>
      </c>
      <c r="H623" s="6">
        <v>150</v>
      </c>
      <c r="I623" s="14" t="s">
        <v>20</v>
      </c>
      <c r="J623" s="15">
        <v>12</v>
      </c>
      <c r="K623" s="16" t="s">
        <v>9</v>
      </c>
      <c r="L623" s="22" t="s">
        <v>29</v>
      </c>
      <c r="M623" s="22" t="s">
        <v>30</v>
      </c>
      <c r="N623" s="22" t="s">
        <v>31</v>
      </c>
      <c r="O623" s="22" t="s">
        <v>32</v>
      </c>
      <c r="P623" s="3"/>
    </row>
    <row r="624" spans="1:19" x14ac:dyDescent="0.25">
      <c r="A624" s="12" t="s">
        <v>22</v>
      </c>
      <c r="B624" s="48">
        <v>500</v>
      </c>
      <c r="C624" s="17">
        <v>-352.83111071613718</v>
      </c>
      <c r="D624" s="63">
        <v>-6.3568865625873947</v>
      </c>
      <c r="E624" s="63">
        <v>0</v>
      </c>
      <c r="F624" s="63">
        <v>34.882323674901677</v>
      </c>
      <c r="G624" s="54">
        <v>0</v>
      </c>
      <c r="H624" s="6">
        <v>175</v>
      </c>
      <c r="I624" s="56"/>
      <c r="J624" s="57"/>
      <c r="K624" s="58"/>
      <c r="L624" s="92" t="s">
        <v>1</v>
      </c>
      <c r="M624" s="93"/>
      <c r="N624" s="22" t="s">
        <v>35</v>
      </c>
      <c r="O624" s="22" t="s">
        <v>9</v>
      </c>
    </row>
    <row r="625" spans="1:19" x14ac:dyDescent="0.25">
      <c r="A625" s="20" t="s">
        <v>24</v>
      </c>
      <c r="B625" s="13"/>
      <c r="C625" s="17">
        <v>220.50855508535162</v>
      </c>
      <c r="D625" s="18">
        <v>0</v>
      </c>
      <c r="E625" s="18">
        <v>-27.555868718529062</v>
      </c>
      <c r="F625" s="18">
        <v>0</v>
      </c>
      <c r="G625" s="19">
        <v>3.4713590717009035</v>
      </c>
      <c r="H625" s="6">
        <v>200</v>
      </c>
      <c r="I625" s="59" t="s">
        <v>70</v>
      </c>
      <c r="J625" s="60"/>
      <c r="K625" s="61"/>
      <c r="L625" s="25">
        <f>MAX(ABS(E628),ABS(E629))*1000/(B626*B623)</f>
        <v>0.90064839829356735</v>
      </c>
      <c r="M625" s="25">
        <f>L625-phiVc</f>
        <v>0.23813896439847171</v>
      </c>
      <c r="N625" s="26">
        <f>M625*O625*B623/(phiV*fys*0.25*PI()*(J623^2))</f>
        <v>0.40836087086116257</v>
      </c>
      <c r="O625" s="15">
        <v>100</v>
      </c>
    </row>
    <row r="626" spans="1:19" x14ac:dyDescent="0.25">
      <c r="A626" s="12" t="s">
        <v>26</v>
      </c>
      <c r="B626" s="49">
        <f>B624-clrCover-J623-(IF(M630&gt;1,1.5*J629,0.5*J629))</f>
        <v>418</v>
      </c>
      <c r="C626" s="64">
        <v>-318.13100043611399</v>
      </c>
      <c r="D626" s="17">
        <v>-9.5435418199281816</v>
      </c>
      <c r="E626" s="18">
        <v>-18.40310905508791</v>
      </c>
      <c r="F626" s="18">
        <v>-1.969115120215051</v>
      </c>
      <c r="G626" s="19">
        <v>-6.088320379416408</v>
      </c>
      <c r="H626" s="6">
        <v>250</v>
      </c>
      <c r="I626" s="59" t="s">
        <v>71</v>
      </c>
      <c r="J626" s="60"/>
      <c r="K626" s="61"/>
      <c r="L626" s="25">
        <f>MAX(ABS(E628),ABS(E629))*1000/(B631*B623)</f>
        <v>0.90064839829356735</v>
      </c>
      <c r="M626" s="25">
        <f>L626-phiVc</f>
        <v>0.23813896439847171</v>
      </c>
      <c r="N626" s="26">
        <f>M626*O626*B623/(phiV*fys*0.25*PI()*(J623^2))</f>
        <v>0.40836087086116257</v>
      </c>
      <c r="O626" s="15">
        <v>100</v>
      </c>
    </row>
    <row r="627" spans="1:19" x14ac:dyDescent="0.25">
      <c r="A627" s="12" t="s">
        <v>27</v>
      </c>
      <c r="B627" s="50">
        <f>K630*R629</f>
        <v>3140</v>
      </c>
      <c r="C627" s="64">
        <v>196.86930967197381</v>
      </c>
      <c r="D627" s="17">
        <v>14.818722040544102</v>
      </c>
      <c r="E627" s="18">
        <v>-26.54623035440892</v>
      </c>
      <c r="F627" s="18">
        <v>-9.1963335686713918</v>
      </c>
      <c r="G627" s="19">
        <v>4.0759880149928582</v>
      </c>
      <c r="H627" s="6">
        <v>300</v>
      </c>
    </row>
    <row r="628" spans="1:19" x14ac:dyDescent="0.25">
      <c r="A628" s="12" t="s">
        <v>28</v>
      </c>
      <c r="B628" s="51">
        <f>-phi*B623*(B626^2)*J630*fy*(1-(0.588*J630*fy/fc))/1000000</f>
        <v>-406.24004792160002</v>
      </c>
      <c r="C628" s="64">
        <v>93.322249369795159</v>
      </c>
      <c r="D628" s="18">
        <v>2.147039115350998</v>
      </c>
      <c r="E628" s="17">
        <v>-150.58841219468448</v>
      </c>
      <c r="F628" s="18">
        <v>-362.27999467355295</v>
      </c>
      <c r="G628" s="19">
        <v>-1.0236485793688388</v>
      </c>
      <c r="I628" s="90" t="s">
        <v>68</v>
      </c>
      <c r="J628" s="91"/>
      <c r="K628" s="94" t="s">
        <v>35</v>
      </c>
      <c r="L628" s="74" t="s">
        <v>36</v>
      </c>
      <c r="M628" s="96" t="s">
        <v>37</v>
      </c>
      <c r="N628" s="98" t="s">
        <v>38</v>
      </c>
      <c r="O628" s="96" t="s">
        <v>72</v>
      </c>
      <c r="Q628" s="34" t="s">
        <v>73</v>
      </c>
    </row>
    <row r="629" spans="1:19" x14ac:dyDescent="0.25">
      <c r="A629" s="23" t="s">
        <v>33</v>
      </c>
      <c r="B629" s="13"/>
      <c r="C629" s="64">
        <v>75.125239772476021</v>
      </c>
      <c r="D629" s="18">
        <v>2.2521662119515393</v>
      </c>
      <c r="E629" s="17">
        <v>135.1450909212686</v>
      </c>
      <c r="F629" s="18">
        <v>-123.90714553181124</v>
      </c>
      <c r="G629" s="19">
        <v>1.2443950562246027</v>
      </c>
      <c r="I629" s="14" t="s">
        <v>23</v>
      </c>
      <c r="J629" s="41">
        <v>20</v>
      </c>
      <c r="K629" s="95"/>
      <c r="L629" s="40" t="s">
        <v>9</v>
      </c>
      <c r="M629" s="97"/>
      <c r="N629" s="99"/>
      <c r="O629" s="97"/>
      <c r="Q629" s="14" t="s">
        <v>75</v>
      </c>
      <c r="R629" s="21">
        <f>IF(J629=16,201,IF(J629=20,314,IF(J629=25,490,"Err")))</f>
        <v>314</v>
      </c>
      <c r="S629" s="16" t="s">
        <v>25</v>
      </c>
    </row>
    <row r="630" spans="1:19" x14ac:dyDescent="0.25">
      <c r="A630" s="20" t="s">
        <v>39</v>
      </c>
      <c r="B630" s="13"/>
      <c r="C630" s="64">
        <v>93.322249369795159</v>
      </c>
      <c r="D630" s="18">
        <v>2.147039115350998</v>
      </c>
      <c r="E630" s="18">
        <v>-150.58841219468448</v>
      </c>
      <c r="F630" s="17">
        <v>-362.27999467355295</v>
      </c>
      <c r="G630" s="19">
        <v>-1.0236485793688388</v>
      </c>
      <c r="I630" s="14" t="s">
        <v>40</v>
      </c>
      <c r="J630" s="24">
        <f>MAX(rhoMin,(K630*R629/(B623*B626)))</f>
        <v>1.8779904306220094E-2</v>
      </c>
      <c r="K630" s="15">
        <v>10</v>
      </c>
      <c r="L630" s="39">
        <f>IF(M630&lt;2,(B623-(2*(J623+clrCover))-(K630*J629))/(K630-1),(B623-(2*(J623+clrCover))-(N630*J629))/((N630)-1))</f>
        <v>49</v>
      </c>
      <c r="M630" s="15">
        <v>2</v>
      </c>
      <c r="N630" s="22">
        <f>IF(M630&lt;2,K630,CEILING(K630/2,1))</f>
        <v>5</v>
      </c>
      <c r="O630" s="22">
        <f>K630-N630</f>
        <v>5</v>
      </c>
      <c r="Q630" s="37" t="s">
        <v>74</v>
      </c>
      <c r="R630" s="38">
        <f>rhoMin*B623*B626</f>
        <v>551.76</v>
      </c>
      <c r="S630" s="22">
        <f>ROUNDUP(R630/R629,0)</f>
        <v>2</v>
      </c>
    </row>
    <row r="631" spans="1:19" x14ac:dyDescent="0.25">
      <c r="A631" s="12" t="s">
        <v>26</v>
      </c>
      <c r="B631" s="49">
        <f>B624-clrCover-J623-(IF(M633&gt;1,1.5*J632,0.5*J632))</f>
        <v>418</v>
      </c>
      <c r="C631" s="64">
        <v>-19.772453981405494</v>
      </c>
      <c r="D631" s="18">
        <v>0.16499339412835565</v>
      </c>
      <c r="E631" s="18">
        <v>5.9364114192163004</v>
      </c>
      <c r="F631" s="17">
        <v>217.60905656758115</v>
      </c>
      <c r="G631" s="19">
        <v>-0.34379802334227344</v>
      </c>
      <c r="I631" s="90" t="s">
        <v>69</v>
      </c>
      <c r="J631" s="91"/>
      <c r="K631" s="96" t="s">
        <v>35</v>
      </c>
      <c r="L631" s="74" t="s">
        <v>36</v>
      </c>
      <c r="M631" s="96" t="s">
        <v>37</v>
      </c>
      <c r="N631" s="98" t="s">
        <v>38</v>
      </c>
      <c r="O631" s="96" t="s">
        <v>72</v>
      </c>
      <c r="R631" s="36"/>
    </row>
    <row r="632" spans="1:19" x14ac:dyDescent="0.25">
      <c r="A632" s="12" t="s">
        <v>27</v>
      </c>
      <c r="B632" s="50">
        <f>K633*R632</f>
        <v>1884</v>
      </c>
      <c r="C632" s="64">
        <v>-339.93424465122121</v>
      </c>
      <c r="D632" s="18">
        <v>-8.7754176834384054</v>
      </c>
      <c r="E632" s="18">
        <v>-26.286465632824303</v>
      </c>
      <c r="F632" s="18">
        <v>-1.9262345710705031</v>
      </c>
      <c r="G632" s="17">
        <v>-6.4765214816559382</v>
      </c>
      <c r="I632" s="14" t="s">
        <v>23</v>
      </c>
      <c r="J632" s="41">
        <v>20</v>
      </c>
      <c r="K632" s="97"/>
      <c r="L632" s="40" t="s">
        <v>9</v>
      </c>
      <c r="M632" s="97"/>
      <c r="N632" s="99"/>
      <c r="O632" s="97"/>
      <c r="Q632" s="14" t="s">
        <v>75</v>
      </c>
      <c r="R632" s="21">
        <f>IF(J632=16,201,IF(J632=20,314,IF(J632=25,490,"Err")))</f>
        <v>314</v>
      </c>
      <c r="S632" s="16" t="s">
        <v>25</v>
      </c>
    </row>
    <row r="633" spans="1:19" x14ac:dyDescent="0.25">
      <c r="A633" s="27" t="s">
        <v>28</v>
      </c>
      <c r="B633" s="52">
        <f>phi*B623*(B631^2)*J633*fy*(1-(0.588*J633*fy/fc))/1000000</f>
        <v>263.61720573177598</v>
      </c>
      <c r="C633" s="53">
        <v>194.158304785241</v>
      </c>
      <c r="D633" s="28">
        <v>14.785354711324247</v>
      </c>
      <c r="E633" s="28">
        <v>-17.083348347031222</v>
      </c>
      <c r="F633" s="28">
        <v>8.8683255232105989</v>
      </c>
      <c r="G633" s="17">
        <v>4.4548523957138295</v>
      </c>
      <c r="I633" s="14" t="s">
        <v>40</v>
      </c>
      <c r="J633" s="24">
        <f>MAX(rhoMin,(K633*R632/(B623*B631)))</f>
        <v>1.1267942583732057E-2</v>
      </c>
      <c r="K633" s="15">
        <v>6</v>
      </c>
      <c r="L633" s="21">
        <f>IF(M633&lt;2,(B623-(2*(J623+clrCover))-(K633*J632))/(K633-1),(B623-(2*(J623+clrCover))-(N633*J632))/((N633)-1))</f>
        <v>118</v>
      </c>
      <c r="M633" s="15">
        <v>2</v>
      </c>
      <c r="N633" s="22">
        <f>IF(M633&lt;2,K633,CEILING(K633/2,1))</f>
        <v>3</v>
      </c>
      <c r="O633" s="22">
        <f>K633-N633</f>
        <v>3</v>
      </c>
      <c r="Q633" s="37" t="s">
        <v>74</v>
      </c>
      <c r="R633" s="38">
        <f>rhoMin*B623*B631</f>
        <v>551.76</v>
      </c>
      <c r="S633" s="22">
        <f>ROUNDUP(R633/R632,0)</f>
        <v>2</v>
      </c>
    </row>
    <row r="634" spans="1:19" x14ac:dyDescent="0.25">
      <c r="A634" s="65" t="s">
        <v>76</v>
      </c>
    </row>
    <row r="635" spans="1:19" x14ac:dyDescent="0.25">
      <c r="A635" s="69" t="s">
        <v>135</v>
      </c>
      <c r="B635" s="11" t="s">
        <v>11</v>
      </c>
      <c r="C635" s="10" t="s">
        <v>12</v>
      </c>
      <c r="D635" s="10" t="s">
        <v>13</v>
      </c>
      <c r="E635" s="10" t="s">
        <v>14</v>
      </c>
      <c r="F635" s="10" t="s">
        <v>15</v>
      </c>
      <c r="G635" s="11" t="s">
        <v>16</v>
      </c>
      <c r="H635" s="6">
        <v>125</v>
      </c>
      <c r="I635" s="90" t="s">
        <v>34</v>
      </c>
      <c r="J635" s="91"/>
      <c r="K635" s="71" t="s">
        <v>136</v>
      </c>
    </row>
    <row r="636" spans="1:19" x14ac:dyDescent="0.25">
      <c r="A636" s="12" t="s">
        <v>17</v>
      </c>
      <c r="B636" s="48">
        <v>300</v>
      </c>
      <c r="C636" s="44" t="s">
        <v>18</v>
      </c>
      <c r="D636" s="44" t="s">
        <v>18</v>
      </c>
      <c r="E636" s="44" t="s">
        <v>18</v>
      </c>
      <c r="F636" s="44" t="s">
        <v>19</v>
      </c>
      <c r="G636" s="45" t="s">
        <v>19</v>
      </c>
      <c r="H636" s="6">
        <v>150</v>
      </c>
      <c r="I636" s="14" t="s">
        <v>20</v>
      </c>
      <c r="J636" s="15">
        <v>12</v>
      </c>
      <c r="K636" s="16" t="s">
        <v>9</v>
      </c>
      <c r="L636" s="22" t="s">
        <v>29</v>
      </c>
      <c r="M636" s="22" t="s">
        <v>30</v>
      </c>
      <c r="N636" s="22" t="s">
        <v>31</v>
      </c>
      <c r="O636" s="22" t="s">
        <v>32</v>
      </c>
      <c r="P636" s="3"/>
    </row>
    <row r="637" spans="1:19" x14ac:dyDescent="0.25">
      <c r="A637" s="12" t="s">
        <v>22</v>
      </c>
      <c r="B637" s="48">
        <v>600</v>
      </c>
      <c r="C637" s="17">
        <v>0</v>
      </c>
      <c r="D637" s="63">
        <v>0</v>
      </c>
      <c r="E637" s="63">
        <v>0</v>
      </c>
      <c r="F637" s="63">
        <v>0</v>
      </c>
      <c r="G637" s="54">
        <v>0</v>
      </c>
      <c r="H637" s="6">
        <v>175</v>
      </c>
      <c r="I637" s="56"/>
      <c r="J637" s="57"/>
      <c r="K637" s="58"/>
      <c r="L637" s="92" t="s">
        <v>1</v>
      </c>
      <c r="M637" s="93"/>
      <c r="N637" s="22" t="s">
        <v>35</v>
      </c>
      <c r="O637" s="22" t="s">
        <v>9</v>
      </c>
    </row>
    <row r="638" spans="1:19" x14ac:dyDescent="0.25">
      <c r="A638" s="20" t="s">
        <v>24</v>
      </c>
      <c r="B638" s="13"/>
      <c r="C638" s="17">
        <v>0</v>
      </c>
      <c r="D638" s="18">
        <v>0</v>
      </c>
      <c r="E638" s="18">
        <v>0</v>
      </c>
      <c r="F638" s="18">
        <v>0</v>
      </c>
      <c r="G638" s="19">
        <v>0</v>
      </c>
      <c r="H638" s="6">
        <v>200</v>
      </c>
      <c r="I638" s="59" t="s">
        <v>70</v>
      </c>
      <c r="J638" s="60"/>
      <c r="K638" s="61"/>
      <c r="L638" s="25">
        <f>MAX(ABS(E641),ABS(E642))*1000/(B639*B636)</f>
        <v>0</v>
      </c>
      <c r="M638" s="25">
        <f>L638-phiVc</f>
        <v>-0.66250943389509565</v>
      </c>
      <c r="N638" s="26">
        <f>M638*O638*B636/(phiV*fys*0.25*PI()*(J636^2))</f>
        <v>-0.85205374747004214</v>
      </c>
      <c r="O638" s="15">
        <v>100</v>
      </c>
    </row>
    <row r="639" spans="1:19" x14ac:dyDescent="0.25">
      <c r="A639" s="12" t="s">
        <v>26</v>
      </c>
      <c r="B639" s="49">
        <f>B637-clrCover-J636-(IF(M643&gt;1,1.5*J642,0.5*J642))</f>
        <v>538</v>
      </c>
      <c r="C639" s="64">
        <v>0</v>
      </c>
      <c r="D639" s="17">
        <v>-147.19999999999999</v>
      </c>
      <c r="E639" s="18">
        <v>0</v>
      </c>
      <c r="F639" s="18">
        <v>0</v>
      </c>
      <c r="G639" s="19">
        <v>0</v>
      </c>
      <c r="H639" s="6">
        <v>250</v>
      </c>
      <c r="I639" s="59" t="s">
        <v>71</v>
      </c>
      <c r="J639" s="60"/>
      <c r="K639" s="61"/>
      <c r="L639" s="25">
        <f>MAX(ABS(E641),ABS(E642))*1000/(B644*B636)</f>
        <v>0</v>
      </c>
      <c r="M639" s="25">
        <f>L639-phiVc</f>
        <v>-0.66250943389509565</v>
      </c>
      <c r="N639" s="26">
        <f>M639*O639*B636/(phiV*fys*0.25*PI()*(J636^2))</f>
        <v>-0.85205374747004214</v>
      </c>
      <c r="O639" s="15">
        <v>100</v>
      </c>
    </row>
    <row r="640" spans="1:19" x14ac:dyDescent="0.25">
      <c r="A640" s="12" t="s">
        <v>27</v>
      </c>
      <c r="B640" s="50">
        <f>K643*R642</f>
        <v>942</v>
      </c>
      <c r="C640" s="64">
        <v>0</v>
      </c>
      <c r="D640" s="17">
        <v>0</v>
      </c>
      <c r="E640" s="18">
        <v>0</v>
      </c>
      <c r="F640" s="18">
        <v>0</v>
      </c>
      <c r="G640" s="19">
        <v>0</v>
      </c>
      <c r="H640" s="6">
        <v>300</v>
      </c>
    </row>
    <row r="641" spans="1:19" x14ac:dyDescent="0.25">
      <c r="A641" s="12" t="s">
        <v>28</v>
      </c>
      <c r="B641" s="51">
        <f>-phi*B636*(B639^2)*J643*fy*(1-(0.588*J643*fy/fc))/1000000</f>
        <v>-178.895601110592</v>
      </c>
      <c r="C641" s="64">
        <v>0</v>
      </c>
      <c r="D641" s="18">
        <v>0</v>
      </c>
      <c r="E641" s="17">
        <v>0</v>
      </c>
      <c r="F641" s="18">
        <v>0</v>
      </c>
      <c r="G641" s="19">
        <v>0</v>
      </c>
      <c r="I641" s="90" t="s">
        <v>68</v>
      </c>
      <c r="J641" s="91"/>
      <c r="K641" s="94" t="s">
        <v>35</v>
      </c>
      <c r="L641" s="74" t="s">
        <v>36</v>
      </c>
      <c r="M641" s="96" t="s">
        <v>37</v>
      </c>
      <c r="N641" s="98" t="s">
        <v>38</v>
      </c>
      <c r="O641" s="96" t="s">
        <v>72</v>
      </c>
      <c r="Q641" s="34" t="s">
        <v>73</v>
      </c>
    </row>
    <row r="642" spans="1:19" x14ac:dyDescent="0.25">
      <c r="A642" s="23" t="s">
        <v>33</v>
      </c>
      <c r="B642" s="13"/>
      <c r="C642" s="64">
        <v>0</v>
      </c>
      <c r="D642" s="18">
        <v>0</v>
      </c>
      <c r="E642" s="17">
        <v>0</v>
      </c>
      <c r="F642" s="18">
        <v>0</v>
      </c>
      <c r="G642" s="19">
        <v>0</v>
      </c>
      <c r="I642" s="14" t="s">
        <v>23</v>
      </c>
      <c r="J642" s="41">
        <v>20</v>
      </c>
      <c r="K642" s="95"/>
      <c r="L642" s="40" t="s">
        <v>9</v>
      </c>
      <c r="M642" s="97"/>
      <c r="N642" s="99"/>
      <c r="O642" s="97"/>
      <c r="Q642" s="14" t="s">
        <v>75</v>
      </c>
      <c r="R642" s="21">
        <f>IF(J642=16,201,IF(J642=20,314,IF(J642=25,490,"Err")))</f>
        <v>314</v>
      </c>
      <c r="S642" s="16" t="s">
        <v>25</v>
      </c>
    </row>
    <row r="643" spans="1:19" x14ac:dyDescent="0.25">
      <c r="A643" s="20" t="s">
        <v>39</v>
      </c>
      <c r="B643" s="13"/>
      <c r="C643" s="64">
        <v>0</v>
      </c>
      <c r="D643" s="18">
        <v>0</v>
      </c>
      <c r="E643" s="18">
        <v>0</v>
      </c>
      <c r="F643" s="17">
        <v>-147.19999999999999</v>
      </c>
      <c r="G643" s="19">
        <v>0</v>
      </c>
      <c r="I643" s="14" t="s">
        <v>40</v>
      </c>
      <c r="J643" s="24">
        <f>MAX(rhoMin,(K643*R642/(B636*B639)))</f>
        <v>5.8364312267657993E-3</v>
      </c>
      <c r="K643" s="15">
        <v>3</v>
      </c>
      <c r="L643" s="39">
        <f>IF(M643&lt;2,(B636-(2*(J636+clrCover))-(K643*J642))/(K643-1),(B636-(2*(J636+clrCover))-(N643*J642))/((N643)-1))</f>
        <v>68</v>
      </c>
      <c r="M643" s="15">
        <v>1</v>
      </c>
      <c r="N643" s="22">
        <f>IF(M643&lt;2,K643,CEILING(K643/2,1))</f>
        <v>3</v>
      </c>
      <c r="O643" s="22">
        <f>K643-N643</f>
        <v>0</v>
      </c>
      <c r="Q643" s="37" t="s">
        <v>74</v>
      </c>
      <c r="R643" s="38">
        <f>rhoMin*B636*B639</f>
        <v>532.62</v>
      </c>
      <c r="S643" s="22">
        <f>ROUNDUP(R643/R642,0)</f>
        <v>2</v>
      </c>
    </row>
    <row r="644" spans="1:19" x14ac:dyDescent="0.25">
      <c r="A644" s="12" t="s">
        <v>26</v>
      </c>
      <c r="B644" s="49">
        <f>B637-clrCover-J636-(IF(M646&gt;1,1.5*J645,0.5*J645))</f>
        <v>540</v>
      </c>
      <c r="C644" s="64">
        <v>0</v>
      </c>
      <c r="D644" s="18">
        <v>0</v>
      </c>
      <c r="E644" s="18">
        <v>0</v>
      </c>
      <c r="F644" s="17">
        <v>0</v>
      </c>
      <c r="G644" s="19">
        <v>0</v>
      </c>
      <c r="I644" s="90" t="s">
        <v>69</v>
      </c>
      <c r="J644" s="91"/>
      <c r="K644" s="96" t="s">
        <v>35</v>
      </c>
      <c r="L644" s="74" t="s">
        <v>36</v>
      </c>
      <c r="M644" s="96" t="s">
        <v>37</v>
      </c>
      <c r="N644" s="98" t="s">
        <v>38</v>
      </c>
      <c r="O644" s="96" t="s">
        <v>72</v>
      </c>
      <c r="R644" s="36"/>
    </row>
    <row r="645" spans="1:19" x14ac:dyDescent="0.25">
      <c r="A645" s="12" t="s">
        <v>27</v>
      </c>
      <c r="B645" s="50">
        <f>K646*R645</f>
        <v>603</v>
      </c>
      <c r="C645" s="64">
        <v>0</v>
      </c>
      <c r="D645" s="18">
        <v>0</v>
      </c>
      <c r="E645" s="18">
        <v>0</v>
      </c>
      <c r="F645" s="18">
        <v>0</v>
      </c>
      <c r="G645" s="17">
        <v>0</v>
      </c>
      <c r="I645" s="14" t="s">
        <v>23</v>
      </c>
      <c r="J645" s="41">
        <v>16</v>
      </c>
      <c r="K645" s="97"/>
      <c r="L645" s="40" t="s">
        <v>9</v>
      </c>
      <c r="M645" s="97"/>
      <c r="N645" s="99"/>
      <c r="O645" s="97"/>
      <c r="Q645" s="14" t="s">
        <v>75</v>
      </c>
      <c r="R645" s="21">
        <f>IF(J645=16,201,IF(J645=20,314,IF(J645=25,490,"Err")))</f>
        <v>201</v>
      </c>
      <c r="S645" s="16" t="s">
        <v>25</v>
      </c>
    </row>
    <row r="646" spans="1:19" x14ac:dyDescent="0.25">
      <c r="A646" s="27" t="s">
        <v>28</v>
      </c>
      <c r="B646" s="52">
        <f>phi*B636*(B644^2)*J646*fy*(1-(0.588*J646*fy/fc))/1000000</f>
        <v>117.254364959952</v>
      </c>
      <c r="C646" s="53">
        <v>0</v>
      </c>
      <c r="D646" s="28">
        <v>0</v>
      </c>
      <c r="E646" s="28">
        <v>0</v>
      </c>
      <c r="F646" s="28">
        <v>0</v>
      </c>
      <c r="G646" s="17">
        <v>0</v>
      </c>
      <c r="I646" s="14" t="s">
        <v>40</v>
      </c>
      <c r="J646" s="24">
        <f>MAX(rhoMin,(K646*R645/(B636*B644)))</f>
        <v>3.7222222222222223E-3</v>
      </c>
      <c r="K646" s="15">
        <v>3</v>
      </c>
      <c r="L646" s="21">
        <f>IF(M646&lt;2,(B636-(2*(J636+clrCover))-(K646*J645))/(K646-1),(B636-(2*(J636+clrCover))-(N646*J645))/((N646)-1))</f>
        <v>74</v>
      </c>
      <c r="M646" s="15">
        <v>1</v>
      </c>
      <c r="N646" s="22">
        <f>IF(M646&lt;2,K646,CEILING(K646/2,1))</f>
        <v>3</v>
      </c>
      <c r="O646" s="22">
        <f>K646-N646</f>
        <v>0</v>
      </c>
      <c r="Q646" s="37" t="s">
        <v>74</v>
      </c>
      <c r="R646" s="38">
        <f>rhoMin*B636*B644</f>
        <v>534.6</v>
      </c>
      <c r="S646" s="22">
        <f>ROUNDUP(R646/R645,0)</f>
        <v>3</v>
      </c>
    </row>
    <row r="647" spans="1:19" x14ac:dyDescent="0.25">
      <c r="A647" s="65" t="s">
        <v>76</v>
      </c>
    </row>
    <row r="648" spans="1:19" x14ac:dyDescent="0.25">
      <c r="A648" s="69" t="s">
        <v>137</v>
      </c>
      <c r="B648" s="11" t="s">
        <v>11</v>
      </c>
      <c r="C648" s="10" t="s">
        <v>12</v>
      </c>
      <c r="D648" s="10" t="s">
        <v>13</v>
      </c>
      <c r="E648" s="10" t="s">
        <v>14</v>
      </c>
      <c r="F648" s="10" t="s">
        <v>15</v>
      </c>
      <c r="G648" s="11" t="s">
        <v>16</v>
      </c>
      <c r="H648" s="6">
        <v>125</v>
      </c>
      <c r="I648" s="90" t="s">
        <v>34</v>
      </c>
      <c r="J648" s="91"/>
      <c r="K648" s="71" t="s">
        <v>142</v>
      </c>
    </row>
    <row r="649" spans="1:19" x14ac:dyDescent="0.25">
      <c r="A649" s="12" t="s">
        <v>17</v>
      </c>
      <c r="B649" s="48">
        <v>200</v>
      </c>
      <c r="C649" s="44" t="s">
        <v>18</v>
      </c>
      <c r="D649" s="44" t="s">
        <v>18</v>
      </c>
      <c r="E649" s="44" t="s">
        <v>18</v>
      </c>
      <c r="F649" s="44" t="s">
        <v>19</v>
      </c>
      <c r="G649" s="45" t="s">
        <v>19</v>
      </c>
      <c r="H649" s="6">
        <v>150</v>
      </c>
      <c r="I649" s="14" t="s">
        <v>20</v>
      </c>
      <c r="J649" s="15">
        <v>12</v>
      </c>
      <c r="K649" s="16" t="s">
        <v>9</v>
      </c>
      <c r="L649" s="22" t="s">
        <v>29</v>
      </c>
      <c r="M649" s="22" t="s">
        <v>30</v>
      </c>
      <c r="N649" s="22" t="s">
        <v>31</v>
      </c>
      <c r="O649" s="22" t="s">
        <v>32</v>
      </c>
      <c r="P649" s="3"/>
    </row>
    <row r="650" spans="1:19" x14ac:dyDescent="0.25">
      <c r="A650" s="12" t="s">
        <v>22</v>
      </c>
      <c r="B650" s="48">
        <v>600</v>
      </c>
      <c r="C650" s="17">
        <v>-307.65196493800437</v>
      </c>
      <c r="D650" s="63">
        <v>4.4137654340036097</v>
      </c>
      <c r="E650" s="63">
        <v>0</v>
      </c>
      <c r="F650" s="63">
        <v>-4.7875744257908098E-12</v>
      </c>
      <c r="G650" s="54">
        <v>0</v>
      </c>
      <c r="H650" s="6">
        <v>175</v>
      </c>
      <c r="I650" s="56"/>
      <c r="J650" s="57"/>
      <c r="K650" s="58"/>
      <c r="L650" s="92" t="s">
        <v>1</v>
      </c>
      <c r="M650" s="93"/>
      <c r="N650" s="22" t="s">
        <v>35</v>
      </c>
      <c r="O650" s="22" t="s">
        <v>9</v>
      </c>
    </row>
    <row r="651" spans="1:19" x14ac:dyDescent="0.25">
      <c r="A651" s="20" t="s">
        <v>24</v>
      </c>
      <c r="B651" s="13"/>
      <c r="C651" s="17">
        <v>312.72466034707412</v>
      </c>
      <c r="D651" s="18">
        <v>0</v>
      </c>
      <c r="E651" s="18">
        <v>-253.97689371112534</v>
      </c>
      <c r="F651" s="18">
        <v>0</v>
      </c>
      <c r="G651" s="19">
        <v>1.5921628460091596E-13</v>
      </c>
      <c r="H651" s="6">
        <v>200</v>
      </c>
      <c r="I651" s="59" t="s">
        <v>70</v>
      </c>
      <c r="J651" s="60"/>
      <c r="K651" s="61"/>
      <c r="L651" s="25">
        <f>MAX(ABS(E654),ABS(E655))*1000/(B652*B649)</f>
        <v>2.4875307905105322</v>
      </c>
      <c r="M651" s="25">
        <f>L651-phiVc</f>
        <v>1.8250213566154365</v>
      </c>
      <c r="N651" s="26">
        <f>M651*O651*B649/(phiV*fys*0.25*PI()*(J649^2))</f>
        <v>1.5647739806255805</v>
      </c>
      <c r="O651" s="15">
        <v>100</v>
      </c>
    </row>
    <row r="652" spans="1:19" x14ac:dyDescent="0.25">
      <c r="A652" s="12" t="s">
        <v>26</v>
      </c>
      <c r="B652" s="49">
        <f>B650-clrCover-J649-(IF(M656&gt;1,1.5*J655,0.5*J655))</f>
        <v>510.5</v>
      </c>
      <c r="C652" s="64">
        <v>-208.79118124085485</v>
      </c>
      <c r="D652" s="17">
        <v>-37.308644504300695</v>
      </c>
      <c r="E652" s="18">
        <v>159.41015766183801</v>
      </c>
      <c r="F652" s="18">
        <v>-1.0322798971174051E-11</v>
      </c>
      <c r="G652" s="19">
        <v>-2.2400996613214373E-13</v>
      </c>
      <c r="H652" s="6">
        <v>250</v>
      </c>
      <c r="I652" s="59" t="s">
        <v>71</v>
      </c>
      <c r="J652" s="60"/>
      <c r="K652" s="61"/>
      <c r="L652" s="25">
        <f>MAX(ABS(E654),ABS(E655))*1000/(B657*B649)</f>
        <v>2.4875307905105322</v>
      </c>
      <c r="M652" s="25">
        <f>L652-phiVc</f>
        <v>1.8250213566154365</v>
      </c>
      <c r="N652" s="26">
        <f>M652*O652*B649/(phiV*fys*0.25*PI()*(J649^2))</f>
        <v>1.5647739806255805</v>
      </c>
      <c r="O652" s="15">
        <v>100</v>
      </c>
    </row>
    <row r="653" spans="1:19" x14ac:dyDescent="0.25">
      <c r="A653" s="12" t="s">
        <v>27</v>
      </c>
      <c r="B653" s="50">
        <f>K656*R655</f>
        <v>1960</v>
      </c>
      <c r="C653" s="64">
        <v>201.62788306680378</v>
      </c>
      <c r="D653" s="17">
        <v>35.634582713916316</v>
      </c>
      <c r="E653" s="18">
        <v>-172.47386766100917</v>
      </c>
      <c r="F653" s="18">
        <v>-4.4369016904965974E-12</v>
      </c>
      <c r="G653" s="19">
        <v>2.2299957436189288E-13</v>
      </c>
      <c r="H653" s="6">
        <v>300</v>
      </c>
    </row>
    <row r="654" spans="1:19" x14ac:dyDescent="0.25">
      <c r="A654" s="12" t="s">
        <v>28</v>
      </c>
      <c r="B654" s="51">
        <f>-phi*B649*(B652^2)*J656*fy*(1-(0.588*J656*fy/fc))/1000000</f>
        <v>-308.28949038719998</v>
      </c>
      <c r="C654" s="64">
        <v>312.72466034707412</v>
      </c>
      <c r="D654" s="18">
        <v>-4.9313012945213153</v>
      </c>
      <c r="E654" s="17">
        <v>-253.97689371112534</v>
      </c>
      <c r="F654" s="18">
        <v>-1.8087092712448795E-11</v>
      </c>
      <c r="G654" s="19">
        <v>1.5921628460091596E-13</v>
      </c>
      <c r="I654" s="90" t="s">
        <v>68</v>
      </c>
      <c r="J654" s="91"/>
      <c r="K654" s="94" t="s">
        <v>35</v>
      </c>
      <c r="L654" s="75" t="s">
        <v>36</v>
      </c>
      <c r="M654" s="96" t="s">
        <v>37</v>
      </c>
      <c r="N654" s="98" t="s">
        <v>38</v>
      </c>
      <c r="O654" s="96" t="s">
        <v>72</v>
      </c>
      <c r="Q654" s="34" t="s">
        <v>73</v>
      </c>
    </row>
    <row r="655" spans="1:19" x14ac:dyDescent="0.25">
      <c r="A655" s="23" t="s">
        <v>33</v>
      </c>
      <c r="B655" s="13"/>
      <c r="C655" s="64">
        <v>-306.6478809002669</v>
      </c>
      <c r="D655" s="18">
        <v>4.3051338784430895</v>
      </c>
      <c r="E655" s="17">
        <v>247.11690246109828</v>
      </c>
      <c r="F655" s="18">
        <v>-287.90952842093213</v>
      </c>
      <c r="G655" s="19">
        <v>5.1667069236880359</v>
      </c>
      <c r="I655" s="14" t="s">
        <v>23</v>
      </c>
      <c r="J655" s="41">
        <v>25</v>
      </c>
      <c r="K655" s="95"/>
      <c r="L655" s="40" t="s">
        <v>9</v>
      </c>
      <c r="M655" s="97"/>
      <c r="N655" s="99"/>
      <c r="O655" s="97"/>
      <c r="Q655" s="14" t="s">
        <v>75</v>
      </c>
      <c r="R655" s="21">
        <f>IF(J655=16,201,IF(J655=20,314,IF(J655=25,490,"Err")))</f>
        <v>490</v>
      </c>
      <c r="S655" s="16" t="s">
        <v>25</v>
      </c>
    </row>
    <row r="656" spans="1:19" x14ac:dyDescent="0.25">
      <c r="A656" s="20" t="s">
        <v>39</v>
      </c>
      <c r="B656" s="13"/>
      <c r="C656" s="64">
        <v>-307.65196493800437</v>
      </c>
      <c r="D656" s="18">
        <v>4.4137654340036097</v>
      </c>
      <c r="E656" s="18">
        <v>246.23276482593363</v>
      </c>
      <c r="F656" s="17">
        <v>-291.48214305368072</v>
      </c>
      <c r="G656" s="19">
        <v>5.2970785743946429</v>
      </c>
      <c r="I656" s="14" t="s">
        <v>40</v>
      </c>
      <c r="J656" s="24">
        <f>MAX(rhoMin,(K656*R655/(B649*B652)))</f>
        <v>1.9196865817825662E-2</v>
      </c>
      <c r="K656" s="15">
        <v>4</v>
      </c>
      <c r="L656" s="39">
        <f>IF(M656&lt;2,(B649-(2*(J649+clrCover))-(K656*J655))/(K656-1),(B649-(2*(J649+clrCover))-(N656*J655))/((N656)-1))</f>
        <v>46</v>
      </c>
      <c r="M656" s="15">
        <v>2</v>
      </c>
      <c r="N656" s="22">
        <f>IF(M656&lt;2,K656,CEILING(K656/2,1))</f>
        <v>2</v>
      </c>
      <c r="O656" s="22">
        <f>K656-N656</f>
        <v>2</v>
      </c>
      <c r="Q656" s="37" t="s">
        <v>74</v>
      </c>
      <c r="R656" s="38">
        <f>rhoMin*B649*B652</f>
        <v>336.93</v>
      </c>
      <c r="S656" s="22">
        <f>ROUNDUP(R656/R655,0)</f>
        <v>1</v>
      </c>
    </row>
    <row r="657" spans="1:19" x14ac:dyDescent="0.25">
      <c r="A657" s="12" t="s">
        <v>26</v>
      </c>
      <c r="B657" s="49">
        <f>B650-clrCover-J649-(IF(M659&gt;1,1.5*J658,0.5*J658))</f>
        <v>510.5</v>
      </c>
      <c r="C657" s="64">
        <v>312.72466034707412</v>
      </c>
      <c r="D657" s="18">
        <v>-4.9313012945213153</v>
      </c>
      <c r="E657" s="18">
        <v>-241.99880334587749</v>
      </c>
      <c r="F657" s="17">
        <v>299.09138143031686</v>
      </c>
      <c r="G657" s="19">
        <v>-5.9181872760735699</v>
      </c>
      <c r="I657" s="90" t="s">
        <v>69</v>
      </c>
      <c r="J657" s="91"/>
      <c r="K657" s="96" t="s">
        <v>35</v>
      </c>
      <c r="L657" s="75" t="s">
        <v>36</v>
      </c>
      <c r="M657" s="96" t="s">
        <v>37</v>
      </c>
      <c r="N657" s="98" t="s">
        <v>38</v>
      </c>
      <c r="O657" s="96" t="s">
        <v>72</v>
      </c>
      <c r="R657" s="36"/>
    </row>
    <row r="658" spans="1:19" x14ac:dyDescent="0.25">
      <c r="A658" s="12" t="s">
        <v>27</v>
      </c>
      <c r="B658" s="50">
        <f>K659*R658</f>
        <v>1960</v>
      </c>
      <c r="C658" s="64">
        <v>-208.79118124085485</v>
      </c>
      <c r="D658" s="18">
        <v>-37.308644504300695</v>
      </c>
      <c r="E658" s="18">
        <v>170.15566741190122</v>
      </c>
      <c r="F658" s="18">
        <v>-196.86109706096053</v>
      </c>
      <c r="G658" s="17">
        <v>-44.778285635692214</v>
      </c>
      <c r="I658" s="14" t="s">
        <v>23</v>
      </c>
      <c r="J658" s="41">
        <v>25</v>
      </c>
      <c r="K658" s="97"/>
      <c r="L658" s="40" t="s">
        <v>9</v>
      </c>
      <c r="M658" s="97"/>
      <c r="N658" s="99"/>
      <c r="O658" s="97"/>
      <c r="Q658" s="14" t="s">
        <v>75</v>
      </c>
      <c r="R658" s="21">
        <f>IF(J658=16,201,IF(J658=20,314,IF(J658=25,490,"Err")))</f>
        <v>490</v>
      </c>
      <c r="S658" s="16" t="s">
        <v>25</v>
      </c>
    </row>
    <row r="659" spans="1:19" x14ac:dyDescent="0.25">
      <c r="A659" s="27" t="s">
        <v>28</v>
      </c>
      <c r="B659" s="52">
        <f>phi*B649*(B657^2)*J659*fy*(1-(0.588*J659*fy/fc))/1000000</f>
        <v>308.28949038719998</v>
      </c>
      <c r="C659" s="53">
        <v>201.62788306680378</v>
      </c>
      <c r="D659" s="28">
        <v>35.634582713916316</v>
      </c>
      <c r="E659" s="28">
        <v>-166.51051500349553</v>
      </c>
      <c r="F659" s="28">
        <v>203.82440233793579</v>
      </c>
      <c r="G659" s="17">
        <v>42.769056460588082</v>
      </c>
      <c r="I659" s="14" t="s">
        <v>40</v>
      </c>
      <c r="J659" s="24">
        <f>MAX(rhoMin,(K659*R658/(B649*B657)))</f>
        <v>1.9196865817825662E-2</v>
      </c>
      <c r="K659" s="15">
        <v>4</v>
      </c>
      <c r="L659" s="21">
        <f>IF(M659&lt;2,(B649-(2*(J649+clrCover))-(K659*J658))/(K659-1),(B649-(2*(J649+clrCover))-(N659*J658))/((N659)-1))</f>
        <v>46</v>
      </c>
      <c r="M659" s="15">
        <v>2</v>
      </c>
      <c r="N659" s="22">
        <f>IF(M659&lt;2,K659,CEILING(K659/2,1))</f>
        <v>2</v>
      </c>
      <c r="O659" s="22">
        <f>K659-N659</f>
        <v>2</v>
      </c>
      <c r="Q659" s="37" t="s">
        <v>74</v>
      </c>
      <c r="R659" s="38">
        <f>rhoMin*B649*B657</f>
        <v>336.93</v>
      </c>
      <c r="S659" s="22">
        <f>ROUNDUP(R659/R658,0)</f>
        <v>1</v>
      </c>
    </row>
    <row r="660" spans="1:19" x14ac:dyDescent="0.25">
      <c r="A660" s="65" t="s">
        <v>76</v>
      </c>
    </row>
    <row r="661" spans="1:19" x14ac:dyDescent="0.25">
      <c r="A661" s="69" t="s">
        <v>138</v>
      </c>
      <c r="B661" s="11" t="s">
        <v>11</v>
      </c>
      <c r="C661" s="10" t="s">
        <v>12</v>
      </c>
      <c r="D661" s="10" t="s">
        <v>13</v>
      </c>
      <c r="E661" s="10" t="s">
        <v>14</v>
      </c>
      <c r="F661" s="10" t="s">
        <v>15</v>
      </c>
      <c r="G661" s="11" t="s">
        <v>16</v>
      </c>
      <c r="H661" s="6">
        <v>125</v>
      </c>
      <c r="I661" s="90" t="s">
        <v>34</v>
      </c>
      <c r="J661" s="91"/>
      <c r="K661" s="71"/>
    </row>
    <row r="662" spans="1:19" x14ac:dyDescent="0.25">
      <c r="A662" s="12" t="s">
        <v>17</v>
      </c>
      <c r="B662" s="48">
        <v>300</v>
      </c>
      <c r="C662" s="44" t="s">
        <v>18</v>
      </c>
      <c r="D662" s="44" t="s">
        <v>18</v>
      </c>
      <c r="E662" s="44" t="s">
        <v>18</v>
      </c>
      <c r="F662" s="44" t="s">
        <v>19</v>
      </c>
      <c r="G662" s="45" t="s">
        <v>19</v>
      </c>
      <c r="H662" s="6">
        <v>150</v>
      </c>
      <c r="I662" s="14" t="s">
        <v>20</v>
      </c>
      <c r="J662" s="15">
        <v>10</v>
      </c>
      <c r="K662" s="16" t="s">
        <v>9</v>
      </c>
      <c r="L662" s="22" t="s">
        <v>29</v>
      </c>
      <c r="M662" s="22" t="s">
        <v>30</v>
      </c>
      <c r="N662" s="22" t="s">
        <v>31</v>
      </c>
      <c r="O662" s="22" t="s">
        <v>32</v>
      </c>
      <c r="P662" s="3"/>
    </row>
    <row r="663" spans="1:19" x14ac:dyDescent="0.25">
      <c r="A663" s="12" t="s">
        <v>22</v>
      </c>
      <c r="B663" s="48">
        <v>400</v>
      </c>
      <c r="C663" s="17">
        <v>-19.344612867334771</v>
      </c>
      <c r="D663" s="63">
        <v>10.331945347373033</v>
      </c>
      <c r="E663" s="63">
        <v>0</v>
      </c>
      <c r="F663" s="63">
        <v>1.585633490811415E-2</v>
      </c>
      <c r="G663" s="54">
        <v>0</v>
      </c>
      <c r="H663" s="6">
        <v>175</v>
      </c>
      <c r="I663" s="56"/>
      <c r="J663" s="57"/>
      <c r="K663" s="58"/>
      <c r="L663" s="92" t="s">
        <v>1</v>
      </c>
      <c r="M663" s="93"/>
      <c r="N663" s="22" t="s">
        <v>35</v>
      </c>
      <c r="O663" s="22" t="s">
        <v>9</v>
      </c>
    </row>
    <row r="664" spans="1:19" x14ac:dyDescent="0.25">
      <c r="A664" s="20" t="s">
        <v>24</v>
      </c>
      <c r="B664" s="13"/>
      <c r="C664" s="17">
        <v>34.13904947026505</v>
      </c>
      <c r="D664" s="18">
        <v>0</v>
      </c>
      <c r="E664" s="18">
        <v>-21.88602548359626</v>
      </c>
      <c r="F664" s="18">
        <v>0</v>
      </c>
      <c r="G664" s="19">
        <v>29.318110708362958</v>
      </c>
      <c r="H664" s="6">
        <v>200</v>
      </c>
      <c r="I664" s="59" t="s">
        <v>70</v>
      </c>
      <c r="J664" s="60"/>
      <c r="K664" s="61"/>
      <c r="L664" s="25">
        <f>MAX(ABS(E667),ABS(E668))*1000/(B665*B662)</f>
        <v>0.62098359018464033</v>
      </c>
      <c r="M664" s="25">
        <f>L664-phiVc</f>
        <v>-4.1525843710455312E-2</v>
      </c>
      <c r="N664" s="26">
        <f>M664*O664*B662/(phiV*fys*0.25*PI()*(J662^2))</f>
        <v>-7.6905231040936203E-2</v>
      </c>
      <c r="O664" s="15">
        <v>100</v>
      </c>
    </row>
    <row r="665" spans="1:19" x14ac:dyDescent="0.25">
      <c r="A665" s="12" t="s">
        <v>26</v>
      </c>
      <c r="B665" s="49">
        <f>B663-clrCover-J662-(IF(M669&gt;1,1.5*J668,0.5*J668))</f>
        <v>340</v>
      </c>
      <c r="C665" s="64">
        <v>34.13904947026505</v>
      </c>
      <c r="D665" s="17">
        <v>-16.272662891908315</v>
      </c>
      <c r="E665" s="18">
        <v>-21.88602548359626</v>
      </c>
      <c r="F665" s="18">
        <v>-15.857950705305779</v>
      </c>
      <c r="G665" s="19">
        <v>29.318110708362958</v>
      </c>
      <c r="H665" s="6">
        <v>250</v>
      </c>
      <c r="I665" s="59" t="s">
        <v>71</v>
      </c>
      <c r="J665" s="60"/>
      <c r="K665" s="61"/>
      <c r="L665" s="25">
        <f>MAX(ABS(E667),ABS(E668))*1000/(B670*B662)</f>
        <v>0.62098359018464033</v>
      </c>
      <c r="M665" s="25">
        <f>L665-phiVc</f>
        <v>-4.1525843710455312E-2</v>
      </c>
      <c r="N665" s="26">
        <f>M665*O665*B662/(phiV*fys*0.25*PI()*(J662^2))</f>
        <v>-7.6905231040936203E-2</v>
      </c>
      <c r="O665" s="15">
        <v>100</v>
      </c>
    </row>
    <row r="666" spans="1:19" x14ac:dyDescent="0.25">
      <c r="A666" s="12" t="s">
        <v>27</v>
      </c>
      <c r="B666" s="50">
        <f>K669*R668</f>
        <v>942</v>
      </c>
      <c r="C666" s="64">
        <v>-19.344612867334771</v>
      </c>
      <c r="D666" s="17">
        <v>10.331945347373033</v>
      </c>
      <c r="E666" s="18">
        <v>-9.8144947776013609</v>
      </c>
      <c r="F666" s="18">
        <v>1.585633490811415E-2</v>
      </c>
      <c r="G666" s="19">
        <v>-18.565716585423559</v>
      </c>
      <c r="H666" s="6">
        <v>300</v>
      </c>
    </row>
    <row r="667" spans="1:19" x14ac:dyDescent="0.25">
      <c r="A667" s="12" t="s">
        <v>28</v>
      </c>
      <c r="B667" s="51">
        <f>-phi*B662*(B665^2)*J669*fy*(1-(0.588*J669*fy/fc))/1000000</f>
        <v>-109.399739510592</v>
      </c>
      <c r="C667" s="64">
        <v>-14.553941592298695</v>
      </c>
      <c r="D667" s="18">
        <v>7.6146908180456476</v>
      </c>
      <c r="E667" s="17">
        <v>-59.688003077660575</v>
      </c>
      <c r="F667" s="18">
        <v>-83.583500451624602</v>
      </c>
      <c r="G667" s="19">
        <v>-14.598054359209257</v>
      </c>
      <c r="I667" s="90" t="s">
        <v>68</v>
      </c>
      <c r="J667" s="91"/>
      <c r="K667" s="94" t="s">
        <v>35</v>
      </c>
      <c r="L667" s="75" t="s">
        <v>36</v>
      </c>
      <c r="M667" s="96" t="s">
        <v>37</v>
      </c>
      <c r="N667" s="98" t="s">
        <v>38</v>
      </c>
      <c r="O667" s="96" t="s">
        <v>72</v>
      </c>
      <c r="Q667" s="34" t="s">
        <v>73</v>
      </c>
    </row>
    <row r="668" spans="1:19" x14ac:dyDescent="0.25">
      <c r="A668" s="23" t="s">
        <v>33</v>
      </c>
      <c r="B668" s="13"/>
      <c r="C668" s="64">
        <v>32.466293988394483</v>
      </c>
      <c r="D668" s="18">
        <v>-15.1294438243236</v>
      </c>
      <c r="E668" s="17">
        <v>63.34032619883331</v>
      </c>
      <c r="F668" s="18">
        <v>-95.934523678603028</v>
      </c>
      <c r="G668" s="19">
        <v>-28.088138635455032</v>
      </c>
      <c r="I668" s="14" t="s">
        <v>23</v>
      </c>
      <c r="J668" s="41">
        <v>20</v>
      </c>
      <c r="K668" s="95"/>
      <c r="L668" s="40" t="s">
        <v>9</v>
      </c>
      <c r="M668" s="97"/>
      <c r="N668" s="99"/>
      <c r="O668" s="97"/>
      <c r="Q668" s="14" t="s">
        <v>75</v>
      </c>
      <c r="R668" s="21">
        <f>IF(J668=16,201,IF(J668=20,314,IF(J668=25,490,"Err")))</f>
        <v>314</v>
      </c>
      <c r="S668" s="16" t="s">
        <v>25</v>
      </c>
    </row>
    <row r="669" spans="1:19" x14ac:dyDescent="0.25">
      <c r="A669" s="20" t="s">
        <v>39</v>
      </c>
      <c r="B669" s="13"/>
      <c r="C669" s="64">
        <v>32.466293988394483</v>
      </c>
      <c r="D669" s="18">
        <v>-15.1294438243236</v>
      </c>
      <c r="E669" s="18">
        <v>63.34032619883331</v>
      </c>
      <c r="F669" s="17">
        <v>-95.934523678603028</v>
      </c>
      <c r="G669" s="19">
        <v>-28.088138635455032</v>
      </c>
      <c r="I669" s="14" t="s">
        <v>40</v>
      </c>
      <c r="J669" s="24">
        <f>MAX(rhoMin,(K669*R668/(B662*B665)))</f>
        <v>9.2352941176470586E-3</v>
      </c>
      <c r="K669" s="15">
        <v>3</v>
      </c>
      <c r="L669" s="39">
        <f>IF(M669&lt;2,(B662-(2*(J662+clrCover))-(K669*J668))/(K669-1),(B662-(2*(J662+clrCover))-(N669*J668))/((N669)-1))</f>
        <v>70</v>
      </c>
      <c r="M669" s="15">
        <v>1</v>
      </c>
      <c r="N669" s="22">
        <f>IF(M669&lt;2,K669,CEILING(K669/2,1))</f>
        <v>3</v>
      </c>
      <c r="O669" s="22">
        <f>K669-N669</f>
        <v>0</v>
      </c>
      <c r="Q669" s="37" t="s">
        <v>74</v>
      </c>
      <c r="R669" s="38">
        <f>rhoMin*B662*B665</f>
        <v>336.6</v>
      </c>
      <c r="S669" s="22">
        <f>ROUNDUP(R669/R668,0)</f>
        <v>2</v>
      </c>
    </row>
    <row r="670" spans="1:19" x14ac:dyDescent="0.25">
      <c r="A670" s="12" t="s">
        <v>26</v>
      </c>
      <c r="B670" s="49">
        <f>B663-clrCover-J662-(IF(M672&gt;1,1.5*J671,0.5*J671))</f>
        <v>340</v>
      </c>
      <c r="C670" s="64">
        <v>-17.671857385464207</v>
      </c>
      <c r="D670" s="18">
        <v>9.1887262797883178</v>
      </c>
      <c r="E670" s="18">
        <v>-25.982421088699262</v>
      </c>
      <c r="F670" s="17">
        <v>69.561207032015957</v>
      </c>
      <c r="G670" s="19">
        <v>16.72324054224946</v>
      </c>
      <c r="I670" s="90" t="s">
        <v>69</v>
      </c>
      <c r="J670" s="91"/>
      <c r="K670" s="96" t="s">
        <v>35</v>
      </c>
      <c r="L670" s="75" t="s">
        <v>36</v>
      </c>
      <c r="M670" s="96" t="s">
        <v>37</v>
      </c>
      <c r="N670" s="98" t="s">
        <v>38</v>
      </c>
      <c r="O670" s="96" t="s">
        <v>72</v>
      </c>
      <c r="R670" s="36"/>
    </row>
    <row r="671" spans="1:19" x14ac:dyDescent="0.25">
      <c r="A671" s="12" t="s">
        <v>27</v>
      </c>
      <c r="B671" s="50">
        <f>K672*R671</f>
        <v>628</v>
      </c>
      <c r="C671" s="64">
        <v>34.13904947026505</v>
      </c>
      <c r="D671" s="18">
        <v>-16.272662891908315</v>
      </c>
      <c r="E671" s="18">
        <v>17.575931871450408</v>
      </c>
      <c r="F671" s="18">
        <v>-7.8347111568728689</v>
      </c>
      <c r="G671" s="17">
        <v>-31.265015423635102</v>
      </c>
      <c r="I671" s="14" t="s">
        <v>23</v>
      </c>
      <c r="J671" s="41">
        <v>20</v>
      </c>
      <c r="K671" s="97"/>
      <c r="L671" s="40" t="s">
        <v>9</v>
      </c>
      <c r="M671" s="97"/>
      <c r="N671" s="99"/>
      <c r="O671" s="97"/>
      <c r="Q671" s="14" t="s">
        <v>75</v>
      </c>
      <c r="R671" s="21">
        <f>IF(J671=16,201,IF(J671=20,314,IF(J671=25,490,"Err")))</f>
        <v>314</v>
      </c>
      <c r="S671" s="16" t="s">
        <v>25</v>
      </c>
    </row>
    <row r="672" spans="1:19" x14ac:dyDescent="0.25">
      <c r="A672" s="27" t="s">
        <v>28</v>
      </c>
      <c r="B672" s="52">
        <f>phi*B662*(B670^2)*J672*fy*(1-(0.588*J672*fy/fc))/1000000</f>
        <v>75.141290449151995</v>
      </c>
      <c r="C672" s="53">
        <v>34.13904947026505</v>
      </c>
      <c r="D672" s="28">
        <v>-16.272662891908315</v>
      </c>
      <c r="E672" s="28">
        <v>-21.88602548359626</v>
      </c>
      <c r="F672" s="28">
        <v>-15.857950705305779</v>
      </c>
      <c r="G672" s="17">
        <v>29.318110708362958</v>
      </c>
      <c r="I672" s="14" t="s">
        <v>40</v>
      </c>
      <c r="J672" s="24">
        <f>MAX(rhoMin,(K672*R671/(B662*B670)))</f>
        <v>6.1568627450980396E-3</v>
      </c>
      <c r="K672" s="15">
        <v>2</v>
      </c>
      <c r="L672" s="21">
        <f>IF(M672&lt;2,(B662-(2*(J662+clrCover))-(K672*J671))/(K672-1),(B662-(2*(J662+clrCover))-(N672*J671))/((N672)-1))</f>
        <v>160</v>
      </c>
      <c r="M672" s="15">
        <v>1</v>
      </c>
      <c r="N672" s="22">
        <f>IF(M672&lt;2,K672,CEILING(K672/2,1))</f>
        <v>2</v>
      </c>
      <c r="O672" s="22">
        <f>K672-N672</f>
        <v>0</v>
      </c>
      <c r="Q672" s="37" t="s">
        <v>74</v>
      </c>
      <c r="R672" s="38">
        <f>rhoMin*B662*B670</f>
        <v>336.6</v>
      </c>
      <c r="S672" s="22">
        <f>ROUNDUP(R672/R671,0)</f>
        <v>2</v>
      </c>
    </row>
    <row r="673" spans="1:19" x14ac:dyDescent="0.25">
      <c r="A673" s="65" t="s">
        <v>76</v>
      </c>
    </row>
    <row r="674" spans="1:19" x14ac:dyDescent="0.25">
      <c r="A674" s="69" t="s">
        <v>139</v>
      </c>
      <c r="B674" s="11" t="s">
        <v>11</v>
      </c>
      <c r="C674" s="10" t="s">
        <v>12</v>
      </c>
      <c r="D674" s="10" t="s">
        <v>13</v>
      </c>
      <c r="E674" s="10" t="s">
        <v>14</v>
      </c>
      <c r="F674" s="10" t="s">
        <v>15</v>
      </c>
      <c r="G674" s="11" t="s">
        <v>16</v>
      </c>
      <c r="H674" s="6">
        <v>125</v>
      </c>
      <c r="I674" s="90" t="s">
        <v>34</v>
      </c>
      <c r="J674" s="91"/>
      <c r="K674" s="71"/>
    </row>
    <row r="675" spans="1:19" x14ac:dyDescent="0.25">
      <c r="A675" s="12" t="s">
        <v>17</v>
      </c>
      <c r="B675" s="48">
        <v>300</v>
      </c>
      <c r="C675" s="44" t="s">
        <v>18</v>
      </c>
      <c r="D675" s="44" t="s">
        <v>18</v>
      </c>
      <c r="E675" s="44" t="s">
        <v>18</v>
      </c>
      <c r="F675" s="44" t="s">
        <v>19</v>
      </c>
      <c r="G675" s="45" t="s">
        <v>19</v>
      </c>
      <c r="H675" s="6">
        <v>150</v>
      </c>
      <c r="I675" s="14" t="s">
        <v>20</v>
      </c>
      <c r="J675" s="15">
        <v>10</v>
      </c>
      <c r="K675" s="16" t="s">
        <v>9</v>
      </c>
      <c r="L675" s="22" t="s">
        <v>29</v>
      </c>
      <c r="M675" s="22" t="s">
        <v>30</v>
      </c>
      <c r="N675" s="22" t="s">
        <v>31</v>
      </c>
      <c r="O675" s="22" t="s">
        <v>32</v>
      </c>
      <c r="P675" s="3"/>
    </row>
    <row r="676" spans="1:19" x14ac:dyDescent="0.25">
      <c r="A676" s="12" t="s">
        <v>22</v>
      </c>
      <c r="B676" s="48">
        <v>500</v>
      </c>
      <c r="C676" s="17">
        <v>-132.8527659060872</v>
      </c>
      <c r="D676" s="63">
        <v>6.2417963751991952</v>
      </c>
      <c r="E676" s="63">
        <v>0</v>
      </c>
      <c r="F676" s="63">
        <v>-64.332168666698266</v>
      </c>
      <c r="G676" s="54">
        <v>0</v>
      </c>
      <c r="H676" s="6">
        <v>175</v>
      </c>
      <c r="I676" s="56"/>
      <c r="J676" s="57"/>
      <c r="K676" s="58"/>
      <c r="L676" s="92" t="s">
        <v>1</v>
      </c>
      <c r="M676" s="93"/>
      <c r="N676" s="22" t="s">
        <v>35</v>
      </c>
      <c r="O676" s="22" t="s">
        <v>9</v>
      </c>
    </row>
    <row r="677" spans="1:19" x14ac:dyDescent="0.25">
      <c r="A677" s="20" t="s">
        <v>24</v>
      </c>
      <c r="B677" s="13"/>
      <c r="C677" s="17">
        <v>168.75918322182807</v>
      </c>
      <c r="D677" s="18">
        <v>0</v>
      </c>
      <c r="E677" s="18">
        <v>-26.439208769582599</v>
      </c>
      <c r="F677" s="18">
        <v>0</v>
      </c>
      <c r="G677" s="19">
        <v>6.5835314313648903</v>
      </c>
      <c r="H677" s="6">
        <v>200</v>
      </c>
      <c r="I677" s="59" t="s">
        <v>70</v>
      </c>
      <c r="J677" s="60"/>
      <c r="K677" s="61"/>
      <c r="L677" s="25">
        <f>MAX(ABS(E680),ABS(E681))*1000/(B678*B675)</f>
        <v>1.3204840681766374</v>
      </c>
      <c r="M677" s="25">
        <f>L677-phiVc</f>
        <v>0.65797463428154179</v>
      </c>
      <c r="N677" s="26">
        <f>M677*O677*B675/(phiV*fys*0.25*PI()*(J675^2))</f>
        <v>1.2185590164362405</v>
      </c>
      <c r="O677" s="15">
        <v>100</v>
      </c>
    </row>
    <row r="678" spans="1:19" x14ac:dyDescent="0.25">
      <c r="A678" s="12" t="s">
        <v>26</v>
      </c>
      <c r="B678" s="49">
        <f>B676-clrCover-J675-(IF(M682&gt;1,1.5*J681,0.5*J681))</f>
        <v>420</v>
      </c>
      <c r="C678" s="64">
        <v>8.5374694986692227E-4</v>
      </c>
      <c r="D678" s="17">
        <v>-33.799900946217136</v>
      </c>
      <c r="E678" s="18">
        <v>9.4854428470263734</v>
      </c>
      <c r="F678" s="18">
        <v>62.601889162126696</v>
      </c>
      <c r="G678" s="19">
        <v>20.698735218430116</v>
      </c>
      <c r="H678" s="6">
        <v>250</v>
      </c>
      <c r="I678" s="59" t="s">
        <v>71</v>
      </c>
      <c r="J678" s="60"/>
      <c r="K678" s="61"/>
      <c r="L678" s="25">
        <f>MAX(ABS(E680),ABS(E681))*1000/(B683*B675)</f>
        <v>1.2604620650776994</v>
      </c>
      <c r="M678" s="25">
        <f>L678-phiVc</f>
        <v>0.59795263118260378</v>
      </c>
      <c r="N678" s="26">
        <f>M678*O678*B675/(phiV*fys*0.25*PI()*(J675^2))</f>
        <v>1.1073991794910998</v>
      </c>
      <c r="O678" s="15">
        <v>100</v>
      </c>
    </row>
    <row r="679" spans="1:19" x14ac:dyDescent="0.25">
      <c r="A679" s="12" t="s">
        <v>27</v>
      </c>
      <c r="B679" s="50">
        <f>K682*R681</f>
        <v>1570</v>
      </c>
      <c r="C679" s="64">
        <v>1.3777571988908906E-3</v>
      </c>
      <c r="D679" s="17">
        <v>33.799925150553172</v>
      </c>
      <c r="E679" s="18">
        <v>14.953290938775451</v>
      </c>
      <c r="F679" s="18">
        <v>95.66709478408022</v>
      </c>
      <c r="G679" s="19">
        <v>-20.698786163060856</v>
      </c>
      <c r="H679" s="6">
        <v>300</v>
      </c>
    </row>
    <row r="680" spans="1:19" x14ac:dyDescent="0.25">
      <c r="A680" s="12" t="s">
        <v>28</v>
      </c>
      <c r="B680" s="51">
        <f>-phi*B675*(B678^2)*J682*fy*(1-(0.588*J682*fy/fc))/1000000</f>
        <v>-218.09080530719999</v>
      </c>
      <c r="C680" s="64">
        <v>1.9856041660968569E-3</v>
      </c>
      <c r="D680" s="18">
        <v>-5.0725152003180671</v>
      </c>
      <c r="E680" s="17">
        <v>-166.38099259025631</v>
      </c>
      <c r="F680" s="18">
        <v>-198.13821442779229</v>
      </c>
      <c r="G680" s="19">
        <v>2.865634522271955</v>
      </c>
      <c r="I680" s="90" t="s">
        <v>68</v>
      </c>
      <c r="J680" s="91"/>
      <c r="K680" s="94" t="s">
        <v>35</v>
      </c>
      <c r="L680" s="75" t="s">
        <v>36</v>
      </c>
      <c r="M680" s="96" t="s">
        <v>37</v>
      </c>
      <c r="N680" s="98" t="s">
        <v>38</v>
      </c>
      <c r="O680" s="96" t="s">
        <v>72</v>
      </c>
      <c r="Q680" s="34" t="s">
        <v>73</v>
      </c>
    </row>
    <row r="681" spans="1:19" x14ac:dyDescent="0.25">
      <c r="A681" s="23" t="s">
        <v>33</v>
      </c>
      <c r="B681" s="13"/>
      <c r="C681" s="64">
        <v>1.935676990212801E-3</v>
      </c>
      <c r="D681" s="18">
        <v>9.6035047118303805</v>
      </c>
      <c r="E681" s="17">
        <v>155.63017123556173</v>
      </c>
      <c r="F681" s="18">
        <v>-219.59132116703898</v>
      </c>
      <c r="G681" s="19">
        <v>7.7341222906685134</v>
      </c>
      <c r="I681" s="14" t="s">
        <v>23</v>
      </c>
      <c r="J681" s="41">
        <v>20</v>
      </c>
      <c r="K681" s="95"/>
      <c r="L681" s="40" t="s">
        <v>9</v>
      </c>
      <c r="M681" s="97"/>
      <c r="N681" s="99"/>
      <c r="O681" s="97"/>
      <c r="Q681" s="14" t="s">
        <v>75</v>
      </c>
      <c r="R681" s="21">
        <f>IF(J681=16,201,IF(J681=20,314,IF(J681=25,490,"Err")))</f>
        <v>314</v>
      </c>
      <c r="S681" s="16" t="s">
        <v>25</v>
      </c>
    </row>
    <row r="682" spans="1:19" x14ac:dyDescent="0.25">
      <c r="A682" s="20" t="s">
        <v>39</v>
      </c>
      <c r="B682" s="13"/>
      <c r="C682" s="64">
        <v>-2.6142884725148178E-3</v>
      </c>
      <c r="D682" s="18">
        <v>-2.609876130402444E-5</v>
      </c>
      <c r="E682" s="18">
        <v>121.28732012306334</v>
      </c>
      <c r="F682" s="17">
        <v>-224.04987265836021</v>
      </c>
      <c r="G682" s="19">
        <v>-6.251652221303434E-5</v>
      </c>
      <c r="I682" s="14" t="s">
        <v>40</v>
      </c>
      <c r="J682" s="24">
        <f>MAX(rhoMin,(K682*R681/(B675*B678)))</f>
        <v>1.246031746031746E-2</v>
      </c>
      <c r="K682" s="15">
        <v>5</v>
      </c>
      <c r="L682" s="39">
        <f>IF(M682&lt;2,(B675-(2*(J675+clrCover))-(K682*J681))/(K682-1),(B675-(2*(J675+clrCover))-(N682*J681))/((N682)-1))</f>
        <v>70</v>
      </c>
      <c r="M682" s="15">
        <v>2</v>
      </c>
      <c r="N682" s="22">
        <f>IF(M682&lt;2,K682,CEILING(K682/2,1))</f>
        <v>3</v>
      </c>
      <c r="O682" s="22">
        <f>K682-N682</f>
        <v>2</v>
      </c>
      <c r="Q682" s="37" t="s">
        <v>74</v>
      </c>
      <c r="R682" s="38">
        <f>rhoMin*B675*B678</f>
        <v>415.8</v>
      </c>
      <c r="S682" s="22">
        <f>ROUNDUP(R682/R681,0)</f>
        <v>2</v>
      </c>
    </row>
    <row r="683" spans="1:19" x14ac:dyDescent="0.25">
      <c r="A683" s="12" t="s">
        <v>26</v>
      </c>
      <c r="B683" s="49">
        <f>B676-clrCover-J675-(IF(M685&gt;1,1.5*J684,0.5*J684))</f>
        <v>440</v>
      </c>
      <c r="C683" s="64">
        <v>1.9356448398416585E-3</v>
      </c>
      <c r="D683" s="18">
        <v>-16.253115498519783</v>
      </c>
      <c r="E683" s="18">
        <v>31.039218050193199</v>
      </c>
      <c r="F683" s="17">
        <v>166.39202737647204</v>
      </c>
      <c r="G683" s="19">
        <v>10.0392599894969</v>
      </c>
      <c r="I683" s="90" t="s">
        <v>69</v>
      </c>
      <c r="J683" s="91"/>
      <c r="K683" s="96" t="s">
        <v>35</v>
      </c>
      <c r="L683" s="75" t="s">
        <v>36</v>
      </c>
      <c r="M683" s="96" t="s">
        <v>37</v>
      </c>
      <c r="N683" s="98" t="s">
        <v>38</v>
      </c>
      <c r="O683" s="96" t="s">
        <v>72</v>
      </c>
      <c r="R683" s="36"/>
    </row>
    <row r="684" spans="1:19" x14ac:dyDescent="0.25">
      <c r="A684" s="12" t="s">
        <v>27</v>
      </c>
      <c r="B684" s="50">
        <f>K685*R684</f>
        <v>1256</v>
      </c>
      <c r="C684" s="64">
        <v>25.078074843561549</v>
      </c>
      <c r="D684" s="18">
        <v>19.062480485003476</v>
      </c>
      <c r="E684" s="18">
        <v>7.0145166529572904</v>
      </c>
      <c r="F684" s="18">
        <v>36.055579184096885</v>
      </c>
      <c r="G684" s="17">
        <v>-27.815502139314695</v>
      </c>
      <c r="I684" s="14" t="s">
        <v>23</v>
      </c>
      <c r="J684" s="41">
        <v>20</v>
      </c>
      <c r="K684" s="97"/>
      <c r="L684" s="40" t="s">
        <v>9</v>
      </c>
      <c r="M684" s="97"/>
      <c r="N684" s="99"/>
      <c r="O684" s="97"/>
      <c r="Q684" s="14" t="s">
        <v>75</v>
      </c>
      <c r="R684" s="21">
        <f>IF(J684=16,201,IF(J684=20,314,IF(J684=25,490,"Err")))</f>
        <v>314</v>
      </c>
      <c r="S684" s="16" t="s">
        <v>25</v>
      </c>
    </row>
    <row r="685" spans="1:19" x14ac:dyDescent="0.25">
      <c r="A685" s="27" t="s">
        <v>28</v>
      </c>
      <c r="B685" s="52">
        <f>phi*B675*(B683^2)*J685*fy*(1-(0.588*J685*fy/fc))/1000000</f>
        <v>188.24861779660799</v>
      </c>
      <c r="C685" s="53">
        <v>7.4054983059619324E-4</v>
      </c>
      <c r="D685" s="28">
        <v>-23.235732463588715</v>
      </c>
      <c r="E685" s="28">
        <v>-39.693368421864491</v>
      </c>
      <c r="F685" s="28">
        <v>-27.080037014430072</v>
      </c>
      <c r="G685" s="17">
        <v>23.128592677395627</v>
      </c>
      <c r="I685" s="14" t="s">
        <v>40</v>
      </c>
      <c r="J685" s="24">
        <f>MAX(rhoMin,(K685*R684/(B675*B683)))</f>
        <v>9.5151515151515147E-3</v>
      </c>
      <c r="K685" s="15">
        <v>4</v>
      </c>
      <c r="L685" s="21">
        <f>IF(M685&lt;2,(B675-(2*(J675+clrCover))-(K685*J684))/(K685-1),(B675-(2*(J675+clrCover))-(N685*J684))/((N685)-1))</f>
        <v>40</v>
      </c>
      <c r="M685" s="15">
        <v>1</v>
      </c>
      <c r="N685" s="22">
        <f>IF(M685&lt;2,K685,CEILING(K685/2,1))</f>
        <v>4</v>
      </c>
      <c r="O685" s="22">
        <f>K685-N685</f>
        <v>0</v>
      </c>
      <c r="Q685" s="37" t="s">
        <v>74</v>
      </c>
      <c r="R685" s="38">
        <f>rhoMin*B675*B683</f>
        <v>435.6</v>
      </c>
      <c r="S685" s="22">
        <f>ROUNDUP(R685/R684,0)</f>
        <v>2</v>
      </c>
    </row>
    <row r="686" spans="1:19" x14ac:dyDescent="0.25">
      <c r="A686" s="65" t="s">
        <v>76</v>
      </c>
    </row>
    <row r="687" spans="1:19" x14ac:dyDescent="0.25">
      <c r="A687" s="69" t="s">
        <v>141</v>
      </c>
      <c r="B687" s="11" t="s">
        <v>11</v>
      </c>
      <c r="C687" s="10" t="s">
        <v>12</v>
      </c>
      <c r="D687" s="10" t="s">
        <v>13</v>
      </c>
      <c r="E687" s="10" t="s">
        <v>14</v>
      </c>
      <c r="F687" s="10" t="s">
        <v>15</v>
      </c>
      <c r="G687" s="11" t="s">
        <v>16</v>
      </c>
      <c r="H687" s="6">
        <v>125</v>
      </c>
      <c r="I687" s="90" t="s">
        <v>34</v>
      </c>
      <c r="J687" s="91"/>
      <c r="K687" s="71"/>
    </row>
    <row r="688" spans="1:19" x14ac:dyDescent="0.25">
      <c r="A688" s="12" t="s">
        <v>17</v>
      </c>
      <c r="B688" s="48">
        <v>300</v>
      </c>
      <c r="C688" s="44" t="s">
        <v>18</v>
      </c>
      <c r="D688" s="44" t="s">
        <v>18</v>
      </c>
      <c r="E688" s="44" t="s">
        <v>18</v>
      </c>
      <c r="F688" s="44" t="s">
        <v>19</v>
      </c>
      <c r="G688" s="45" t="s">
        <v>19</v>
      </c>
      <c r="H688" s="6">
        <v>150</v>
      </c>
      <c r="I688" s="14" t="s">
        <v>20</v>
      </c>
      <c r="J688" s="15">
        <v>10</v>
      </c>
      <c r="K688" s="16" t="s">
        <v>9</v>
      </c>
      <c r="L688" s="22" t="s">
        <v>29</v>
      </c>
      <c r="M688" s="22" t="s">
        <v>30</v>
      </c>
      <c r="N688" s="22" t="s">
        <v>31</v>
      </c>
      <c r="O688" s="22" t="s">
        <v>32</v>
      </c>
      <c r="P688" s="3"/>
    </row>
    <row r="689" spans="1:19" x14ac:dyDescent="0.25">
      <c r="A689" s="12" t="s">
        <v>22</v>
      </c>
      <c r="B689" s="48">
        <v>600</v>
      </c>
      <c r="C689" s="17">
        <v>-105.41313250812212</v>
      </c>
      <c r="D689" s="63">
        <v>-9.9586480550881902</v>
      </c>
      <c r="E689" s="63">
        <v>0</v>
      </c>
      <c r="F689" s="63">
        <v>85.302531834956994</v>
      </c>
      <c r="G689" s="54">
        <v>0</v>
      </c>
      <c r="H689" s="6">
        <v>175</v>
      </c>
      <c r="I689" s="56"/>
      <c r="J689" s="57"/>
      <c r="K689" s="58"/>
      <c r="L689" s="92" t="s">
        <v>1</v>
      </c>
      <c r="M689" s="93"/>
      <c r="N689" s="22" t="s">
        <v>35</v>
      </c>
      <c r="O689" s="22" t="s">
        <v>9</v>
      </c>
    </row>
    <row r="690" spans="1:19" x14ac:dyDescent="0.25">
      <c r="A690" s="20" t="s">
        <v>24</v>
      </c>
      <c r="B690" s="13"/>
      <c r="C690" s="17">
        <v>120.27102715057762</v>
      </c>
      <c r="D690" s="18">
        <v>0</v>
      </c>
      <c r="E690" s="18">
        <v>70.84609641320769</v>
      </c>
      <c r="F690" s="18">
        <v>0</v>
      </c>
      <c r="G690" s="19">
        <v>-3.268531684133003</v>
      </c>
      <c r="H690" s="6">
        <v>200</v>
      </c>
      <c r="I690" s="59" t="s">
        <v>70</v>
      </c>
      <c r="J690" s="60"/>
      <c r="K690" s="61"/>
      <c r="L690" s="25">
        <f>MAX(ABS(E693),ABS(E694))*1000/(B691*B688)</f>
        <v>1.8804085937431201</v>
      </c>
      <c r="M690" s="25">
        <f>L690-phiVc</f>
        <v>1.2178991598480244</v>
      </c>
      <c r="N690" s="26">
        <f>M690*O690*B688/(phiV*fys*0.25*PI()*(J688^2))</f>
        <v>2.2555307226447066</v>
      </c>
      <c r="O690" s="15">
        <v>100</v>
      </c>
    </row>
    <row r="691" spans="1:19" x14ac:dyDescent="0.25">
      <c r="A691" s="12" t="s">
        <v>26</v>
      </c>
      <c r="B691" s="49">
        <f>B689-clrCover-J688-(IF(M695&gt;1,1.5*J694,0.5*J694))</f>
        <v>520</v>
      </c>
      <c r="C691" s="64">
        <v>-105.33891669667314</v>
      </c>
      <c r="D691" s="17">
        <v>-14.615117090623453</v>
      </c>
      <c r="E691" s="18">
        <v>-63.62435638078545</v>
      </c>
      <c r="F691" s="18">
        <v>75.386184703105968</v>
      </c>
      <c r="G691" s="19">
        <v>5.5263262347333857</v>
      </c>
      <c r="H691" s="6">
        <v>250</v>
      </c>
      <c r="I691" s="59" t="s">
        <v>71</v>
      </c>
      <c r="J691" s="60"/>
      <c r="K691" s="61"/>
      <c r="L691" s="25">
        <f>MAX(ABS(E693),ABS(E694))*1000/(B696*B688)</f>
        <v>1.8107638310118934</v>
      </c>
      <c r="M691" s="25">
        <f>L691-phiVc</f>
        <v>1.1482543971167978</v>
      </c>
      <c r="N691" s="26">
        <f>M691*O691*B688/(phiV*fys*0.25*PI()*(J688^2))</f>
        <v>2.1265496812002036</v>
      </c>
      <c r="O691" s="15">
        <v>100</v>
      </c>
    </row>
    <row r="692" spans="1:19" x14ac:dyDescent="0.25">
      <c r="A692" s="12" t="s">
        <v>27</v>
      </c>
      <c r="B692" s="50">
        <f>K695*R694</f>
        <v>2198</v>
      </c>
      <c r="C692" s="64">
        <v>110.0365203588906</v>
      </c>
      <c r="D692" s="17">
        <v>21.230174523298054</v>
      </c>
      <c r="E692" s="18">
        <v>101.91313539755936</v>
      </c>
      <c r="F692" s="18">
        <v>-96.537655212458517</v>
      </c>
      <c r="G692" s="19">
        <v>-8.489491555148625</v>
      </c>
      <c r="H692" s="6">
        <v>300</v>
      </c>
    </row>
    <row r="693" spans="1:19" x14ac:dyDescent="0.25">
      <c r="A693" s="12" t="s">
        <v>28</v>
      </c>
      <c r="B693" s="51">
        <f>-phi*B688*(B691^2)*J695*fy*(1-(0.588*J695*fy/fc))/1000000</f>
        <v>-371.76769200211197</v>
      </c>
      <c r="C693" s="64">
        <v>7.4513211496378049E-4</v>
      </c>
      <c r="D693" s="18">
        <v>-0.10410086633185572</v>
      </c>
      <c r="E693" s="17">
        <v>-293.34374062392675</v>
      </c>
      <c r="F693" s="18">
        <v>-367.19549347398129</v>
      </c>
      <c r="G693" s="19">
        <v>1.7346823337011114E-2</v>
      </c>
      <c r="I693" s="90" t="s">
        <v>68</v>
      </c>
      <c r="J693" s="91"/>
      <c r="K693" s="94" t="s">
        <v>35</v>
      </c>
      <c r="L693" s="75" t="s">
        <v>36</v>
      </c>
      <c r="M693" s="96" t="s">
        <v>37</v>
      </c>
      <c r="N693" s="98" t="s">
        <v>38</v>
      </c>
      <c r="O693" s="96" t="s">
        <v>72</v>
      </c>
      <c r="Q693" s="34" t="s">
        <v>73</v>
      </c>
    </row>
    <row r="694" spans="1:19" x14ac:dyDescent="0.25">
      <c r="A694" s="23" t="s">
        <v>33</v>
      </c>
      <c r="B694" s="13"/>
      <c r="C694" s="64">
        <v>-5.1112614516787293E-4</v>
      </c>
      <c r="D694" s="18">
        <v>0.33750020955454241</v>
      </c>
      <c r="E694" s="17">
        <v>141.82052351343478</v>
      </c>
      <c r="F694" s="18">
        <v>-231.57611633664573</v>
      </c>
      <c r="G694" s="19">
        <v>0.25566901781297424</v>
      </c>
      <c r="I694" s="14" t="s">
        <v>23</v>
      </c>
      <c r="J694" s="41">
        <v>20</v>
      </c>
      <c r="K694" s="95"/>
      <c r="L694" s="40" t="s">
        <v>9</v>
      </c>
      <c r="M694" s="97"/>
      <c r="N694" s="99"/>
      <c r="O694" s="97"/>
      <c r="Q694" s="14" t="s">
        <v>75</v>
      </c>
      <c r="R694" s="21">
        <f>IF(J694=16,201,IF(J694=20,314,IF(J694=25,490,"Err")))</f>
        <v>314</v>
      </c>
      <c r="S694" s="16" t="s">
        <v>25</v>
      </c>
    </row>
    <row r="695" spans="1:19" x14ac:dyDescent="0.25">
      <c r="A695" s="20" t="s">
        <v>39</v>
      </c>
      <c r="B695" s="13"/>
      <c r="C695" s="64">
        <v>7.4513211496378049E-4</v>
      </c>
      <c r="D695" s="18">
        <v>-0.10410086633185572</v>
      </c>
      <c r="E695" s="18">
        <v>-293.34374062392675</v>
      </c>
      <c r="F695" s="17">
        <v>-367.19549347398129</v>
      </c>
      <c r="G695" s="19">
        <v>1.7346823337011114E-2</v>
      </c>
      <c r="I695" s="14" t="s">
        <v>40</v>
      </c>
      <c r="J695" s="24">
        <f>MAX(rhoMin,(K695*R694/(B688*B691)))</f>
        <v>1.4089743589743589E-2</v>
      </c>
      <c r="K695" s="15">
        <v>7</v>
      </c>
      <c r="L695" s="39">
        <f>IF(M695&lt;2,(B688-(2*(J688+clrCover))-(K695*J694))/(K695-1),(B688-(2*(J688+clrCover))-(N695*J694))/((N695)-1))</f>
        <v>40</v>
      </c>
      <c r="M695" s="15">
        <v>2</v>
      </c>
      <c r="N695" s="22">
        <f>IF(M695&lt;2,K695,CEILING(K695/2,1))</f>
        <v>4</v>
      </c>
      <c r="O695" s="22">
        <f>K695-N695</f>
        <v>3</v>
      </c>
      <c r="Q695" s="37" t="s">
        <v>74</v>
      </c>
      <c r="R695" s="38">
        <f>rhoMin*B688*B691</f>
        <v>514.79999999999995</v>
      </c>
      <c r="S695" s="22">
        <f>ROUNDUP(R695/R694,0)</f>
        <v>2</v>
      </c>
    </row>
    <row r="696" spans="1:19" x14ac:dyDescent="0.25">
      <c r="A696" s="12" t="s">
        <v>26</v>
      </c>
      <c r="B696" s="49">
        <f>B689-clrCover-J688-(IF(M698&gt;1,1.5*J697,0.5*J697))</f>
        <v>540</v>
      </c>
      <c r="C696" s="64">
        <v>-59.715649734479449</v>
      </c>
      <c r="D696" s="18">
        <v>1.933899892284771</v>
      </c>
      <c r="E696" s="18">
        <v>61.661434578924123</v>
      </c>
      <c r="F696" s="17">
        <v>159.85063219075724</v>
      </c>
      <c r="G696" s="19">
        <v>-2.040134527272278</v>
      </c>
      <c r="I696" s="90" t="s">
        <v>69</v>
      </c>
      <c r="J696" s="91"/>
      <c r="K696" s="96" t="s">
        <v>35</v>
      </c>
      <c r="L696" s="75" t="s">
        <v>36</v>
      </c>
      <c r="M696" s="96" t="s">
        <v>37</v>
      </c>
      <c r="N696" s="98" t="s">
        <v>38</v>
      </c>
      <c r="O696" s="96" t="s">
        <v>72</v>
      </c>
      <c r="R696" s="36"/>
    </row>
    <row r="697" spans="1:19" x14ac:dyDescent="0.25">
      <c r="A697" s="12" t="s">
        <v>27</v>
      </c>
      <c r="B697" s="50">
        <f>K698*R697</f>
        <v>1256</v>
      </c>
      <c r="C697" s="64">
        <v>-105.33891669667314</v>
      </c>
      <c r="D697" s="18">
        <v>-14.615117090623453</v>
      </c>
      <c r="E697" s="18">
        <v>-54.589618137273412</v>
      </c>
      <c r="F697" s="18">
        <v>137.57483520693063</v>
      </c>
      <c r="G697" s="17">
        <v>-9.8507797720088224</v>
      </c>
      <c r="I697" s="14" t="s">
        <v>23</v>
      </c>
      <c r="J697" s="41">
        <v>20</v>
      </c>
      <c r="K697" s="97"/>
      <c r="L697" s="40" t="s">
        <v>9</v>
      </c>
      <c r="M697" s="97"/>
      <c r="N697" s="99"/>
      <c r="O697" s="97"/>
      <c r="Q697" s="14" t="s">
        <v>75</v>
      </c>
      <c r="R697" s="21">
        <f>IF(J697=16,201,IF(J697=20,314,IF(J697=25,490,"Err")))</f>
        <v>314</v>
      </c>
      <c r="S697" s="16" t="s">
        <v>25</v>
      </c>
    </row>
    <row r="698" spans="1:19" x14ac:dyDescent="0.25">
      <c r="A698" s="27" t="s">
        <v>28</v>
      </c>
      <c r="B698" s="52">
        <f>phi*B688*(B696^2)*J698*fy*(1-(0.588*J698*fy/fc))/1000000</f>
        <v>235.047177796608</v>
      </c>
      <c r="C698" s="53">
        <v>110.0365203588906</v>
      </c>
      <c r="D698" s="28">
        <v>21.230174523298054</v>
      </c>
      <c r="E698" s="28">
        <v>113.95945305557542</v>
      </c>
      <c r="F698" s="28">
        <v>-210.1014281200105</v>
      </c>
      <c r="G698" s="17">
        <v>13.847561385456023</v>
      </c>
      <c r="I698" s="14" t="s">
        <v>40</v>
      </c>
      <c r="J698" s="24">
        <f>MAX(rhoMin,(K698*R697/(B688*B696)))</f>
        <v>7.7530864197530866E-3</v>
      </c>
      <c r="K698" s="15">
        <v>4</v>
      </c>
      <c r="L698" s="21">
        <f>IF(M698&lt;2,(B688-(2*(J688+clrCover))-(K698*J697))/(K698-1),(B688-(2*(J688+clrCover))-(N698*J697))/((N698)-1))</f>
        <v>40</v>
      </c>
      <c r="M698" s="15">
        <v>1</v>
      </c>
      <c r="N698" s="22">
        <f>IF(M698&lt;2,K698,CEILING(K698/2,1))</f>
        <v>4</v>
      </c>
      <c r="O698" s="22">
        <f>K698-N698</f>
        <v>0</v>
      </c>
      <c r="Q698" s="37" t="s">
        <v>74</v>
      </c>
      <c r="R698" s="38">
        <f>rhoMin*B688*B696</f>
        <v>534.6</v>
      </c>
      <c r="S698" s="22">
        <f>ROUNDUP(R698/R697,0)</f>
        <v>2</v>
      </c>
    </row>
    <row r="699" spans="1:19" x14ac:dyDescent="0.25">
      <c r="A699" s="65" t="s">
        <v>76</v>
      </c>
    </row>
    <row r="700" spans="1:19" x14ac:dyDescent="0.25">
      <c r="A700" s="69" t="s">
        <v>143</v>
      </c>
      <c r="B700" s="11" t="s">
        <v>11</v>
      </c>
      <c r="C700" s="10" t="s">
        <v>12</v>
      </c>
      <c r="D700" s="10" t="s">
        <v>13</v>
      </c>
      <c r="E700" s="10" t="s">
        <v>14</v>
      </c>
      <c r="F700" s="10" t="s">
        <v>15</v>
      </c>
      <c r="G700" s="11" t="s">
        <v>16</v>
      </c>
      <c r="H700" s="6">
        <v>125</v>
      </c>
      <c r="I700" s="90" t="s">
        <v>34</v>
      </c>
      <c r="J700" s="91"/>
      <c r="K700" s="71"/>
    </row>
    <row r="701" spans="1:19" x14ac:dyDescent="0.25">
      <c r="A701" s="12" t="s">
        <v>17</v>
      </c>
      <c r="B701" s="48">
        <v>400</v>
      </c>
      <c r="C701" s="44" t="s">
        <v>18</v>
      </c>
      <c r="D701" s="44" t="s">
        <v>18</v>
      </c>
      <c r="E701" s="44" t="s">
        <v>18</v>
      </c>
      <c r="F701" s="44" t="s">
        <v>19</v>
      </c>
      <c r="G701" s="45" t="s">
        <v>19</v>
      </c>
      <c r="H701" s="6">
        <v>150</v>
      </c>
      <c r="I701" s="14" t="s">
        <v>20</v>
      </c>
      <c r="J701" s="15">
        <v>10</v>
      </c>
      <c r="K701" s="16" t="s">
        <v>9</v>
      </c>
      <c r="L701" s="22" t="s">
        <v>29</v>
      </c>
      <c r="M701" s="22" t="s">
        <v>30</v>
      </c>
      <c r="N701" s="22" t="s">
        <v>31</v>
      </c>
      <c r="O701" s="22" t="s">
        <v>32</v>
      </c>
      <c r="P701" s="3"/>
    </row>
    <row r="702" spans="1:19" x14ac:dyDescent="0.25">
      <c r="A702" s="12" t="s">
        <v>22</v>
      </c>
      <c r="B702" s="48">
        <v>700</v>
      </c>
      <c r="C702" s="17">
        <v>-8.8227778516898978E-3</v>
      </c>
      <c r="D702" s="63">
        <v>3.0358901328782016E-2</v>
      </c>
      <c r="E702" s="63">
        <v>0</v>
      </c>
      <c r="F702" s="63">
        <v>-237.42587139892856</v>
      </c>
      <c r="G702" s="54">
        <v>0</v>
      </c>
      <c r="H702" s="6">
        <v>175</v>
      </c>
      <c r="I702" s="56"/>
      <c r="J702" s="57"/>
      <c r="K702" s="58"/>
      <c r="L702" s="92" t="s">
        <v>1</v>
      </c>
      <c r="M702" s="93"/>
      <c r="N702" s="22" t="s">
        <v>35</v>
      </c>
      <c r="O702" s="22" t="s">
        <v>9</v>
      </c>
    </row>
    <row r="703" spans="1:19" x14ac:dyDescent="0.25">
      <c r="A703" s="20" t="s">
        <v>24</v>
      </c>
      <c r="B703" s="13"/>
      <c r="C703" s="17">
        <v>2.7078860961893225E-2</v>
      </c>
      <c r="D703" s="18">
        <v>0</v>
      </c>
      <c r="E703" s="18">
        <v>-170.38370543440539</v>
      </c>
      <c r="F703" s="18">
        <v>0</v>
      </c>
      <c r="G703" s="19">
        <v>9.9528763788589939E-3</v>
      </c>
      <c r="H703" s="6">
        <v>200</v>
      </c>
      <c r="I703" s="59" t="s">
        <v>70</v>
      </c>
      <c r="J703" s="60"/>
      <c r="K703" s="61"/>
      <c r="L703" s="25">
        <f>MAX(ABS(E706),ABS(E707))*1000/(B704*B701)</f>
        <v>1.610746390323216</v>
      </c>
      <c r="M703" s="25">
        <f>L703-phiVc</f>
        <v>0.94823695642812034</v>
      </c>
      <c r="N703" s="26">
        <f>M703*O703*B701/(phiV*fys*0.25*PI()*(J701^2))</f>
        <v>2.3414938971221253</v>
      </c>
      <c r="O703" s="15">
        <v>100</v>
      </c>
    </row>
    <row r="704" spans="1:19" x14ac:dyDescent="0.25">
      <c r="A704" s="12" t="s">
        <v>26</v>
      </c>
      <c r="B704" s="49">
        <f>B702-clrCover-J701-(IF(M708&gt;1,1.5*J707,0.5*J707))</f>
        <v>620</v>
      </c>
      <c r="C704" s="64">
        <v>2.3307908989263524E-4</v>
      </c>
      <c r="D704" s="17">
        <v>-2.4295569999429212</v>
      </c>
      <c r="E704" s="18">
        <v>117.28763872727575</v>
      </c>
      <c r="F704" s="18">
        <v>-176.47002845210395</v>
      </c>
      <c r="G704" s="19">
        <v>-2.3707838476519281</v>
      </c>
      <c r="H704" s="6">
        <v>250</v>
      </c>
      <c r="I704" s="59" t="s">
        <v>71</v>
      </c>
      <c r="J704" s="60"/>
      <c r="K704" s="61"/>
      <c r="L704" s="25">
        <f>MAX(ABS(E706),ABS(E707))*1000/(B709*B701)</f>
        <v>1.5604105656256153</v>
      </c>
      <c r="M704" s="25">
        <f>L704-phiVc</f>
        <v>0.89790113173051966</v>
      </c>
      <c r="N704" s="26">
        <f>M704*O704*B701/(phiV*fys*0.25*PI()*(J701^2))</f>
        <v>2.2171989879888563</v>
      </c>
      <c r="O704" s="15">
        <v>100</v>
      </c>
    </row>
    <row r="705" spans="1:19" x14ac:dyDescent="0.25">
      <c r="A705" s="12" t="s">
        <v>27</v>
      </c>
      <c r="B705" s="50">
        <f>K708*R707</f>
        <v>2198</v>
      </c>
      <c r="C705" s="64">
        <v>-2.5890533834508462E-4</v>
      </c>
      <c r="D705" s="17">
        <v>2.4295425207875705</v>
      </c>
      <c r="E705" s="18">
        <v>107.88562655417824</v>
      </c>
      <c r="F705" s="18">
        <v>-127.3826265269344</v>
      </c>
      <c r="G705" s="19">
        <v>2.3707406051032534</v>
      </c>
      <c r="H705" s="6">
        <v>300</v>
      </c>
    </row>
    <row r="706" spans="1:19" x14ac:dyDescent="0.25">
      <c r="A706" s="12" t="s">
        <v>28</v>
      </c>
      <c r="B706" s="51">
        <f>-phi*B701*(B704^2)*J708*fy*(1-(0.588*J708*fy/fc))/1000000</f>
        <v>-467.18997300158401</v>
      </c>
      <c r="C706" s="64">
        <v>9.8317031943297439E-3</v>
      </c>
      <c r="D706" s="18">
        <v>1.5378965383566657E-2</v>
      </c>
      <c r="E706" s="17">
        <v>-399.46510480015752</v>
      </c>
      <c r="F706" s="18">
        <v>-439.09035345647879</v>
      </c>
      <c r="G706" s="19">
        <v>-5.1556509837656595E-3</v>
      </c>
      <c r="I706" s="90" t="s">
        <v>68</v>
      </c>
      <c r="J706" s="91"/>
      <c r="K706" s="94" t="s">
        <v>35</v>
      </c>
      <c r="L706" s="75" t="s">
        <v>36</v>
      </c>
      <c r="M706" s="96" t="s">
        <v>37</v>
      </c>
      <c r="N706" s="98" t="s">
        <v>38</v>
      </c>
      <c r="O706" s="96" t="s">
        <v>72</v>
      </c>
      <c r="Q706" s="34" t="s">
        <v>73</v>
      </c>
    </row>
    <row r="707" spans="1:19" x14ac:dyDescent="0.25">
      <c r="A707" s="23" t="s">
        <v>33</v>
      </c>
      <c r="B707" s="13"/>
      <c r="C707" s="64">
        <v>1.1718798020483517E-4</v>
      </c>
      <c r="D707" s="18">
        <v>0.43720579825053835</v>
      </c>
      <c r="E707" s="17">
        <v>233.12579832582264</v>
      </c>
      <c r="F707" s="18">
        <v>-318.93827100814212</v>
      </c>
      <c r="G707" s="19">
        <v>0.42660113948484046</v>
      </c>
      <c r="I707" s="14" t="s">
        <v>23</v>
      </c>
      <c r="J707" s="41">
        <v>20</v>
      </c>
      <c r="K707" s="95"/>
      <c r="L707" s="40" t="s">
        <v>9</v>
      </c>
      <c r="M707" s="97"/>
      <c r="N707" s="99"/>
      <c r="O707" s="97"/>
      <c r="Q707" s="14" t="s">
        <v>75</v>
      </c>
      <c r="R707" s="21">
        <f>IF(J707=16,201,IF(J707=20,314,IF(J707=25,490,"Err")))</f>
        <v>314</v>
      </c>
      <c r="S707" s="16" t="s">
        <v>25</v>
      </c>
    </row>
    <row r="708" spans="1:19" x14ac:dyDescent="0.25">
      <c r="A708" s="20" t="s">
        <v>39</v>
      </c>
      <c r="B708" s="13"/>
      <c r="C708" s="64">
        <v>9.8317031943297439E-3</v>
      </c>
      <c r="D708" s="18">
        <v>1.5378965383566657E-2</v>
      </c>
      <c r="E708" s="18">
        <v>-399.46510480015752</v>
      </c>
      <c r="F708" s="17">
        <v>-439.09035345647879</v>
      </c>
      <c r="G708" s="19">
        <v>-5.1556509837656595E-3</v>
      </c>
      <c r="I708" s="14" t="s">
        <v>40</v>
      </c>
      <c r="J708" s="24">
        <f>MAX(rhoMin,(K708*R707/(B701*B704)))</f>
        <v>8.8629032258064518E-3</v>
      </c>
      <c r="K708" s="15">
        <v>7</v>
      </c>
      <c r="L708" s="39">
        <f>IF(M708&lt;2,(B701-(2*(J701+clrCover))-(K708*J707))/(K708-1),(B701-(2*(J701+clrCover))-(N708*J707))/((N708)-1))</f>
        <v>73.333333333333329</v>
      </c>
      <c r="M708" s="15">
        <v>2</v>
      </c>
      <c r="N708" s="22">
        <f>IF(M708&lt;2,K708,CEILING(K708/2,1))</f>
        <v>4</v>
      </c>
      <c r="O708" s="22">
        <f>K708-N708</f>
        <v>3</v>
      </c>
      <c r="Q708" s="37" t="s">
        <v>74</v>
      </c>
      <c r="R708" s="38">
        <f>rhoMin*B701*B704</f>
        <v>818.40000000000009</v>
      </c>
      <c r="S708" s="22">
        <f>ROUNDUP(R708/R707,0)</f>
        <v>3</v>
      </c>
    </row>
    <row r="709" spans="1:19" x14ac:dyDescent="0.25">
      <c r="A709" s="12" t="s">
        <v>26</v>
      </c>
      <c r="B709" s="49">
        <f>B702-clrCover-J701-(IF(M711&gt;1,1.5*J710,0.5*J710))</f>
        <v>640</v>
      </c>
      <c r="C709" s="64">
        <v>-7.0232816575444273E-4</v>
      </c>
      <c r="D709" s="18">
        <v>7.6732151926775874E-4</v>
      </c>
      <c r="E709" s="18">
        <v>-120.48492754681335</v>
      </c>
      <c r="F709" s="17">
        <v>185.5577642628046</v>
      </c>
      <c r="G709" s="19">
        <v>6.0473188432680445E-4</v>
      </c>
      <c r="I709" s="90" t="s">
        <v>69</v>
      </c>
      <c r="J709" s="91"/>
      <c r="K709" s="96" t="s">
        <v>35</v>
      </c>
      <c r="L709" s="75" t="s">
        <v>36</v>
      </c>
      <c r="M709" s="96" t="s">
        <v>37</v>
      </c>
      <c r="N709" s="98" t="s">
        <v>38</v>
      </c>
      <c r="O709" s="96" t="s">
        <v>72</v>
      </c>
      <c r="R709" s="36"/>
    </row>
    <row r="710" spans="1:19" x14ac:dyDescent="0.25">
      <c r="A710" s="12" t="s">
        <v>27</v>
      </c>
      <c r="B710" s="50">
        <f>K711*R710</f>
        <v>942</v>
      </c>
      <c r="C710" s="64">
        <v>2.3307908989263524E-4</v>
      </c>
      <c r="D710" s="18">
        <v>-2.4295569999429212</v>
      </c>
      <c r="E710" s="18">
        <v>117.28763872727575</v>
      </c>
      <c r="F710" s="18">
        <v>-176.47002845210395</v>
      </c>
      <c r="G710" s="17">
        <v>-2.3707838476519281</v>
      </c>
      <c r="I710" s="14" t="s">
        <v>23</v>
      </c>
      <c r="J710" s="41">
        <v>20</v>
      </c>
      <c r="K710" s="97"/>
      <c r="L710" s="40" t="s">
        <v>9</v>
      </c>
      <c r="M710" s="97"/>
      <c r="N710" s="99"/>
      <c r="O710" s="97"/>
      <c r="Q710" s="14" t="s">
        <v>75</v>
      </c>
      <c r="R710" s="21">
        <f>IF(J710=16,201,IF(J710=20,314,IF(J710=25,490,"Err")))</f>
        <v>314</v>
      </c>
      <c r="S710" s="16" t="s">
        <v>25</v>
      </c>
    </row>
    <row r="711" spans="1:19" x14ac:dyDescent="0.25">
      <c r="A711" s="27" t="s">
        <v>28</v>
      </c>
      <c r="B711" s="52">
        <f>phi*B701*(B709^2)*J711*fy*(1-(0.588*J711*fy/fc))/1000000</f>
        <v>217.18064663294399</v>
      </c>
      <c r="C711" s="53">
        <v>-3.6825678393470298E-4</v>
      </c>
      <c r="D711" s="28">
        <v>-2.4295432850079073</v>
      </c>
      <c r="E711" s="28">
        <v>-83.82049791657623</v>
      </c>
      <c r="F711" s="28">
        <v>40.968318362464423</v>
      </c>
      <c r="G711" s="17">
        <v>2.3707426169416967</v>
      </c>
      <c r="I711" s="14" t="s">
        <v>40</v>
      </c>
      <c r="J711" s="24">
        <f>MAX(rhoMin,(K711*R710/(B701*B709)))</f>
        <v>3.6796874999999998E-3</v>
      </c>
      <c r="K711" s="15">
        <v>3</v>
      </c>
      <c r="L711" s="21">
        <f>IF(M711&lt;2,(B701-(2*(J701+clrCover))-(K711*J710))/(K711-1),(B701-(2*(J701+clrCover))-(N711*J710))/((N711)-1))</f>
        <v>120</v>
      </c>
      <c r="M711" s="15">
        <v>1</v>
      </c>
      <c r="N711" s="22">
        <f>IF(M711&lt;2,K711,CEILING(K711/2,1))</f>
        <v>3</v>
      </c>
      <c r="O711" s="22">
        <f>K711-N711</f>
        <v>0</v>
      </c>
      <c r="Q711" s="37" t="s">
        <v>74</v>
      </c>
      <c r="R711" s="38">
        <f>rhoMin*B701*B709</f>
        <v>844.80000000000007</v>
      </c>
      <c r="S711" s="22">
        <f>ROUNDUP(R711/R710,0)</f>
        <v>3</v>
      </c>
    </row>
    <row r="712" spans="1:19" x14ac:dyDescent="0.25">
      <c r="A712" s="65" t="s">
        <v>76</v>
      </c>
    </row>
    <row r="713" spans="1:19" x14ac:dyDescent="0.25">
      <c r="A713" s="69" t="s">
        <v>140</v>
      </c>
      <c r="B713" s="11" t="s">
        <v>11</v>
      </c>
      <c r="C713" s="10" t="s">
        <v>12</v>
      </c>
      <c r="D713" s="10" t="s">
        <v>13</v>
      </c>
      <c r="E713" s="10" t="s">
        <v>14</v>
      </c>
      <c r="F713" s="10" t="s">
        <v>15</v>
      </c>
      <c r="G713" s="11" t="s">
        <v>16</v>
      </c>
      <c r="H713" s="6">
        <v>125</v>
      </c>
      <c r="I713" s="90" t="s">
        <v>34</v>
      </c>
      <c r="J713" s="91"/>
      <c r="K713" s="71"/>
    </row>
    <row r="714" spans="1:19" x14ac:dyDescent="0.25">
      <c r="A714" s="12" t="s">
        <v>17</v>
      </c>
      <c r="B714" s="48">
        <v>300</v>
      </c>
      <c r="C714" s="44" t="s">
        <v>18</v>
      </c>
      <c r="D714" s="44" t="s">
        <v>18</v>
      </c>
      <c r="E714" s="44" t="s">
        <v>18</v>
      </c>
      <c r="F714" s="44" t="s">
        <v>19</v>
      </c>
      <c r="G714" s="45" t="s">
        <v>19</v>
      </c>
      <c r="H714" s="6">
        <v>150</v>
      </c>
      <c r="I714" s="14" t="s">
        <v>20</v>
      </c>
      <c r="J714" s="15">
        <v>10</v>
      </c>
      <c r="K714" s="16" t="s">
        <v>9</v>
      </c>
      <c r="L714" s="22" t="s">
        <v>29</v>
      </c>
      <c r="M714" s="22" t="s">
        <v>30</v>
      </c>
      <c r="N714" s="22" t="s">
        <v>31</v>
      </c>
      <c r="O714" s="22" t="s">
        <v>32</v>
      </c>
      <c r="P714" s="3"/>
    </row>
    <row r="715" spans="1:19" x14ac:dyDescent="0.25">
      <c r="A715" s="12" t="s">
        <v>22</v>
      </c>
      <c r="B715" s="48">
        <v>600</v>
      </c>
      <c r="C715" s="17">
        <v>-4.7516002425603797E-3</v>
      </c>
      <c r="D715" s="63">
        <v>0.49435892759526578</v>
      </c>
      <c r="E715" s="63">
        <v>0</v>
      </c>
      <c r="F715" s="63">
        <v>-113.35983328345075</v>
      </c>
      <c r="G715" s="54">
        <v>0</v>
      </c>
      <c r="H715" s="6">
        <v>175</v>
      </c>
      <c r="I715" s="56"/>
      <c r="J715" s="57"/>
      <c r="K715" s="58"/>
      <c r="L715" s="92" t="s">
        <v>1</v>
      </c>
      <c r="M715" s="93"/>
      <c r="N715" s="22" t="s">
        <v>35</v>
      </c>
      <c r="O715" s="22" t="s">
        <v>9</v>
      </c>
    </row>
    <row r="716" spans="1:19" x14ac:dyDescent="0.25">
      <c r="A716" s="20" t="s">
        <v>24</v>
      </c>
      <c r="B716" s="13"/>
      <c r="C716" s="17">
        <v>8.0614372851114235E-3</v>
      </c>
      <c r="D716" s="18">
        <v>0</v>
      </c>
      <c r="E716" s="18">
        <v>-160.82505249406717</v>
      </c>
      <c r="F716" s="18">
        <v>0</v>
      </c>
      <c r="G716" s="19">
        <v>-1.1385150190561131</v>
      </c>
      <c r="H716" s="6">
        <v>200</v>
      </c>
      <c r="I716" s="59" t="s">
        <v>70</v>
      </c>
      <c r="J716" s="60"/>
      <c r="K716" s="61"/>
      <c r="L716" s="25">
        <f>MAX(ABS(E719),ABS(E720))*1000/(B717*B714)</f>
        <v>1.3772367354619746</v>
      </c>
      <c r="M716" s="25">
        <f>L716-phiVc</f>
        <v>0.71472730156687891</v>
      </c>
      <c r="N716" s="26">
        <f>M716*O716*B714/(phiV*fys*0.25*PI()*(J714^2))</f>
        <v>1.3236640931735333</v>
      </c>
      <c r="O716" s="15">
        <v>100</v>
      </c>
    </row>
    <row r="717" spans="1:19" x14ac:dyDescent="0.25">
      <c r="A717" s="12" t="s">
        <v>26</v>
      </c>
      <c r="B717" s="49">
        <f>B715-clrCover-J714-(IF(M721&gt;1,1.5*J720,0.5*J720))</f>
        <v>512.5</v>
      </c>
      <c r="C717" s="64">
        <v>5.3858625004839719E-3</v>
      </c>
      <c r="D717" s="17">
        <v>-1.8718489306078741</v>
      </c>
      <c r="E717" s="18">
        <v>51.049668498391696</v>
      </c>
      <c r="F717" s="18">
        <v>-82.070331129193633</v>
      </c>
      <c r="G717" s="19">
        <v>-2.2770615473480089</v>
      </c>
      <c r="H717" s="6">
        <v>250</v>
      </c>
      <c r="I717" s="59" t="s">
        <v>71</v>
      </c>
      <c r="J717" s="60"/>
      <c r="K717" s="61"/>
      <c r="L717" s="25">
        <f>MAX(ABS(E719),ABS(E720))*1000/(B722*B714)</f>
        <v>1.3070996794893739</v>
      </c>
      <c r="M717" s="25">
        <f>L717-phiVc</f>
        <v>0.64459024559427824</v>
      </c>
      <c r="N717" s="26">
        <f>M717*O717*B714/(phiV*fys*0.25*PI()*(J714^2))</f>
        <v>1.1937713321326335</v>
      </c>
      <c r="O717" s="15">
        <v>100</v>
      </c>
    </row>
    <row r="718" spans="1:19" x14ac:dyDescent="0.25">
      <c r="A718" s="12" t="s">
        <v>27</v>
      </c>
      <c r="B718" s="50">
        <f>K721*R720</f>
        <v>2450</v>
      </c>
      <c r="C718" s="64">
        <v>1.5787468549922777E-3</v>
      </c>
      <c r="D718" s="17">
        <v>1.8718512280267903</v>
      </c>
      <c r="E718" s="18">
        <v>120.6880672444906</v>
      </c>
      <c r="F718" s="18">
        <v>-159.74157097642293</v>
      </c>
      <c r="G718" s="19">
        <v>2.2770696286077658</v>
      </c>
      <c r="H718" s="6">
        <v>300</v>
      </c>
    </row>
    <row r="719" spans="1:19" x14ac:dyDescent="0.25">
      <c r="A719" s="12" t="s">
        <v>28</v>
      </c>
      <c r="B719" s="51">
        <f>-phi*B714*(B717^2)*J721*fy*(1-(0.588*J721*fy/fc))/1000000</f>
        <v>-400.63064832000003</v>
      </c>
      <c r="C719" s="64">
        <v>4.3998468530166051E-3</v>
      </c>
      <c r="D719" s="18">
        <v>-0.2286713560863417</v>
      </c>
      <c r="E719" s="17">
        <v>-192.15414489023746</v>
      </c>
      <c r="F719" s="18">
        <v>-266.00039573939102</v>
      </c>
      <c r="G719" s="19">
        <v>0.27816757374493856</v>
      </c>
      <c r="I719" s="90" t="s">
        <v>68</v>
      </c>
      <c r="J719" s="91"/>
      <c r="K719" s="94" t="s">
        <v>35</v>
      </c>
      <c r="L719" s="75" t="s">
        <v>36</v>
      </c>
      <c r="M719" s="96" t="s">
        <v>37</v>
      </c>
      <c r="N719" s="98" t="s">
        <v>38</v>
      </c>
      <c r="O719" s="96" t="s">
        <v>72</v>
      </c>
      <c r="Q719" s="34" t="s">
        <v>73</v>
      </c>
    </row>
    <row r="720" spans="1:19" x14ac:dyDescent="0.25">
      <c r="A720" s="23" t="s">
        <v>33</v>
      </c>
      <c r="B720" s="13"/>
      <c r="C720" s="64">
        <v>4.7826972738868783E-3</v>
      </c>
      <c r="D720" s="18">
        <v>0.43358192811369528</v>
      </c>
      <c r="E720" s="17">
        <v>211.75014807727857</v>
      </c>
      <c r="F720" s="18">
        <v>-398.55302140777246</v>
      </c>
      <c r="G720" s="19">
        <v>0.29890336759829828</v>
      </c>
      <c r="I720" s="14" t="s">
        <v>23</v>
      </c>
      <c r="J720" s="41">
        <v>25</v>
      </c>
      <c r="K720" s="95"/>
      <c r="L720" s="40" t="s">
        <v>9</v>
      </c>
      <c r="M720" s="97"/>
      <c r="N720" s="99"/>
      <c r="O720" s="97"/>
      <c r="Q720" s="14" t="s">
        <v>75</v>
      </c>
      <c r="R720" s="21">
        <f>IF(J720=16,201,IF(J720=20,314,IF(J720=25,490,"Err")))</f>
        <v>490</v>
      </c>
      <c r="S720" s="16" t="s">
        <v>25</v>
      </c>
    </row>
    <row r="721" spans="1:19" x14ac:dyDescent="0.25">
      <c r="A721" s="20" t="s">
        <v>39</v>
      </c>
      <c r="B721" s="13"/>
      <c r="C721" s="64">
        <v>4.7826972738868783E-3</v>
      </c>
      <c r="D721" s="18">
        <v>0.43358192811369528</v>
      </c>
      <c r="E721" s="18">
        <v>211.75014807727857</v>
      </c>
      <c r="F721" s="17">
        <v>-398.55302140777246</v>
      </c>
      <c r="G721" s="19">
        <v>0.29890336759829828</v>
      </c>
      <c r="I721" s="14" t="s">
        <v>40</v>
      </c>
      <c r="J721" s="24">
        <f>MAX(rhoMin,(K721*R720/(B714*B717)))</f>
        <v>1.5934959349593495E-2</v>
      </c>
      <c r="K721" s="15">
        <v>5</v>
      </c>
      <c r="L721" s="39">
        <f>IF(M721&lt;2,(B714-(2*(J714+clrCover))-(K721*J720))/(K721-1),(B714-(2*(J714+clrCover))-(N721*J720))/((N721)-1))</f>
        <v>62.5</v>
      </c>
      <c r="M721" s="15">
        <v>2</v>
      </c>
      <c r="N721" s="22">
        <f>IF(M721&lt;2,K721,CEILING(K721/2,1))</f>
        <v>3</v>
      </c>
      <c r="O721" s="22">
        <f>K721-N721</f>
        <v>2</v>
      </c>
      <c r="Q721" s="37" t="s">
        <v>74</v>
      </c>
      <c r="R721" s="38">
        <f>rhoMin*B714*B717</f>
        <v>507.375</v>
      </c>
      <c r="S721" s="22">
        <f>ROUNDUP(R721/R720,0)</f>
        <v>2</v>
      </c>
    </row>
    <row r="722" spans="1:19" x14ac:dyDescent="0.25">
      <c r="A722" s="12" t="s">
        <v>26</v>
      </c>
      <c r="B722" s="49">
        <f>B715-clrCover-J714-(IF(M724&gt;1,1.5*J723,0.5*J723))</f>
        <v>540</v>
      </c>
      <c r="C722" s="64">
        <v>4.7826972738868783E-3</v>
      </c>
      <c r="D722" s="18">
        <v>-0.43358861455260106</v>
      </c>
      <c r="E722" s="18">
        <v>66.889326785825205</v>
      </c>
      <c r="F722" s="17">
        <v>177.72757861594218</v>
      </c>
      <c r="G722" s="19">
        <v>0.29891719645376297</v>
      </c>
      <c r="I722" s="90" t="s">
        <v>69</v>
      </c>
      <c r="J722" s="91"/>
      <c r="K722" s="96" t="s">
        <v>35</v>
      </c>
      <c r="L722" s="75" t="s">
        <v>36</v>
      </c>
      <c r="M722" s="96" t="s">
        <v>37</v>
      </c>
      <c r="N722" s="98" t="s">
        <v>38</v>
      </c>
      <c r="O722" s="96" t="s">
        <v>72</v>
      </c>
      <c r="R722" s="36"/>
    </row>
    <row r="723" spans="1:19" x14ac:dyDescent="0.25">
      <c r="A723" s="12" t="s">
        <v>27</v>
      </c>
      <c r="B723" s="50">
        <f>K724*R723</f>
        <v>942</v>
      </c>
      <c r="C723" s="64">
        <v>5.3858625004839719E-3</v>
      </c>
      <c r="D723" s="18">
        <v>-1.8718489306078741</v>
      </c>
      <c r="E723" s="18">
        <v>51.049668498391696</v>
      </c>
      <c r="F723" s="18">
        <v>-82.070331129193633</v>
      </c>
      <c r="G723" s="17">
        <v>-2.2770615473480089</v>
      </c>
      <c r="I723" s="14" t="s">
        <v>23</v>
      </c>
      <c r="J723" s="41">
        <v>20</v>
      </c>
      <c r="K723" s="97"/>
      <c r="L723" s="40" t="s">
        <v>9</v>
      </c>
      <c r="M723" s="97"/>
      <c r="N723" s="99"/>
      <c r="O723" s="97"/>
      <c r="Q723" s="14" t="s">
        <v>75</v>
      </c>
      <c r="R723" s="21">
        <f>IF(J723=16,201,IF(J723=20,314,IF(J723=25,490,"Err")))</f>
        <v>314</v>
      </c>
      <c r="S723" s="16" t="s">
        <v>25</v>
      </c>
    </row>
    <row r="724" spans="1:19" x14ac:dyDescent="0.25">
      <c r="A724" s="27" t="s">
        <v>28</v>
      </c>
      <c r="B724" s="52">
        <f>phi*B714*(B722^2)*J724*fy*(1-(0.588*J724*fy/fc))/1000000</f>
        <v>179.59757951059206</v>
      </c>
      <c r="C724" s="53">
        <v>1.5787468549922777E-3</v>
      </c>
      <c r="D724" s="28">
        <v>1.8718512280267903</v>
      </c>
      <c r="E724" s="28">
        <v>120.6880672444906</v>
      </c>
      <c r="F724" s="28">
        <v>-159.74157097642293</v>
      </c>
      <c r="G724" s="17">
        <v>2.2770696286077658</v>
      </c>
      <c r="I724" s="14" t="s">
        <v>40</v>
      </c>
      <c r="J724" s="24">
        <f>MAX(rhoMin,(K724*R723/(B714*B722)))</f>
        <v>5.8148148148148152E-3</v>
      </c>
      <c r="K724" s="15">
        <v>3</v>
      </c>
      <c r="L724" s="21">
        <f>IF(M724&lt;2,(B714-(2*(J714+clrCover))-(K724*J723))/(K724-1),(B714-(2*(J714+clrCover))-(N724*J723))/((N724)-1))</f>
        <v>70</v>
      </c>
      <c r="M724" s="15">
        <v>1</v>
      </c>
      <c r="N724" s="22">
        <f>IF(M724&lt;2,K724,CEILING(K724/2,1))</f>
        <v>3</v>
      </c>
      <c r="O724" s="22">
        <f>K724-N724</f>
        <v>0</v>
      </c>
      <c r="Q724" s="37" t="s">
        <v>74</v>
      </c>
      <c r="R724" s="38">
        <f>rhoMin*B714*B722</f>
        <v>534.6</v>
      </c>
      <c r="S724" s="22">
        <f>ROUNDUP(R724/R723,0)</f>
        <v>2</v>
      </c>
    </row>
    <row r="725" spans="1:19" x14ac:dyDescent="0.25">
      <c r="A725" s="65" t="s">
        <v>76</v>
      </c>
    </row>
    <row r="726" spans="1:19" x14ac:dyDescent="0.25">
      <c r="A726" s="69" t="s">
        <v>144</v>
      </c>
      <c r="B726" s="11" t="s">
        <v>11</v>
      </c>
      <c r="C726" s="10" t="s">
        <v>12</v>
      </c>
      <c r="D726" s="10" t="s">
        <v>13</v>
      </c>
      <c r="E726" s="10" t="s">
        <v>14</v>
      </c>
      <c r="F726" s="10" t="s">
        <v>15</v>
      </c>
      <c r="G726" s="11" t="s">
        <v>16</v>
      </c>
      <c r="H726" s="6">
        <v>125</v>
      </c>
      <c r="I726" s="90" t="s">
        <v>34</v>
      </c>
      <c r="J726" s="91"/>
      <c r="K726" s="71"/>
    </row>
    <row r="727" spans="1:19" x14ac:dyDescent="0.25">
      <c r="A727" s="12" t="s">
        <v>17</v>
      </c>
      <c r="B727" s="48">
        <v>300</v>
      </c>
      <c r="C727" s="44" t="s">
        <v>18</v>
      </c>
      <c r="D727" s="44" t="s">
        <v>18</v>
      </c>
      <c r="E727" s="44" t="s">
        <v>18</v>
      </c>
      <c r="F727" s="44" t="s">
        <v>19</v>
      </c>
      <c r="G727" s="45" t="s">
        <v>19</v>
      </c>
      <c r="H727" s="6">
        <v>150</v>
      </c>
      <c r="I727" s="14" t="s">
        <v>20</v>
      </c>
      <c r="J727" s="15">
        <v>10</v>
      </c>
      <c r="K727" s="16" t="s">
        <v>9</v>
      </c>
      <c r="L727" s="22" t="s">
        <v>29</v>
      </c>
      <c r="M727" s="22" t="s">
        <v>30</v>
      </c>
      <c r="N727" s="22" t="s">
        <v>31</v>
      </c>
      <c r="O727" s="22" t="s">
        <v>32</v>
      </c>
      <c r="P727" s="3"/>
    </row>
    <row r="728" spans="1:19" x14ac:dyDescent="0.25">
      <c r="A728" s="12" t="s">
        <v>22</v>
      </c>
      <c r="B728" s="48">
        <v>500</v>
      </c>
      <c r="C728" s="17">
        <v>-6.4581034439819638E-3</v>
      </c>
      <c r="D728" s="63">
        <v>0.33526208514639483</v>
      </c>
      <c r="E728" s="63">
        <v>0</v>
      </c>
      <c r="F728" s="63">
        <v>-74.686718993859486</v>
      </c>
      <c r="G728" s="54">
        <v>0</v>
      </c>
      <c r="H728" s="6">
        <v>175</v>
      </c>
      <c r="I728" s="56"/>
      <c r="J728" s="57"/>
      <c r="K728" s="58"/>
      <c r="L728" s="92" t="s">
        <v>1</v>
      </c>
      <c r="M728" s="93"/>
      <c r="N728" s="22" t="s">
        <v>35</v>
      </c>
      <c r="O728" s="22" t="s">
        <v>9</v>
      </c>
    </row>
    <row r="729" spans="1:19" x14ac:dyDescent="0.25">
      <c r="A729" s="20" t="s">
        <v>24</v>
      </c>
      <c r="B729" s="13"/>
      <c r="C729" s="17">
        <v>3.3821582336851859E-3</v>
      </c>
      <c r="D729" s="18">
        <v>0</v>
      </c>
      <c r="E729" s="18">
        <v>-84.046358350560524</v>
      </c>
      <c r="F729" s="18">
        <v>0</v>
      </c>
      <c r="G729" s="19">
        <v>0.22289911944984978</v>
      </c>
      <c r="H729" s="6">
        <v>200</v>
      </c>
      <c r="I729" s="59" t="s">
        <v>70</v>
      </c>
      <c r="J729" s="60"/>
      <c r="K729" s="61"/>
      <c r="L729" s="25">
        <f>MAX(ABS(E732),ABS(E733))*1000/(B730*B727)</f>
        <v>0.96243105786218952</v>
      </c>
      <c r="M729" s="25">
        <f>L729-phiVc</f>
        <v>0.29992162396709388</v>
      </c>
      <c r="N729" s="26">
        <f>M729*O729*B727/(phiV*fys*0.25*PI()*(J727^2))</f>
        <v>0.55545028648159023</v>
      </c>
      <c r="O729" s="15">
        <v>100</v>
      </c>
    </row>
    <row r="730" spans="1:19" x14ac:dyDescent="0.25">
      <c r="A730" s="12" t="s">
        <v>26</v>
      </c>
      <c r="B730" s="49">
        <f>B728-clrCover-J727-(IF(M734&gt;1,1.5*J733,0.5*J733))</f>
        <v>420</v>
      </c>
      <c r="C730" s="64">
        <v>-3.8896635897156329E-3</v>
      </c>
      <c r="D730" s="17">
        <v>-1.7296252609577669</v>
      </c>
      <c r="E730" s="18">
        <v>68.488609440853693</v>
      </c>
      <c r="F730" s="18">
        <v>-79.851554020131573</v>
      </c>
      <c r="G730" s="19">
        <v>-1.3817601080016098</v>
      </c>
      <c r="H730" s="6">
        <v>250</v>
      </c>
      <c r="I730" s="59" t="s">
        <v>71</v>
      </c>
      <c r="J730" s="60"/>
      <c r="K730" s="61"/>
      <c r="L730" s="25">
        <f>MAX(ABS(E732),ABS(E733))*1000/(B735*B727)</f>
        <v>0.91868419159572634</v>
      </c>
      <c r="M730" s="25">
        <f>L730-phiVc</f>
        <v>0.2561747577006307</v>
      </c>
      <c r="N730" s="26">
        <f>M730*O730*B727/(phiV*fys*0.25*PI()*(J727^2))</f>
        <v>0.47443175544347876</v>
      </c>
      <c r="O730" s="15">
        <v>100</v>
      </c>
    </row>
    <row r="731" spans="1:19" x14ac:dyDescent="0.25">
      <c r="A731" s="12" t="s">
        <v>27</v>
      </c>
      <c r="B731" s="50">
        <f>K734*R733</f>
        <v>1884</v>
      </c>
      <c r="C731" s="64">
        <v>-2.1623872073403614E-3</v>
      </c>
      <c r="D731" s="17">
        <v>1.7296220666018101</v>
      </c>
      <c r="E731" s="18">
        <v>29.373400303577139</v>
      </c>
      <c r="F731" s="18">
        <v>-35.294925407969231</v>
      </c>
      <c r="G731" s="19">
        <v>1.3817524617590657</v>
      </c>
      <c r="H731" s="6">
        <v>300</v>
      </c>
    </row>
    <row r="732" spans="1:19" x14ac:dyDescent="0.25">
      <c r="A732" s="12" t="s">
        <v>28</v>
      </c>
      <c r="B732" s="51">
        <f>-phi*B727*(B730^2)*J734*fy*(1-(0.588*J734*fy/fc))/1000000</f>
        <v>-255.08457404236799</v>
      </c>
      <c r="C732" s="64">
        <v>-1.7395956058483305E-3</v>
      </c>
      <c r="D732" s="18">
        <v>3.3051111585051982E-5</v>
      </c>
      <c r="E732" s="17">
        <v>-112.7617900833198</v>
      </c>
      <c r="F732" s="18">
        <v>-195.84293041140086</v>
      </c>
      <c r="G732" s="19">
        <v>-7.9313362816655142E-5</v>
      </c>
      <c r="I732" s="90" t="s">
        <v>68</v>
      </c>
      <c r="J732" s="91"/>
      <c r="K732" s="94" t="s">
        <v>35</v>
      </c>
      <c r="L732" s="75" t="s">
        <v>36</v>
      </c>
      <c r="M732" s="96" t="s">
        <v>37</v>
      </c>
      <c r="N732" s="98" t="s">
        <v>38</v>
      </c>
      <c r="O732" s="96" t="s">
        <v>72</v>
      </c>
      <c r="Q732" s="34" t="s">
        <v>73</v>
      </c>
    </row>
    <row r="733" spans="1:19" x14ac:dyDescent="0.25">
      <c r="A733" s="23" t="s">
        <v>33</v>
      </c>
      <c r="B733" s="13"/>
      <c r="C733" s="64">
        <v>-5.2215610955338668E-3</v>
      </c>
      <c r="D733" s="18">
        <v>-3.7235811003223059E-5</v>
      </c>
      <c r="E733" s="17">
        <v>121.26631329063588</v>
      </c>
      <c r="F733" s="18">
        <v>-227.18050841739944</v>
      </c>
      <c r="G733" s="19">
        <v>-8.9127275217600394E-5</v>
      </c>
      <c r="I733" s="14" t="s">
        <v>23</v>
      </c>
      <c r="J733" s="41">
        <v>20</v>
      </c>
      <c r="K733" s="95"/>
      <c r="L733" s="40" t="s">
        <v>9</v>
      </c>
      <c r="M733" s="97"/>
      <c r="N733" s="99"/>
      <c r="O733" s="97"/>
      <c r="Q733" s="14" t="s">
        <v>75</v>
      </c>
      <c r="R733" s="21">
        <f>IF(J733=16,201,IF(J733=20,314,IF(J733=25,490,"Err")))</f>
        <v>314</v>
      </c>
      <c r="S733" s="16" t="s">
        <v>25</v>
      </c>
    </row>
    <row r="734" spans="1:19" x14ac:dyDescent="0.25">
      <c r="A734" s="20" t="s">
        <v>39</v>
      </c>
      <c r="B734" s="13"/>
      <c r="C734" s="64">
        <v>-5.2215610955338668E-3</v>
      </c>
      <c r="D734" s="18">
        <v>-3.7235811003223059E-5</v>
      </c>
      <c r="E734" s="18">
        <v>121.26631329063588</v>
      </c>
      <c r="F734" s="17">
        <v>-227.18050841739944</v>
      </c>
      <c r="G734" s="19">
        <v>-8.9127275217600394E-5</v>
      </c>
      <c r="I734" s="14" t="s">
        <v>40</v>
      </c>
      <c r="J734" s="24">
        <f>MAX(rhoMin,(K734*R733/(B727*B730)))</f>
        <v>1.4952380952380953E-2</v>
      </c>
      <c r="K734" s="15">
        <v>6</v>
      </c>
      <c r="L734" s="39">
        <f>IF(M734&lt;2,(B727-(2*(J727+clrCover))-(K734*J733))/(K734-1),(B727-(2*(J727+clrCover))-(N734*J733))/((N734)-1))</f>
        <v>70</v>
      </c>
      <c r="M734" s="15">
        <v>2</v>
      </c>
      <c r="N734" s="22">
        <f>IF(M734&lt;2,K734,CEILING(K734/2,1))</f>
        <v>3</v>
      </c>
      <c r="O734" s="22">
        <f>K734-N734</f>
        <v>3</v>
      </c>
      <c r="Q734" s="37" t="s">
        <v>74</v>
      </c>
      <c r="R734" s="38">
        <f>rhoMin*B727*B730</f>
        <v>415.8</v>
      </c>
      <c r="S734" s="22">
        <f>ROUNDUP(R734/R733,0)</f>
        <v>2</v>
      </c>
    </row>
    <row r="735" spans="1:19" x14ac:dyDescent="0.25">
      <c r="A735" s="12" t="s">
        <v>26</v>
      </c>
      <c r="B735" s="49">
        <f>B728-clrCover-J727-(IF(M737&gt;1,1.5*J736,0.5*J736))</f>
        <v>440</v>
      </c>
      <c r="C735" s="64">
        <v>-4.2445915092983342E-3</v>
      </c>
      <c r="D735" s="18">
        <v>-3.6271707858734456E-5</v>
      </c>
      <c r="E735" s="18">
        <v>31.239148150606315</v>
      </c>
      <c r="F735" s="17">
        <v>124.21006536510846</v>
      </c>
      <c r="G735" s="19">
        <v>8.7041483712274576E-5</v>
      </c>
      <c r="I735" s="90" t="s">
        <v>69</v>
      </c>
      <c r="J735" s="91"/>
      <c r="K735" s="96" t="s">
        <v>35</v>
      </c>
      <c r="L735" s="75" t="s">
        <v>36</v>
      </c>
      <c r="M735" s="96" t="s">
        <v>37</v>
      </c>
      <c r="N735" s="98" t="s">
        <v>38</v>
      </c>
      <c r="O735" s="96" t="s">
        <v>72</v>
      </c>
      <c r="R735" s="36"/>
    </row>
    <row r="736" spans="1:19" x14ac:dyDescent="0.25">
      <c r="A736" s="12" t="s">
        <v>27</v>
      </c>
      <c r="B736" s="50">
        <f>K737*R736</f>
        <v>942</v>
      </c>
      <c r="C736" s="64">
        <v>-3.8896635897156329E-3</v>
      </c>
      <c r="D736" s="18">
        <v>-1.7296252609577669</v>
      </c>
      <c r="E736" s="18">
        <v>68.488609440853693</v>
      </c>
      <c r="F736" s="18">
        <v>-79.851554020131573</v>
      </c>
      <c r="G736" s="17">
        <v>-1.3817601080016098</v>
      </c>
      <c r="I736" s="14" t="s">
        <v>23</v>
      </c>
      <c r="J736" s="41">
        <v>20</v>
      </c>
      <c r="K736" s="97"/>
      <c r="L736" s="40" t="s">
        <v>9</v>
      </c>
      <c r="M736" s="97"/>
      <c r="N736" s="99"/>
      <c r="O736" s="97"/>
      <c r="Q736" s="14" t="s">
        <v>75</v>
      </c>
      <c r="R736" s="21">
        <f>IF(J736=16,201,IF(J736=20,314,IF(J736=25,490,"Err")))</f>
        <v>314</v>
      </c>
      <c r="S736" s="16" t="s">
        <v>25</v>
      </c>
    </row>
    <row r="737" spans="1:19" x14ac:dyDescent="0.25">
      <c r="A737" s="27" t="s">
        <v>28</v>
      </c>
      <c r="B737" s="52">
        <f>phi*B727*(B735^2)*J737*fy*(1-(0.588*J737*fy/fc))/1000000</f>
        <v>144.49865951059198</v>
      </c>
      <c r="C737" s="53">
        <v>-3.2072204754852235E-3</v>
      </c>
      <c r="D737" s="28">
        <v>-1.7296232460645307</v>
      </c>
      <c r="E737" s="28">
        <v>-35.450337802286569</v>
      </c>
      <c r="F737" s="28">
        <v>-27.679521639277723</v>
      </c>
      <c r="G737" s="17">
        <v>1.3817552909946387</v>
      </c>
      <c r="I737" s="14" t="s">
        <v>40</v>
      </c>
      <c r="J737" s="24">
        <f>MAX(rhoMin,(K737*R736/(B727*B735)))</f>
        <v>7.136363636363636E-3</v>
      </c>
      <c r="K737" s="15">
        <v>3</v>
      </c>
      <c r="L737" s="21">
        <f>IF(M737&lt;2,(B727-(2*(J727+clrCover))-(K737*J736))/(K737-1),(B727-(2*(J727+clrCover))-(N737*J736))/((N737)-1))</f>
        <v>70</v>
      </c>
      <c r="M737" s="15">
        <v>1</v>
      </c>
      <c r="N737" s="22">
        <f>IF(M737&lt;2,K737,CEILING(K737/2,1))</f>
        <v>3</v>
      </c>
      <c r="O737" s="22">
        <f>K737-N737</f>
        <v>0</v>
      </c>
      <c r="Q737" s="37" t="s">
        <v>74</v>
      </c>
      <c r="R737" s="38">
        <f>rhoMin*B727*B735</f>
        <v>435.6</v>
      </c>
      <c r="S737" s="22">
        <f>ROUNDUP(R737/R736,0)</f>
        <v>2</v>
      </c>
    </row>
    <row r="738" spans="1:19" x14ac:dyDescent="0.25">
      <c r="A738" s="65" t="s">
        <v>76</v>
      </c>
    </row>
    <row r="739" spans="1:19" x14ac:dyDescent="0.25">
      <c r="A739" s="69" t="s">
        <v>145</v>
      </c>
      <c r="B739" s="11" t="s">
        <v>11</v>
      </c>
      <c r="C739" s="10" t="s">
        <v>12</v>
      </c>
      <c r="D739" s="10" t="s">
        <v>13</v>
      </c>
      <c r="E739" s="10" t="s">
        <v>14</v>
      </c>
      <c r="F739" s="10" t="s">
        <v>15</v>
      </c>
      <c r="G739" s="11" t="s">
        <v>16</v>
      </c>
      <c r="H739" s="6">
        <v>125</v>
      </c>
      <c r="I739" s="90" t="s">
        <v>34</v>
      </c>
      <c r="J739" s="91"/>
      <c r="K739" s="71"/>
    </row>
    <row r="740" spans="1:19" x14ac:dyDescent="0.25">
      <c r="A740" s="12" t="s">
        <v>17</v>
      </c>
      <c r="B740" s="48">
        <v>400</v>
      </c>
      <c r="C740" s="44" t="s">
        <v>18</v>
      </c>
      <c r="D740" s="44" t="s">
        <v>18</v>
      </c>
      <c r="E740" s="44" t="s">
        <v>18</v>
      </c>
      <c r="F740" s="44" t="s">
        <v>19</v>
      </c>
      <c r="G740" s="45" t="s">
        <v>19</v>
      </c>
      <c r="H740" s="6">
        <v>150</v>
      </c>
      <c r="I740" s="14" t="s">
        <v>20</v>
      </c>
      <c r="J740" s="15">
        <v>10</v>
      </c>
      <c r="K740" s="16" t="s">
        <v>9</v>
      </c>
      <c r="L740" s="22" t="s">
        <v>29</v>
      </c>
      <c r="M740" s="22" t="s">
        <v>30</v>
      </c>
      <c r="N740" s="22" t="s">
        <v>31</v>
      </c>
      <c r="O740" s="22" t="s">
        <v>32</v>
      </c>
      <c r="P740" s="3"/>
    </row>
    <row r="741" spans="1:19" x14ac:dyDescent="0.25">
      <c r="A741" s="12" t="s">
        <v>22</v>
      </c>
      <c r="B741" s="48">
        <v>700</v>
      </c>
      <c r="C741" s="17">
        <v>-77.574219824745555</v>
      </c>
      <c r="D741" s="63">
        <v>-25.480099570259153</v>
      </c>
      <c r="E741" s="63">
        <v>0</v>
      </c>
      <c r="F741" s="63">
        <v>-143.07162360604366</v>
      </c>
      <c r="G741" s="54">
        <v>0</v>
      </c>
      <c r="H741" s="6">
        <v>175</v>
      </c>
      <c r="I741" s="56"/>
      <c r="J741" s="57"/>
      <c r="K741" s="58"/>
      <c r="L741" s="92" t="s">
        <v>1</v>
      </c>
      <c r="M741" s="93"/>
      <c r="N741" s="22" t="s">
        <v>35</v>
      </c>
      <c r="O741" s="22" t="s">
        <v>9</v>
      </c>
    </row>
    <row r="742" spans="1:19" x14ac:dyDescent="0.25">
      <c r="A742" s="20" t="s">
        <v>24</v>
      </c>
      <c r="B742" s="13"/>
      <c r="C742" s="17">
        <v>70.10912664162133</v>
      </c>
      <c r="D742" s="18">
        <v>0</v>
      </c>
      <c r="E742" s="18">
        <v>-53.510859476138926</v>
      </c>
      <c r="F742" s="18">
        <v>0</v>
      </c>
      <c r="G742" s="19">
        <v>-9.8954619099726173</v>
      </c>
      <c r="H742" s="6">
        <v>200</v>
      </c>
      <c r="I742" s="59" t="s">
        <v>70</v>
      </c>
      <c r="J742" s="60"/>
      <c r="K742" s="61"/>
      <c r="L742" s="25">
        <f>MAX(ABS(E745),ABS(E746))*1000/(B743*B740)</f>
        <v>1.3543062532459875</v>
      </c>
      <c r="M742" s="25">
        <f>L742-phiVc</f>
        <v>0.69179681935089188</v>
      </c>
      <c r="N742" s="26">
        <f>M742*O742*B740/(phiV*fys*0.25*PI()*(J740^2))</f>
        <v>1.7082629184379408</v>
      </c>
      <c r="O742" s="15">
        <v>100</v>
      </c>
    </row>
    <row r="743" spans="1:19" x14ac:dyDescent="0.25">
      <c r="A743" s="12" t="s">
        <v>26</v>
      </c>
      <c r="B743" s="49">
        <f>B741-clrCover-J740-(IF(M747&gt;1,1.5*J746,0.5*J746))</f>
        <v>612.5</v>
      </c>
      <c r="C743" s="64">
        <v>-76.168641456601861</v>
      </c>
      <c r="D743" s="17">
        <v>-25.998579985141209</v>
      </c>
      <c r="E743" s="18">
        <v>165.70227795221106</v>
      </c>
      <c r="F743" s="18">
        <v>-136.45882209752412</v>
      </c>
      <c r="G743" s="19">
        <v>9.2902451494241856</v>
      </c>
      <c r="H743" s="6">
        <v>250</v>
      </c>
      <c r="I743" s="59" t="s">
        <v>71</v>
      </c>
      <c r="J743" s="60"/>
      <c r="K743" s="61"/>
      <c r="L743" s="25">
        <f>MAX(ABS(E745),ABS(E746))*1000/(B748*B740)</f>
        <v>1.3011962040990861</v>
      </c>
      <c r="M743" s="25">
        <f>L743-phiVc</f>
        <v>0.63868677020399045</v>
      </c>
      <c r="N743" s="26">
        <f>M743*O743*B740/(phiV*fys*0.25*PI()*(J740^2))</f>
        <v>1.5771175806504731</v>
      </c>
      <c r="O743" s="15">
        <v>100</v>
      </c>
    </row>
    <row r="744" spans="1:19" x14ac:dyDescent="0.25">
      <c r="A744" s="12" t="s">
        <v>27</v>
      </c>
      <c r="B744" s="50">
        <f>K747*R746</f>
        <v>2940</v>
      </c>
      <c r="C744" s="64">
        <v>68.703548273477651</v>
      </c>
      <c r="D744" s="17">
        <v>27.917637805210173</v>
      </c>
      <c r="E744" s="18">
        <v>-36.096084305243828</v>
      </c>
      <c r="F744" s="18">
        <v>88.81889620279658</v>
      </c>
      <c r="G744" s="19">
        <v>-10.116258489472198</v>
      </c>
      <c r="H744" s="6">
        <v>300</v>
      </c>
    </row>
    <row r="745" spans="1:19" x14ac:dyDescent="0.25">
      <c r="A745" s="12" t="s">
        <v>28</v>
      </c>
      <c r="B745" s="51">
        <f>-phi*B740*(B743^2)*J747*fy*(1-(0.588*J747*fy/fc))/1000000</f>
        <v>-598.36700518560008</v>
      </c>
      <c r="C745" s="64">
        <v>4.8223563417559489E-3</v>
      </c>
      <c r="D745" s="18">
        <v>-7.5511043685655421E-3</v>
      </c>
      <c r="E745" s="17">
        <v>-285.96088310385602</v>
      </c>
      <c r="F745" s="18">
        <v>-275.33908888630026</v>
      </c>
      <c r="G745" s="19">
        <v>1.218553654163481E-3</v>
      </c>
      <c r="I745" s="90" t="s">
        <v>68</v>
      </c>
      <c r="J745" s="91"/>
      <c r="K745" s="94" t="s">
        <v>35</v>
      </c>
      <c r="L745" s="75" t="s">
        <v>36</v>
      </c>
      <c r="M745" s="96" t="s">
        <v>37</v>
      </c>
      <c r="N745" s="98" t="s">
        <v>38</v>
      </c>
      <c r="O745" s="96" t="s">
        <v>72</v>
      </c>
      <c r="Q745" s="34" t="s">
        <v>73</v>
      </c>
    </row>
    <row r="746" spans="1:19" x14ac:dyDescent="0.25">
      <c r="A746" s="23" t="s">
        <v>33</v>
      </c>
      <c r="B746" s="13"/>
      <c r="C746" s="64">
        <v>6.6364016583363977E-3</v>
      </c>
      <c r="D746" s="18">
        <v>-0.96984638710678395</v>
      </c>
      <c r="E746" s="17">
        <v>331.80503204526696</v>
      </c>
      <c r="F746" s="18">
        <v>-562.38846939750385</v>
      </c>
      <c r="G746" s="19">
        <v>-0.43512158880059965</v>
      </c>
      <c r="I746" s="14" t="s">
        <v>23</v>
      </c>
      <c r="J746" s="41">
        <v>25</v>
      </c>
      <c r="K746" s="95"/>
      <c r="L746" s="40" t="s">
        <v>9</v>
      </c>
      <c r="M746" s="97"/>
      <c r="N746" s="99"/>
      <c r="O746" s="97"/>
      <c r="Q746" s="14" t="s">
        <v>75</v>
      </c>
      <c r="R746" s="21">
        <f>IF(J746=16,201,IF(J746=20,314,IF(J746=25,490,"Err")))</f>
        <v>490</v>
      </c>
      <c r="S746" s="16" t="s">
        <v>25</v>
      </c>
    </row>
    <row r="747" spans="1:19" x14ac:dyDescent="0.25">
      <c r="A747" s="20" t="s">
        <v>39</v>
      </c>
      <c r="B747" s="13"/>
      <c r="C747" s="64">
        <v>6.6364016583363977E-3</v>
      </c>
      <c r="D747" s="18">
        <v>-0.96984638710678395</v>
      </c>
      <c r="E747" s="18">
        <v>331.80503204526696</v>
      </c>
      <c r="F747" s="17">
        <v>-562.38846939750385</v>
      </c>
      <c r="G747" s="19">
        <v>-0.43512158880059965</v>
      </c>
      <c r="I747" s="14" t="s">
        <v>40</v>
      </c>
      <c r="J747" s="24">
        <f>MAX(rhoMin,(K747*R746/(B740*B743)))</f>
        <v>1.2E-2</v>
      </c>
      <c r="K747" s="15">
        <v>6</v>
      </c>
      <c r="L747" s="39">
        <f>IF(M747&lt;2,(B740-(2*(J740+clrCover))-(K747*J746))/(K747-1),(B740-(2*(J740+clrCover))-(N747*J746))/((N747)-1))</f>
        <v>112.5</v>
      </c>
      <c r="M747" s="15">
        <v>2</v>
      </c>
      <c r="N747" s="22">
        <f>IF(M747&lt;2,K747,CEILING(K747/2,1))</f>
        <v>3</v>
      </c>
      <c r="O747" s="22">
        <f>K747-N747</f>
        <v>3</v>
      </c>
      <c r="Q747" s="37" t="s">
        <v>74</v>
      </c>
      <c r="R747" s="38">
        <f>rhoMin*B740*B743</f>
        <v>808.5</v>
      </c>
      <c r="S747" s="22">
        <f>ROUNDUP(R747/R746,0)</f>
        <v>2</v>
      </c>
    </row>
    <row r="748" spans="1:19" x14ac:dyDescent="0.25">
      <c r="A748" s="12" t="s">
        <v>26</v>
      </c>
      <c r="B748" s="49">
        <f>B741-clrCover-J740-(IF(M750&gt;1,1.5*J749,0.5*J749))</f>
        <v>637.5</v>
      </c>
      <c r="C748" s="64">
        <v>3.6045544489752498E-5</v>
      </c>
      <c r="D748" s="18">
        <v>-1.3050242541231682E-5</v>
      </c>
      <c r="E748" s="18">
        <v>-21.047403136444085</v>
      </c>
      <c r="F748" s="17">
        <v>495.18897962231767</v>
      </c>
      <c r="G748" s="19">
        <v>0.37774684385448098</v>
      </c>
      <c r="I748" s="90" t="s">
        <v>69</v>
      </c>
      <c r="J748" s="91"/>
      <c r="K748" s="96" t="s">
        <v>35</v>
      </c>
      <c r="L748" s="75" t="s">
        <v>36</v>
      </c>
      <c r="M748" s="96" t="s">
        <v>37</v>
      </c>
      <c r="N748" s="98" t="s">
        <v>38</v>
      </c>
      <c r="O748" s="96" t="s">
        <v>72</v>
      </c>
      <c r="R748" s="36"/>
    </row>
    <row r="749" spans="1:19" x14ac:dyDescent="0.25">
      <c r="A749" s="12" t="s">
        <v>27</v>
      </c>
      <c r="B749" s="50">
        <f>K750*R749</f>
        <v>2450</v>
      </c>
      <c r="C749" s="64">
        <v>-76.168641456601861</v>
      </c>
      <c r="D749" s="18">
        <v>-25.998579985141209</v>
      </c>
      <c r="E749" s="18">
        <v>182.41813760150299</v>
      </c>
      <c r="F749" s="18">
        <v>-299.65049115472846</v>
      </c>
      <c r="G749" s="17">
        <v>-15.084950738722602</v>
      </c>
      <c r="I749" s="14" t="s">
        <v>23</v>
      </c>
      <c r="J749" s="41">
        <v>25</v>
      </c>
      <c r="K749" s="97"/>
      <c r="L749" s="40" t="s">
        <v>9</v>
      </c>
      <c r="M749" s="97"/>
      <c r="N749" s="99"/>
      <c r="O749" s="97"/>
      <c r="Q749" s="14" t="s">
        <v>75</v>
      </c>
      <c r="R749" s="21">
        <f>IF(J749=16,201,IF(J749=20,314,IF(J749=25,490,"Err")))</f>
        <v>490</v>
      </c>
      <c r="S749" s="16" t="s">
        <v>25</v>
      </c>
    </row>
    <row r="750" spans="1:19" x14ac:dyDescent="0.25">
      <c r="A750" s="27" t="s">
        <v>28</v>
      </c>
      <c r="B750" s="52">
        <f>phi*B740*(B748^2)*J750*fy*(1-(0.588*J750*fy/fc))/1000000</f>
        <v>531.54320499000005</v>
      </c>
      <c r="C750" s="53">
        <v>68.703548273477651</v>
      </c>
      <c r="D750" s="28">
        <v>27.917637805210173</v>
      </c>
      <c r="E750" s="28">
        <v>-13.808271439521253</v>
      </c>
      <c r="F750" s="28">
        <v>112.21302864475359</v>
      </c>
      <c r="G750" s="17">
        <v>16.058166830112587</v>
      </c>
      <c r="I750" s="14" t="s">
        <v>40</v>
      </c>
      <c r="J750" s="24">
        <f>MAX(rhoMin,(K750*R749/(B740*B748)))</f>
        <v>9.6078431372549015E-3</v>
      </c>
      <c r="K750" s="15">
        <v>5</v>
      </c>
      <c r="L750" s="21">
        <f>IF(M750&lt;2,(B740-(2*(J740+clrCover))-(K750*J749))/(K750-1),(B740-(2*(J740+clrCover))-(N750*J749))/((N750)-1))</f>
        <v>43.75</v>
      </c>
      <c r="M750" s="15">
        <v>1</v>
      </c>
      <c r="N750" s="22">
        <f>IF(M750&lt;2,K750,CEILING(K750/2,1))</f>
        <v>5</v>
      </c>
      <c r="O750" s="22">
        <f>K750-N750</f>
        <v>0</v>
      </c>
      <c r="Q750" s="37" t="s">
        <v>74</v>
      </c>
      <c r="R750" s="38">
        <f>rhoMin*B740*B748</f>
        <v>841.5</v>
      </c>
      <c r="S750" s="22">
        <f>ROUNDUP(R750/R749,0)</f>
        <v>2</v>
      </c>
    </row>
    <row r="751" spans="1:19" x14ac:dyDescent="0.25">
      <c r="A751" s="65" t="s">
        <v>76</v>
      </c>
    </row>
    <row r="752" spans="1:19" x14ac:dyDescent="0.25">
      <c r="A752" s="69" t="s">
        <v>146</v>
      </c>
      <c r="B752" s="11" t="s">
        <v>11</v>
      </c>
      <c r="C752" s="10" t="s">
        <v>12</v>
      </c>
      <c r="D752" s="10" t="s">
        <v>13</v>
      </c>
      <c r="E752" s="10" t="s">
        <v>14</v>
      </c>
      <c r="F752" s="10" t="s">
        <v>15</v>
      </c>
      <c r="G752" s="11" t="s">
        <v>16</v>
      </c>
      <c r="H752" s="6">
        <v>125</v>
      </c>
      <c r="I752" s="90" t="s">
        <v>34</v>
      </c>
      <c r="J752" s="91"/>
      <c r="K752" s="71"/>
    </row>
    <row r="753" spans="1:19" x14ac:dyDescent="0.25">
      <c r="A753" s="12" t="s">
        <v>17</v>
      </c>
      <c r="B753" s="48">
        <v>400</v>
      </c>
      <c r="C753" s="44" t="s">
        <v>18</v>
      </c>
      <c r="D753" s="44" t="s">
        <v>18</v>
      </c>
      <c r="E753" s="44" t="s">
        <v>18</v>
      </c>
      <c r="F753" s="44" t="s">
        <v>19</v>
      </c>
      <c r="G753" s="45" t="s">
        <v>19</v>
      </c>
      <c r="H753" s="6">
        <v>150</v>
      </c>
      <c r="I753" s="14" t="s">
        <v>20</v>
      </c>
      <c r="J753" s="15">
        <v>10</v>
      </c>
      <c r="K753" s="16" t="s">
        <v>9</v>
      </c>
      <c r="L753" s="22" t="s">
        <v>29</v>
      </c>
      <c r="M753" s="22" t="s">
        <v>30</v>
      </c>
      <c r="N753" s="22" t="s">
        <v>31</v>
      </c>
      <c r="O753" s="22" t="s">
        <v>32</v>
      </c>
      <c r="P753" s="3"/>
    </row>
    <row r="754" spans="1:19" x14ac:dyDescent="0.25">
      <c r="A754" s="12" t="s">
        <v>22</v>
      </c>
      <c r="B754" s="48">
        <v>700</v>
      </c>
      <c r="C754" s="17">
        <v>-299.23238877497153</v>
      </c>
      <c r="D754" s="63">
        <v>-2.9200335609777941</v>
      </c>
      <c r="E754" s="63">
        <v>0</v>
      </c>
      <c r="F754" s="63">
        <v>33.0104645146262</v>
      </c>
      <c r="G754" s="54">
        <v>0</v>
      </c>
      <c r="H754" s="6">
        <v>175</v>
      </c>
      <c r="I754" s="56"/>
      <c r="J754" s="57"/>
      <c r="K754" s="58"/>
      <c r="L754" s="92" t="s">
        <v>1</v>
      </c>
      <c r="M754" s="93"/>
      <c r="N754" s="22" t="s">
        <v>35</v>
      </c>
      <c r="O754" s="22" t="s">
        <v>9</v>
      </c>
    </row>
    <row r="755" spans="1:19" x14ac:dyDescent="0.25">
      <c r="A755" s="20" t="s">
        <v>24</v>
      </c>
      <c r="B755" s="13"/>
      <c r="C755" s="17">
        <v>305.50870605529548</v>
      </c>
      <c r="D755" s="18">
        <v>0</v>
      </c>
      <c r="E755" s="18">
        <v>-11.791510022297171</v>
      </c>
      <c r="F755" s="18">
        <v>0</v>
      </c>
      <c r="G755" s="19">
        <v>-3.0491020250008156</v>
      </c>
      <c r="H755" s="6">
        <v>200</v>
      </c>
      <c r="I755" s="59" t="s">
        <v>70</v>
      </c>
      <c r="J755" s="60"/>
      <c r="K755" s="61"/>
      <c r="L755" s="25">
        <f>MAX(ABS(E758),ABS(E759))*1000/(B756*B753)</f>
        <v>1.7320290954900768</v>
      </c>
      <c r="M755" s="25">
        <f>L755-phiVc</f>
        <v>1.0695196615949811</v>
      </c>
      <c r="N755" s="26">
        <f>M755*O755*B753/(phiV*fys*0.25*PI()*(J753^2))</f>
        <v>2.6409788645129679</v>
      </c>
      <c r="O755" s="15">
        <v>100</v>
      </c>
    </row>
    <row r="756" spans="1:19" x14ac:dyDescent="0.25">
      <c r="A756" s="12" t="s">
        <v>26</v>
      </c>
      <c r="B756" s="49">
        <f>B754-clrCover-J753-(IF(M760&gt;1,1.5*J759,0.5*J759))</f>
        <v>612.5</v>
      </c>
      <c r="C756" s="64">
        <v>-146.95428081636024</v>
      </c>
      <c r="D756" s="17">
        <v>-63.313461449615296</v>
      </c>
      <c r="E756" s="18">
        <v>-54.728091364810105</v>
      </c>
      <c r="F756" s="18">
        <v>-54.024355105868125</v>
      </c>
      <c r="G756" s="19">
        <v>40.513787013638897</v>
      </c>
      <c r="H756" s="6">
        <v>250</v>
      </c>
      <c r="I756" s="59" t="s">
        <v>71</v>
      </c>
      <c r="J756" s="60"/>
      <c r="K756" s="61"/>
      <c r="L756" s="25">
        <f>MAX(ABS(E758),ABS(E759))*1000/(B761*B753)</f>
        <v>1.7110771306252774</v>
      </c>
      <c r="M756" s="25">
        <f>L756-phiVc</f>
        <v>1.0485676967301818</v>
      </c>
      <c r="N756" s="26">
        <f>M756*O756*B753/(phiV*fys*0.25*PI()*(J753^2))</f>
        <v>2.5892419041139094</v>
      </c>
      <c r="O756" s="15">
        <v>100</v>
      </c>
    </row>
    <row r="757" spans="1:19" x14ac:dyDescent="0.25">
      <c r="A757" s="12" t="s">
        <v>27</v>
      </c>
      <c r="B757" s="50">
        <f>K760*R759</f>
        <v>2940</v>
      </c>
      <c r="C757" s="64">
        <v>153.99512382420579</v>
      </c>
      <c r="D757" s="17">
        <v>69.740846276688444</v>
      </c>
      <c r="E757" s="18">
        <v>-118.58623826442633</v>
      </c>
      <c r="F757" s="18">
        <v>-125.93916957517172</v>
      </c>
      <c r="G757" s="19">
        <v>-44.60021882274242</v>
      </c>
      <c r="H757" s="6">
        <v>300</v>
      </c>
    </row>
    <row r="758" spans="1:19" x14ac:dyDescent="0.25">
      <c r="A758" s="12" t="s">
        <v>28</v>
      </c>
      <c r="B758" s="51">
        <f>-phi*B753*(B756^2)*J760*fy*(1-(0.588*J760*fy/fc))/1000000</f>
        <v>-598.36700518560008</v>
      </c>
      <c r="C758" s="64">
        <v>-219.46934996955625</v>
      </c>
      <c r="D758" s="18">
        <v>-7.5181180775382508</v>
      </c>
      <c r="E758" s="17">
        <v>-390.396775694452</v>
      </c>
      <c r="F758" s="18">
        <v>-560.72689368661565</v>
      </c>
      <c r="G758" s="19">
        <v>4.9609963711218539</v>
      </c>
      <c r="I758" s="90" t="s">
        <v>68</v>
      </c>
      <c r="J758" s="91"/>
      <c r="K758" s="94" t="s">
        <v>35</v>
      </c>
      <c r="L758" s="75" t="s">
        <v>36</v>
      </c>
      <c r="M758" s="96" t="s">
        <v>37</v>
      </c>
      <c r="N758" s="98" t="s">
        <v>38</v>
      </c>
      <c r="O758" s="96" t="s">
        <v>72</v>
      </c>
      <c r="Q758" s="34" t="s">
        <v>73</v>
      </c>
    </row>
    <row r="759" spans="1:19" x14ac:dyDescent="0.25">
      <c r="A759" s="23" t="s">
        <v>33</v>
      </c>
      <c r="B759" s="13"/>
      <c r="C759" s="64">
        <v>254.86685561004964</v>
      </c>
      <c r="D759" s="18">
        <v>0.21370101026932206</v>
      </c>
      <c r="E759" s="17">
        <v>424.34712839506881</v>
      </c>
      <c r="F759" s="18">
        <v>-541.74324135033248</v>
      </c>
      <c r="G759" s="19">
        <v>9.8116219879322564E-3</v>
      </c>
      <c r="I759" s="14" t="s">
        <v>23</v>
      </c>
      <c r="J759" s="41">
        <v>25</v>
      </c>
      <c r="K759" s="95"/>
      <c r="L759" s="40" t="s">
        <v>9</v>
      </c>
      <c r="M759" s="97"/>
      <c r="N759" s="99"/>
      <c r="O759" s="97"/>
      <c r="Q759" s="14" t="s">
        <v>75</v>
      </c>
      <c r="R759" s="21">
        <f>IF(J759=16,201,IF(J759=20,314,IF(J759=25,490,"Err")))</f>
        <v>490</v>
      </c>
      <c r="S759" s="16" t="s">
        <v>25</v>
      </c>
    </row>
    <row r="760" spans="1:19" x14ac:dyDescent="0.25">
      <c r="A760" s="20" t="s">
        <v>39</v>
      </c>
      <c r="B760" s="13"/>
      <c r="C760" s="64">
        <v>-219.46934996955625</v>
      </c>
      <c r="D760" s="18">
        <v>-7.5181180775382508</v>
      </c>
      <c r="E760" s="18">
        <v>-390.396775694452</v>
      </c>
      <c r="F760" s="17">
        <v>-560.72689368661565</v>
      </c>
      <c r="G760" s="19">
        <v>4.9609963711218539</v>
      </c>
      <c r="I760" s="14" t="s">
        <v>40</v>
      </c>
      <c r="J760" s="24">
        <f>MAX(rhoMin,(K760*R759/(B753*B756)))</f>
        <v>1.2E-2</v>
      </c>
      <c r="K760" s="15">
        <v>6</v>
      </c>
      <c r="L760" s="39">
        <f>IF(M760&lt;2,(B753-(2*(J753+clrCover))-(K760*J759))/(K760-1),(B753-(2*(J753+clrCover))-(N760*J759))/((N760)-1))</f>
        <v>112.5</v>
      </c>
      <c r="M760" s="15">
        <v>2</v>
      </c>
      <c r="N760" s="22">
        <f>IF(M760&lt;2,K760,CEILING(K760/2,1))</f>
        <v>3</v>
      </c>
      <c r="O760" s="22">
        <f>K760-N760</f>
        <v>3</v>
      </c>
      <c r="Q760" s="37" t="s">
        <v>74</v>
      </c>
      <c r="R760" s="38">
        <f>rhoMin*B753*B756</f>
        <v>808.5</v>
      </c>
      <c r="S760" s="22">
        <f>ROUNDUP(R760/R759,0)</f>
        <v>2</v>
      </c>
    </row>
    <row r="761" spans="1:19" x14ac:dyDescent="0.25">
      <c r="A761" s="12" t="s">
        <v>26</v>
      </c>
      <c r="B761" s="49">
        <f>B754-clrCover-J753-(IF(M763&gt;1,1.5*J762,0.5*J762))</f>
        <v>620</v>
      </c>
      <c r="C761" s="64">
        <v>-1.4625430579733802E-3</v>
      </c>
      <c r="D761" s="18">
        <v>5.4096037398672014E-7</v>
      </c>
      <c r="E761" s="18">
        <v>118.99659879549486</v>
      </c>
      <c r="F761" s="17">
        <v>292.2635453540376</v>
      </c>
      <c r="G761" s="19">
        <v>1.1578362826177058E-5</v>
      </c>
      <c r="I761" s="90" t="s">
        <v>69</v>
      </c>
      <c r="J761" s="91"/>
      <c r="K761" s="96" t="s">
        <v>35</v>
      </c>
      <c r="L761" s="75" t="s">
        <v>36</v>
      </c>
      <c r="M761" s="96" t="s">
        <v>37</v>
      </c>
      <c r="N761" s="98" t="s">
        <v>38</v>
      </c>
      <c r="O761" s="96" t="s">
        <v>72</v>
      </c>
      <c r="R761" s="36"/>
    </row>
    <row r="762" spans="1:19" x14ac:dyDescent="0.25">
      <c r="A762" s="12" t="s">
        <v>27</v>
      </c>
      <c r="B762" s="50">
        <f>K763*R762</f>
        <v>1570</v>
      </c>
      <c r="C762" s="64">
        <v>153.99512382420579</v>
      </c>
      <c r="D762" s="18">
        <v>69.740846276688444</v>
      </c>
      <c r="E762" s="18">
        <v>-118.58623826442633</v>
      </c>
      <c r="F762" s="18">
        <v>-125.93916957517172</v>
      </c>
      <c r="G762" s="17">
        <v>-44.60021882274242</v>
      </c>
      <c r="I762" s="14" t="s">
        <v>23</v>
      </c>
      <c r="J762" s="41">
        <v>20</v>
      </c>
      <c r="K762" s="97"/>
      <c r="L762" s="40" t="s">
        <v>9</v>
      </c>
      <c r="M762" s="97"/>
      <c r="N762" s="99"/>
      <c r="O762" s="97"/>
      <c r="Q762" s="14" t="s">
        <v>75</v>
      </c>
      <c r="R762" s="21">
        <f>IF(J762=16,201,IF(J762=20,314,IF(J762=25,490,"Err")))</f>
        <v>314</v>
      </c>
      <c r="S762" s="16" t="s">
        <v>25</v>
      </c>
    </row>
    <row r="763" spans="1:19" x14ac:dyDescent="0.25">
      <c r="A763" s="27" t="s">
        <v>28</v>
      </c>
      <c r="B763" s="52">
        <f>phi*B753*(B761^2)*J763*fy*(1-(0.588*J763*fy/fc))/1000000</f>
        <v>341.98761398039994</v>
      </c>
      <c r="C763" s="53">
        <v>-146.95428081636024</v>
      </c>
      <c r="D763" s="28">
        <v>-63.313461449615296</v>
      </c>
      <c r="E763" s="28">
        <v>-54.728091364810105</v>
      </c>
      <c r="F763" s="28">
        <v>-54.024355105868125</v>
      </c>
      <c r="G763" s="17">
        <v>40.513787013638897</v>
      </c>
      <c r="I763" s="14" t="s">
        <v>40</v>
      </c>
      <c r="J763" s="24">
        <f>MAX(rhoMin,(K763*R762/(B753*B761)))</f>
        <v>6.3306451612903224E-3</v>
      </c>
      <c r="K763" s="15">
        <v>5</v>
      </c>
      <c r="L763" s="21">
        <f>IF(M763&lt;2,(B753-(2*(J753+clrCover))-(K763*J762))/(K763-1),(B753-(2*(J753+clrCover))-(N763*J762))/((N763)-1))</f>
        <v>120</v>
      </c>
      <c r="M763" s="15">
        <v>2</v>
      </c>
      <c r="N763" s="22">
        <f>IF(M763&lt;2,K763,CEILING(K763/2,1))</f>
        <v>3</v>
      </c>
      <c r="O763" s="22">
        <f>K763-N763</f>
        <v>2</v>
      </c>
      <c r="Q763" s="37" t="s">
        <v>74</v>
      </c>
      <c r="R763" s="38">
        <f>rhoMin*B753*B761</f>
        <v>818.40000000000009</v>
      </c>
      <c r="S763" s="22">
        <f>ROUNDUP(R763/R762,0)</f>
        <v>3</v>
      </c>
    </row>
    <row r="764" spans="1:19" x14ac:dyDescent="0.25">
      <c r="A764" s="65" t="s">
        <v>76</v>
      </c>
    </row>
    <row r="765" spans="1:19" x14ac:dyDescent="0.25">
      <c r="A765" s="69" t="s">
        <v>147</v>
      </c>
      <c r="B765" s="11" t="s">
        <v>11</v>
      </c>
      <c r="C765" s="10" t="s">
        <v>12</v>
      </c>
      <c r="D765" s="10" t="s">
        <v>13</v>
      </c>
      <c r="E765" s="10" t="s">
        <v>14</v>
      </c>
      <c r="F765" s="10" t="s">
        <v>15</v>
      </c>
      <c r="G765" s="11" t="s">
        <v>16</v>
      </c>
      <c r="H765" s="6">
        <v>125</v>
      </c>
      <c r="I765" s="90" t="s">
        <v>34</v>
      </c>
      <c r="J765" s="91"/>
      <c r="K765" s="71"/>
    </row>
    <row r="766" spans="1:19" x14ac:dyDescent="0.25">
      <c r="A766" s="12" t="s">
        <v>17</v>
      </c>
      <c r="B766" s="48">
        <v>400</v>
      </c>
      <c r="C766" s="44" t="s">
        <v>18</v>
      </c>
      <c r="D766" s="44" t="s">
        <v>18</v>
      </c>
      <c r="E766" s="44" t="s">
        <v>18</v>
      </c>
      <c r="F766" s="44" t="s">
        <v>19</v>
      </c>
      <c r="G766" s="45" t="s">
        <v>19</v>
      </c>
      <c r="H766" s="6">
        <v>150</v>
      </c>
      <c r="I766" s="14" t="s">
        <v>20</v>
      </c>
      <c r="J766" s="15">
        <v>10</v>
      </c>
      <c r="K766" s="16" t="s">
        <v>9</v>
      </c>
      <c r="L766" s="22" t="s">
        <v>29</v>
      </c>
      <c r="M766" s="22" t="s">
        <v>30</v>
      </c>
      <c r="N766" s="22" t="s">
        <v>31</v>
      </c>
      <c r="O766" s="22" t="s">
        <v>32</v>
      </c>
      <c r="P766" s="3"/>
    </row>
    <row r="767" spans="1:19" x14ac:dyDescent="0.25">
      <c r="A767" s="12" t="s">
        <v>22</v>
      </c>
      <c r="B767" s="48">
        <v>900</v>
      </c>
      <c r="C767" s="17">
        <v>-583.0042365838035</v>
      </c>
      <c r="D767" s="63">
        <v>84.864638053397314</v>
      </c>
      <c r="E767" s="63">
        <v>0</v>
      </c>
      <c r="F767" s="63">
        <v>81.262508371582712</v>
      </c>
      <c r="G767" s="54">
        <v>0</v>
      </c>
      <c r="H767" s="6">
        <v>175</v>
      </c>
      <c r="I767" s="56"/>
      <c r="J767" s="57"/>
      <c r="K767" s="58"/>
      <c r="L767" s="92" t="s">
        <v>1</v>
      </c>
      <c r="M767" s="93"/>
      <c r="N767" s="22" t="s">
        <v>35</v>
      </c>
      <c r="O767" s="22" t="s">
        <v>9</v>
      </c>
    </row>
    <row r="768" spans="1:19" x14ac:dyDescent="0.25">
      <c r="A768" s="20" t="s">
        <v>24</v>
      </c>
      <c r="B768" s="13"/>
      <c r="C768" s="17">
        <v>513.44199308953478</v>
      </c>
      <c r="D768" s="18">
        <v>0</v>
      </c>
      <c r="E768" s="18">
        <v>208.2891679803522</v>
      </c>
      <c r="F768" s="18">
        <v>0</v>
      </c>
      <c r="G768" s="19">
        <v>43.221350763621885</v>
      </c>
      <c r="H768" s="6">
        <v>200</v>
      </c>
      <c r="I768" s="59" t="s">
        <v>70</v>
      </c>
      <c r="J768" s="60"/>
      <c r="K768" s="61"/>
      <c r="L768" s="25">
        <f>MAX(ABS(E771),ABS(E772))*1000/(B769*B766)</f>
        <v>1.4666615964228269</v>
      </c>
      <c r="M768" s="25">
        <f>L768-phiVc</f>
        <v>0.80415216252773125</v>
      </c>
      <c r="N768" s="26">
        <f>M768*O768*B766/(phiV*fys*0.25*PI()*(J766^2))</f>
        <v>1.9857034343071125</v>
      </c>
      <c r="O768" s="15">
        <v>100</v>
      </c>
    </row>
    <row r="769" spans="1:19" x14ac:dyDescent="0.25">
      <c r="A769" s="12" t="s">
        <v>26</v>
      </c>
      <c r="B769" s="49">
        <f>B767-clrCover-J766-(IF(M773&gt;1,1.5*J772,0.5*J772))</f>
        <v>812.5</v>
      </c>
      <c r="C769" s="64">
        <v>513.44199308953478</v>
      </c>
      <c r="D769" s="17">
        <v>-81.923309755936614</v>
      </c>
      <c r="E769" s="18">
        <v>208.2891679803522</v>
      </c>
      <c r="F769" s="18">
        <v>-141.7343769053978</v>
      </c>
      <c r="G769" s="19">
        <v>43.221350763621885</v>
      </c>
      <c r="H769" s="6">
        <v>250</v>
      </c>
      <c r="I769" s="59" t="s">
        <v>71</v>
      </c>
      <c r="J769" s="60"/>
      <c r="K769" s="61"/>
      <c r="L769" s="25">
        <f>MAX(ABS(E771),ABS(E772))*1000/(B774*B766)</f>
        <v>1.4186458893970797</v>
      </c>
      <c r="M769" s="25">
        <f>L769-phiVc</f>
        <v>0.75613645550198405</v>
      </c>
      <c r="N769" s="26">
        <f>M769*O769*B766/(phiV*fys*0.25*PI()*(J766^2))</f>
        <v>1.8671376220334654</v>
      </c>
      <c r="O769" s="15">
        <v>100</v>
      </c>
    </row>
    <row r="770" spans="1:19" x14ac:dyDescent="0.25">
      <c r="A770" s="12" t="s">
        <v>27</v>
      </c>
      <c r="B770" s="50">
        <f>K773*R772</f>
        <v>3920</v>
      </c>
      <c r="C770" s="64">
        <v>-583.0042365838035</v>
      </c>
      <c r="D770" s="17">
        <v>84.864638053397314</v>
      </c>
      <c r="E770" s="18">
        <v>147.46175720389417</v>
      </c>
      <c r="F770" s="18">
        <v>81.262508371582712</v>
      </c>
      <c r="G770" s="19">
        <v>-44.558068086784772</v>
      </c>
      <c r="H770" s="6">
        <v>300</v>
      </c>
    </row>
    <row r="771" spans="1:19" x14ac:dyDescent="0.25">
      <c r="A771" s="12" t="s">
        <v>28</v>
      </c>
      <c r="B771" s="51">
        <f>-phi*B766*(B769^2)*J773*fy*(1-(0.588*J773*fy/fc))/1000000</f>
        <v>-1057.6777647744</v>
      </c>
      <c r="C771" s="64">
        <v>-26.340167626557282</v>
      </c>
      <c r="D771" s="18">
        <v>-0.80113302233734895</v>
      </c>
      <c r="E771" s="17">
        <v>-455.85611377007029</v>
      </c>
      <c r="F771" s="18">
        <v>-749.45959450651696</v>
      </c>
      <c r="G771" s="19">
        <v>0.4166048546567574</v>
      </c>
      <c r="I771" s="90" t="s">
        <v>68</v>
      </c>
      <c r="J771" s="91"/>
      <c r="K771" s="94" t="s">
        <v>35</v>
      </c>
      <c r="L771" s="75" t="s">
        <v>36</v>
      </c>
      <c r="M771" s="96" t="s">
        <v>37</v>
      </c>
      <c r="N771" s="98" t="s">
        <v>38</v>
      </c>
      <c r="O771" s="96" t="s">
        <v>72</v>
      </c>
      <c r="Q771" s="34" t="s">
        <v>73</v>
      </c>
    </row>
    <row r="772" spans="1:19" x14ac:dyDescent="0.25">
      <c r="A772" s="23" t="s">
        <v>33</v>
      </c>
      <c r="B772" s="13"/>
      <c r="C772" s="64">
        <v>-84.698035951556335</v>
      </c>
      <c r="D772" s="18">
        <v>-6.8534775265209342</v>
      </c>
      <c r="E772" s="17">
        <v>476.66501883741876</v>
      </c>
      <c r="F772" s="18">
        <v>-796.75884346372095</v>
      </c>
      <c r="G772" s="19">
        <v>-5.2045001183794817</v>
      </c>
      <c r="I772" s="14" t="s">
        <v>23</v>
      </c>
      <c r="J772" s="41">
        <v>25</v>
      </c>
      <c r="K772" s="95"/>
      <c r="L772" s="40" t="s">
        <v>9</v>
      </c>
      <c r="M772" s="97"/>
      <c r="N772" s="99"/>
      <c r="O772" s="97"/>
      <c r="Q772" s="14" t="s">
        <v>75</v>
      </c>
      <c r="R772" s="21">
        <f>IF(J772=16,201,IF(J772=20,314,IF(J772=25,490,"Err")))</f>
        <v>490</v>
      </c>
      <c r="S772" s="16" t="s">
        <v>25</v>
      </c>
    </row>
    <row r="773" spans="1:19" x14ac:dyDescent="0.25">
      <c r="A773" s="20" t="s">
        <v>39</v>
      </c>
      <c r="B773" s="13"/>
      <c r="C773" s="64">
        <v>-14.918063996260695</v>
      </c>
      <c r="D773" s="18">
        <v>-3.514606553272094</v>
      </c>
      <c r="E773" s="18">
        <v>427.31623220484033</v>
      </c>
      <c r="F773" s="17">
        <v>-1032.2044626091292</v>
      </c>
      <c r="G773" s="19">
        <v>-2.2181753280861987</v>
      </c>
      <c r="I773" s="14" t="s">
        <v>40</v>
      </c>
      <c r="J773" s="24">
        <f>MAX(rhoMin,(K773*R772/(B766*B769)))</f>
        <v>1.2061538461538462E-2</v>
      </c>
      <c r="K773" s="15">
        <v>8</v>
      </c>
      <c r="L773" s="39">
        <f>IF(M773&lt;2,(B766-(2*(J766+clrCover))-(K773*J772))/(K773-1),(B766-(2*(J766+clrCover))-(N773*J772))/((N773)-1))</f>
        <v>66.666666666666671</v>
      </c>
      <c r="M773" s="15">
        <v>2</v>
      </c>
      <c r="N773" s="22">
        <f>IF(M773&lt;2,K773,CEILING(K773/2,1))</f>
        <v>4</v>
      </c>
      <c r="O773" s="22">
        <f>K773-N773</f>
        <v>4</v>
      </c>
      <c r="Q773" s="37" t="s">
        <v>74</v>
      </c>
      <c r="R773" s="38">
        <f>rhoMin*B766*B769</f>
        <v>1072.5</v>
      </c>
      <c r="S773" s="22">
        <f>ROUNDUP(R773/R772,0)</f>
        <v>3</v>
      </c>
    </row>
    <row r="774" spans="1:19" x14ac:dyDescent="0.25">
      <c r="A774" s="12" t="s">
        <v>26</v>
      </c>
      <c r="B774" s="49">
        <f>B767-clrCover-J766-(IF(M776&gt;1,1.5*J775,0.5*J775))</f>
        <v>840</v>
      </c>
      <c r="C774" s="64">
        <v>-35.974997166335463</v>
      </c>
      <c r="D774" s="18">
        <v>3.7315674762931743</v>
      </c>
      <c r="E774" s="18">
        <v>18.823386042479047</v>
      </c>
      <c r="F774" s="17">
        <v>313.43949348521778</v>
      </c>
      <c r="G774" s="19">
        <v>1.2690467799989085</v>
      </c>
      <c r="I774" s="90" t="s">
        <v>69</v>
      </c>
      <c r="J774" s="91"/>
      <c r="K774" s="96" t="s">
        <v>35</v>
      </c>
      <c r="L774" s="75" t="s">
        <v>36</v>
      </c>
      <c r="M774" s="96" t="s">
        <v>37</v>
      </c>
      <c r="N774" s="98" t="s">
        <v>38</v>
      </c>
      <c r="O774" s="96" t="s">
        <v>72</v>
      </c>
      <c r="R774" s="36"/>
    </row>
    <row r="775" spans="1:19" x14ac:dyDescent="0.25">
      <c r="A775" s="12" t="s">
        <v>27</v>
      </c>
      <c r="B775" s="50">
        <f>K776*R775</f>
        <v>1256</v>
      </c>
      <c r="C775" s="64">
        <v>-583.0042365838035</v>
      </c>
      <c r="D775" s="18">
        <v>84.864638053397314</v>
      </c>
      <c r="E775" s="18">
        <v>147.46175720389417</v>
      </c>
      <c r="F775" s="18">
        <v>81.262508371582712</v>
      </c>
      <c r="G775" s="17">
        <v>-44.558068086784772</v>
      </c>
      <c r="I775" s="14" t="s">
        <v>23</v>
      </c>
      <c r="J775" s="41">
        <v>20</v>
      </c>
      <c r="K775" s="97"/>
      <c r="L775" s="40" t="s">
        <v>9</v>
      </c>
      <c r="M775" s="97"/>
      <c r="N775" s="99"/>
      <c r="O775" s="97"/>
      <c r="Q775" s="14" t="s">
        <v>75</v>
      </c>
      <c r="R775" s="21">
        <f>IF(J775=16,201,IF(J775=20,314,IF(J775=25,490,"Err")))</f>
        <v>314</v>
      </c>
      <c r="S775" s="16" t="s">
        <v>25</v>
      </c>
    </row>
    <row r="776" spans="1:19" x14ac:dyDescent="0.25">
      <c r="A776" s="27" t="s">
        <v>28</v>
      </c>
      <c r="B776" s="52">
        <f>phi*B766*(B774^2)*J776*fy*(1-(0.588*J776*fy/fc))/1000000</f>
        <v>379.85911934745599</v>
      </c>
      <c r="C776" s="53">
        <v>513.44199308953478</v>
      </c>
      <c r="D776" s="28">
        <v>-81.923309755936614</v>
      </c>
      <c r="E776" s="28">
        <v>208.2891679803522</v>
      </c>
      <c r="F776" s="28">
        <v>-141.7343769053978</v>
      </c>
      <c r="G776" s="17">
        <v>43.221350763621885</v>
      </c>
      <c r="I776" s="14" t="s">
        <v>40</v>
      </c>
      <c r="J776" s="24">
        <f>MAX(rhoMin,(K776*R775/(B766*B774)))</f>
        <v>3.7380952380952383E-3</v>
      </c>
      <c r="K776" s="15">
        <v>4</v>
      </c>
      <c r="L776" s="21">
        <f>IF(M776&lt;2,(B766-(2*(J766+clrCover))-(K776*J775))/(K776-1),(B766-(2*(J766+clrCover))-(N776*J775))/((N776)-1))</f>
        <v>73.333333333333329</v>
      </c>
      <c r="M776" s="15">
        <v>1</v>
      </c>
      <c r="N776" s="22">
        <f>IF(M776&lt;2,K776,CEILING(K776/2,1))</f>
        <v>4</v>
      </c>
      <c r="O776" s="22">
        <f>K776-N776</f>
        <v>0</v>
      </c>
      <c r="Q776" s="37" t="s">
        <v>74</v>
      </c>
      <c r="R776" s="38">
        <f>rhoMin*B766*B774</f>
        <v>1108.8</v>
      </c>
      <c r="S776" s="22">
        <f>ROUNDUP(R776/R775,0)</f>
        <v>4</v>
      </c>
    </row>
    <row r="777" spans="1:19" x14ac:dyDescent="0.25">
      <c r="A777" s="65" t="s">
        <v>76</v>
      </c>
    </row>
    <row r="778" spans="1:19" x14ac:dyDescent="0.25">
      <c r="A778" s="69" t="s">
        <v>148</v>
      </c>
      <c r="B778" s="11" t="s">
        <v>11</v>
      </c>
      <c r="C778" s="10" t="s">
        <v>12</v>
      </c>
      <c r="D778" s="10" t="s">
        <v>13</v>
      </c>
      <c r="E778" s="10" t="s">
        <v>14</v>
      </c>
      <c r="F778" s="10" t="s">
        <v>15</v>
      </c>
      <c r="G778" s="11" t="s">
        <v>16</v>
      </c>
      <c r="H778" s="6">
        <v>125</v>
      </c>
      <c r="I778" s="90" t="s">
        <v>34</v>
      </c>
      <c r="J778" s="91"/>
      <c r="K778" s="71"/>
    </row>
    <row r="779" spans="1:19" x14ac:dyDescent="0.25">
      <c r="A779" s="12" t="s">
        <v>17</v>
      </c>
      <c r="B779" s="48">
        <v>400</v>
      </c>
      <c r="C779" s="44" t="s">
        <v>18</v>
      </c>
      <c r="D779" s="44" t="s">
        <v>18</v>
      </c>
      <c r="E779" s="44" t="s">
        <v>18</v>
      </c>
      <c r="F779" s="44" t="s">
        <v>19</v>
      </c>
      <c r="G779" s="45" t="s">
        <v>19</v>
      </c>
      <c r="H779" s="6">
        <v>150</v>
      </c>
      <c r="I779" s="14" t="s">
        <v>20</v>
      </c>
      <c r="J779" s="15">
        <v>10</v>
      </c>
      <c r="K779" s="16" t="s">
        <v>9</v>
      </c>
      <c r="L779" s="22" t="s">
        <v>29</v>
      </c>
      <c r="M779" s="22" t="s">
        <v>30</v>
      </c>
      <c r="N779" s="22" t="s">
        <v>31</v>
      </c>
      <c r="O779" s="22" t="s">
        <v>32</v>
      </c>
      <c r="P779" s="3"/>
    </row>
    <row r="780" spans="1:19" x14ac:dyDescent="0.25">
      <c r="A780" s="12" t="s">
        <v>22</v>
      </c>
      <c r="B780" s="48">
        <v>800</v>
      </c>
      <c r="C780" s="17">
        <v>-520.84065059962711</v>
      </c>
      <c r="D780" s="63">
        <v>61.206361756097245</v>
      </c>
      <c r="E780" s="63">
        <v>0</v>
      </c>
      <c r="F780" s="63">
        <v>9.8858955406211315</v>
      </c>
      <c r="G780" s="54">
        <v>0</v>
      </c>
      <c r="H780" s="6">
        <v>175</v>
      </c>
      <c r="I780" s="56"/>
      <c r="J780" s="57"/>
      <c r="K780" s="58"/>
      <c r="L780" s="92" t="s">
        <v>1</v>
      </c>
      <c r="M780" s="93"/>
      <c r="N780" s="22" t="s">
        <v>35</v>
      </c>
      <c r="O780" s="22" t="s">
        <v>9</v>
      </c>
    </row>
    <row r="781" spans="1:19" x14ac:dyDescent="0.25">
      <c r="A781" s="20" t="s">
        <v>24</v>
      </c>
      <c r="B781" s="13"/>
      <c r="C781" s="17">
        <v>501.72220430630369</v>
      </c>
      <c r="D781" s="18">
        <v>0</v>
      </c>
      <c r="E781" s="18">
        <v>271.89837682147322</v>
      </c>
      <c r="F781" s="18">
        <v>0</v>
      </c>
      <c r="G781" s="19">
        <v>26.020143415176424</v>
      </c>
      <c r="H781" s="6">
        <v>200</v>
      </c>
      <c r="I781" s="59" t="s">
        <v>70</v>
      </c>
      <c r="J781" s="60"/>
      <c r="K781" s="61"/>
      <c r="L781" s="25">
        <f>MAX(ABS(E784),ABS(E785))*1000/(B782*B779)</f>
        <v>2.0822521886031953</v>
      </c>
      <c r="M781" s="25">
        <f>L781-phiVc</f>
        <v>1.4197427547080996</v>
      </c>
      <c r="N781" s="26">
        <f>M781*O781*B779/(phiV*fys*0.25*PI()*(J779^2))</f>
        <v>3.5057893210096225</v>
      </c>
      <c r="O781" s="15">
        <v>100</v>
      </c>
    </row>
    <row r="782" spans="1:19" x14ac:dyDescent="0.25">
      <c r="A782" s="12" t="s">
        <v>26</v>
      </c>
      <c r="B782" s="49">
        <f>B780-clrCover-J779-(IF(M786&gt;1,1.5*J785,0.5*J785))</f>
        <v>712.5</v>
      </c>
      <c r="C782" s="64">
        <v>110.5721300870442</v>
      </c>
      <c r="D782" s="17">
        <v>-67.320975233692977</v>
      </c>
      <c r="E782" s="18">
        <v>61.477599601327313</v>
      </c>
      <c r="F782" s="18">
        <v>29.088945613182034</v>
      </c>
      <c r="G782" s="19">
        <v>27.757577181858519</v>
      </c>
      <c r="H782" s="6">
        <v>250</v>
      </c>
      <c r="I782" s="59" t="s">
        <v>71</v>
      </c>
      <c r="J782" s="60"/>
      <c r="K782" s="61"/>
      <c r="L782" s="25">
        <f>MAX(ABS(E784),ABS(E785))*1000/(B787*B779)</f>
        <v>2.0048711951078064</v>
      </c>
      <c r="M782" s="25">
        <f>L782-phiVc</f>
        <v>1.3423617612127108</v>
      </c>
      <c r="N782" s="26">
        <f>M782*O782*B779/(phiV*fys*0.25*PI()*(J779^2))</f>
        <v>3.3147114234499164</v>
      </c>
      <c r="O782" s="15">
        <v>100</v>
      </c>
    </row>
    <row r="783" spans="1:19" x14ac:dyDescent="0.25">
      <c r="A783" s="12" t="s">
        <v>27</v>
      </c>
      <c r="B783" s="50">
        <f>K786*R785</f>
        <v>3920</v>
      </c>
      <c r="C783" s="64">
        <v>-97.989101076113698</v>
      </c>
      <c r="D783" s="17">
        <v>74.652258148180252</v>
      </c>
      <c r="E783" s="18">
        <v>216.8615727143104</v>
      </c>
      <c r="F783" s="18">
        <v>-134.49920391376639</v>
      </c>
      <c r="G783" s="19">
        <v>-31.245669536108572</v>
      </c>
      <c r="H783" s="6">
        <v>300</v>
      </c>
    </row>
    <row r="784" spans="1:19" x14ac:dyDescent="0.25">
      <c r="A784" s="12" t="s">
        <v>28</v>
      </c>
      <c r="B784" s="51">
        <f>-phi*B779*(B782^2)*J786*fy*(1-(0.588*J786*fy/fc))/1000000</f>
        <v>-911.61856477439994</v>
      </c>
      <c r="C784" s="64">
        <v>-5.3326992832892097</v>
      </c>
      <c r="D784" s="18">
        <v>-0.6755340461426097</v>
      </c>
      <c r="E784" s="17">
        <v>-534.96344251622406</v>
      </c>
      <c r="F784" s="18">
        <v>-674.09258625817415</v>
      </c>
      <c r="G784" s="19">
        <v>0.39869487176879886</v>
      </c>
      <c r="I784" s="90" t="s">
        <v>68</v>
      </c>
      <c r="J784" s="91"/>
      <c r="K784" s="94" t="s">
        <v>35</v>
      </c>
      <c r="L784" s="75" t="s">
        <v>36</v>
      </c>
      <c r="M784" s="96" t="s">
        <v>37</v>
      </c>
      <c r="N784" s="98" t="s">
        <v>38</v>
      </c>
      <c r="O784" s="96" t="s">
        <v>72</v>
      </c>
      <c r="Q784" s="34" t="s">
        <v>73</v>
      </c>
    </row>
    <row r="785" spans="1:19" x14ac:dyDescent="0.25">
      <c r="A785" s="23" t="s">
        <v>33</v>
      </c>
      <c r="B785" s="13"/>
      <c r="C785" s="64">
        <v>-12.293489077886141</v>
      </c>
      <c r="D785" s="18">
        <v>1.0231237411974001</v>
      </c>
      <c r="E785" s="17">
        <v>593.44187375191063</v>
      </c>
      <c r="F785" s="18">
        <v>-750.77916918069081</v>
      </c>
      <c r="G785" s="19">
        <v>0.73093247504112147</v>
      </c>
      <c r="I785" s="14" t="s">
        <v>23</v>
      </c>
      <c r="J785" s="41">
        <v>25</v>
      </c>
      <c r="K785" s="95"/>
      <c r="L785" s="40" t="s">
        <v>9</v>
      </c>
      <c r="M785" s="97"/>
      <c r="N785" s="99"/>
      <c r="O785" s="97"/>
      <c r="Q785" s="14" t="s">
        <v>75</v>
      </c>
      <c r="R785" s="21">
        <f>IF(J785=16,201,IF(J785=20,314,IF(J785=25,490,"Err")))</f>
        <v>490</v>
      </c>
      <c r="S785" s="16" t="s">
        <v>25</v>
      </c>
    </row>
    <row r="786" spans="1:19" x14ac:dyDescent="0.25">
      <c r="A786" s="20" t="s">
        <v>39</v>
      </c>
      <c r="B786" s="13"/>
      <c r="C786" s="64">
        <v>-164.24547368963962</v>
      </c>
      <c r="D786" s="18">
        <v>-6.6001453409287274</v>
      </c>
      <c r="E786" s="18">
        <v>-503.43447503613601</v>
      </c>
      <c r="F786" s="17">
        <v>-866.36160407608838</v>
      </c>
      <c r="G786" s="19">
        <v>4.1000509681508541</v>
      </c>
      <c r="I786" s="14" t="s">
        <v>40</v>
      </c>
      <c r="J786" s="24">
        <f>MAX(rhoMin,(K786*R785/(B779*B782)))</f>
        <v>1.3754385964912281E-2</v>
      </c>
      <c r="K786" s="15">
        <v>8</v>
      </c>
      <c r="L786" s="39">
        <f>IF(M786&lt;2,(B779-(2*(J779+clrCover))-(K786*J785))/(K786-1),(B779-(2*(J779+clrCover))-(N786*J785))/((N786)-1))</f>
        <v>66.666666666666671</v>
      </c>
      <c r="M786" s="15">
        <v>2</v>
      </c>
      <c r="N786" s="22">
        <f>IF(M786&lt;2,K786,CEILING(K786/2,1))</f>
        <v>4</v>
      </c>
      <c r="O786" s="22">
        <f>K786-N786</f>
        <v>4</v>
      </c>
      <c r="Q786" s="37" t="s">
        <v>74</v>
      </c>
      <c r="R786" s="38">
        <f>rhoMin*B779*B782</f>
        <v>940.5</v>
      </c>
      <c r="S786" s="22">
        <f>ROUNDUP(R786/R785,0)</f>
        <v>2</v>
      </c>
    </row>
    <row r="787" spans="1:19" x14ac:dyDescent="0.25">
      <c r="A787" s="12" t="s">
        <v>26</v>
      </c>
      <c r="B787" s="49">
        <f>B780-clrCover-J779-(IF(M789&gt;1,1.5*J788,0.5*J788))</f>
        <v>740</v>
      </c>
      <c r="C787" s="64">
        <v>-3.78487376898982</v>
      </c>
      <c r="D787" s="18">
        <v>0.13348960697599277</v>
      </c>
      <c r="E787" s="18">
        <v>-30.723243923699215</v>
      </c>
      <c r="F787" s="17">
        <v>326.67875505496932</v>
      </c>
      <c r="G787" s="19">
        <v>2.9293275841590201E-2</v>
      </c>
      <c r="I787" s="90" t="s">
        <v>69</v>
      </c>
      <c r="J787" s="91"/>
      <c r="K787" s="96" t="s">
        <v>35</v>
      </c>
      <c r="L787" s="75" t="s">
        <v>36</v>
      </c>
      <c r="M787" s="96" t="s">
        <v>37</v>
      </c>
      <c r="N787" s="98" t="s">
        <v>38</v>
      </c>
      <c r="O787" s="96" t="s">
        <v>72</v>
      </c>
      <c r="R787" s="36"/>
    </row>
    <row r="788" spans="1:19" x14ac:dyDescent="0.25">
      <c r="A788" s="12" t="s">
        <v>27</v>
      </c>
      <c r="B788" s="50">
        <f>K789*R788</f>
        <v>1256</v>
      </c>
      <c r="C788" s="64">
        <v>501.72220430630369</v>
      </c>
      <c r="D788" s="18">
        <v>-59.781863076617206</v>
      </c>
      <c r="E788" s="18">
        <v>341.09001867684071</v>
      </c>
      <c r="F788" s="18">
        <v>-535.56972660237875</v>
      </c>
      <c r="G788" s="17">
        <v>-41.230846005714014</v>
      </c>
      <c r="I788" s="14" t="s">
        <v>23</v>
      </c>
      <c r="J788" s="41">
        <v>20</v>
      </c>
      <c r="K788" s="97"/>
      <c r="L788" s="40" t="s">
        <v>9</v>
      </c>
      <c r="M788" s="97"/>
      <c r="N788" s="99"/>
      <c r="O788" s="97"/>
      <c r="Q788" s="14" t="s">
        <v>75</v>
      </c>
      <c r="R788" s="21">
        <f>IF(J788=16,201,IF(J788=20,314,IF(J788=25,490,"Err")))</f>
        <v>314</v>
      </c>
      <c r="S788" s="16" t="s">
        <v>25</v>
      </c>
    </row>
    <row r="789" spans="1:19" x14ac:dyDescent="0.25">
      <c r="A789" s="27" t="s">
        <v>28</v>
      </c>
      <c r="B789" s="52">
        <f>phi*B779*(B787^2)*J789*fy*(1-(0.588*J789*fy/fc))/1000000</f>
        <v>333.06055934745604</v>
      </c>
      <c r="C789" s="53">
        <v>-97.989101076113698</v>
      </c>
      <c r="D789" s="28">
        <v>74.652258148180252</v>
      </c>
      <c r="E789" s="28">
        <v>294.52796611376829</v>
      </c>
      <c r="F789" s="28">
        <v>-390.19397532542115</v>
      </c>
      <c r="G789" s="17">
        <v>43.406589195292447</v>
      </c>
      <c r="I789" s="14" t="s">
        <v>40</v>
      </c>
      <c r="J789" s="24">
        <f>MAX(rhoMin,(K789*R788/(B779*B787)))</f>
        <v>4.2432432432432431E-3</v>
      </c>
      <c r="K789" s="15">
        <v>4</v>
      </c>
      <c r="L789" s="21">
        <f>IF(M789&lt;2,(B779-(2*(J779+clrCover))-(K789*J788))/(K789-1),(B779-(2*(J779+clrCover))-(N789*J788))/((N789)-1))</f>
        <v>73.333333333333329</v>
      </c>
      <c r="M789" s="15">
        <v>1</v>
      </c>
      <c r="N789" s="22">
        <f>IF(M789&lt;2,K789,CEILING(K789/2,1))</f>
        <v>4</v>
      </c>
      <c r="O789" s="22">
        <f>K789-N789</f>
        <v>0</v>
      </c>
      <c r="Q789" s="37" t="s">
        <v>74</v>
      </c>
      <c r="R789" s="38">
        <f>rhoMin*B779*B787</f>
        <v>976.80000000000007</v>
      </c>
      <c r="S789" s="22">
        <f>ROUNDUP(R789/R788,0)</f>
        <v>4</v>
      </c>
    </row>
    <row r="790" spans="1:19" x14ac:dyDescent="0.25">
      <c r="A790" s="65" t="s">
        <v>76</v>
      </c>
    </row>
    <row r="791" spans="1:19" x14ac:dyDescent="0.25">
      <c r="A791" s="69" t="s">
        <v>149</v>
      </c>
      <c r="B791" s="11" t="s">
        <v>11</v>
      </c>
      <c r="C791" s="10" t="s">
        <v>12</v>
      </c>
      <c r="D791" s="10" t="s">
        <v>13</v>
      </c>
      <c r="E791" s="10" t="s">
        <v>14</v>
      </c>
      <c r="F791" s="10" t="s">
        <v>15</v>
      </c>
      <c r="G791" s="11" t="s">
        <v>16</v>
      </c>
      <c r="H791" s="6">
        <v>125</v>
      </c>
      <c r="I791" s="90" t="s">
        <v>34</v>
      </c>
      <c r="J791" s="91"/>
      <c r="K791" s="71"/>
    </row>
    <row r="792" spans="1:19" x14ac:dyDescent="0.25">
      <c r="A792" s="12" t="s">
        <v>17</v>
      </c>
      <c r="B792" s="48">
        <v>400</v>
      </c>
      <c r="C792" s="44" t="s">
        <v>18</v>
      </c>
      <c r="D792" s="44" t="s">
        <v>18</v>
      </c>
      <c r="E792" s="44" t="s">
        <v>18</v>
      </c>
      <c r="F792" s="44" t="s">
        <v>19</v>
      </c>
      <c r="G792" s="45" t="s">
        <v>19</v>
      </c>
      <c r="H792" s="6">
        <v>150</v>
      </c>
      <c r="I792" s="14" t="s">
        <v>20</v>
      </c>
      <c r="J792" s="15">
        <v>10</v>
      </c>
      <c r="K792" s="16" t="s">
        <v>9</v>
      </c>
      <c r="L792" s="22" t="s">
        <v>29</v>
      </c>
      <c r="M792" s="22" t="s">
        <v>30</v>
      </c>
      <c r="N792" s="22" t="s">
        <v>31</v>
      </c>
      <c r="O792" s="22" t="s">
        <v>32</v>
      </c>
      <c r="P792" s="3"/>
    </row>
    <row r="793" spans="1:19" x14ac:dyDescent="0.25">
      <c r="A793" s="12" t="s">
        <v>22</v>
      </c>
      <c r="B793" s="48">
        <v>700</v>
      </c>
      <c r="C793" s="17">
        <v>-199.75664289622375</v>
      </c>
      <c r="D793" s="63">
        <v>-30.868919079766233</v>
      </c>
      <c r="E793" s="63">
        <v>0</v>
      </c>
      <c r="F793" s="63">
        <v>-42.609411280864414</v>
      </c>
      <c r="G793" s="54">
        <v>0</v>
      </c>
      <c r="H793" s="6">
        <v>175</v>
      </c>
      <c r="I793" s="56"/>
      <c r="J793" s="57"/>
      <c r="K793" s="58"/>
      <c r="L793" s="92" t="s">
        <v>1</v>
      </c>
      <c r="M793" s="93"/>
      <c r="N793" s="22" t="s">
        <v>35</v>
      </c>
      <c r="O793" s="22" t="s">
        <v>9</v>
      </c>
    </row>
    <row r="794" spans="1:19" x14ac:dyDescent="0.25">
      <c r="A794" s="20" t="s">
        <v>24</v>
      </c>
      <c r="B794" s="13"/>
      <c r="C794" s="17">
        <v>161.48818214181307</v>
      </c>
      <c r="D794" s="18">
        <v>0</v>
      </c>
      <c r="E794" s="18">
        <v>126.78257742487342</v>
      </c>
      <c r="F794" s="18">
        <v>0</v>
      </c>
      <c r="G794" s="19">
        <v>-15.684462867626969</v>
      </c>
      <c r="H794" s="6">
        <v>200</v>
      </c>
      <c r="I794" s="59" t="s">
        <v>70</v>
      </c>
      <c r="J794" s="60"/>
      <c r="K794" s="61"/>
      <c r="L794" s="25">
        <f>MAX(ABS(E797),ABS(E798))*1000/(B795*B792)</f>
        <v>1.7779845273547987</v>
      </c>
      <c r="M794" s="25">
        <f>L794-phiVc</f>
        <v>1.1154750934597031</v>
      </c>
      <c r="N794" s="26">
        <f>M794*O794*B792/(phiV*fys*0.25*PI()*(J792^2))</f>
        <v>2.7544572124316034</v>
      </c>
      <c r="O794" s="15">
        <v>100</v>
      </c>
    </row>
    <row r="795" spans="1:19" x14ac:dyDescent="0.25">
      <c r="A795" s="12" t="s">
        <v>26</v>
      </c>
      <c r="B795" s="49">
        <f>B793-clrCover-J792-(IF(M799&gt;1,1.5*J798,0.5*J798))</f>
        <v>612.5</v>
      </c>
      <c r="C795" s="64">
        <v>-189.01410555639097</v>
      </c>
      <c r="D795" s="17">
        <v>-32.418999946701973</v>
      </c>
      <c r="E795" s="18">
        <v>57.83063831164263</v>
      </c>
      <c r="F795" s="18">
        <v>-19.347948267572008</v>
      </c>
      <c r="G795" s="19">
        <v>14.180783869968675</v>
      </c>
      <c r="H795" s="6">
        <v>250</v>
      </c>
      <c r="I795" s="59" t="s">
        <v>71</v>
      </c>
      <c r="J795" s="60"/>
      <c r="K795" s="61"/>
      <c r="L795" s="25">
        <f>MAX(ABS(E797),ABS(E798))*1000/(B800*B792)</f>
        <v>1.7015867546950221</v>
      </c>
      <c r="M795" s="25">
        <f>L795-phiVc</f>
        <v>1.0390773207999264</v>
      </c>
      <c r="N795" s="26">
        <f>M795*O795*B792/(phiV*fys*0.25*PI()*(J792^2))</f>
        <v>2.5658071949186536</v>
      </c>
      <c r="O795" s="15">
        <v>100</v>
      </c>
    </row>
    <row r="796" spans="1:19" x14ac:dyDescent="0.25">
      <c r="A796" s="12" t="s">
        <v>27</v>
      </c>
      <c r="B796" s="50">
        <f>K799*R798</f>
        <v>3920</v>
      </c>
      <c r="C796" s="64">
        <v>150.74564480198029</v>
      </c>
      <c r="D796" s="17">
        <v>38.25033579998555</v>
      </c>
      <c r="E796" s="18">
        <v>199.04070472377691</v>
      </c>
      <c r="F796" s="18">
        <v>-60.472422906790101</v>
      </c>
      <c r="G796" s="19">
        <v>-16.216389686334001</v>
      </c>
      <c r="H796" s="6">
        <v>300</v>
      </c>
    </row>
    <row r="797" spans="1:19" x14ac:dyDescent="0.25">
      <c r="A797" s="12" t="s">
        <v>28</v>
      </c>
      <c r="B797" s="51">
        <f>-phi*B792*(B795^2)*J799*fy*(1-(0.588*J799*fy/fc))/1000000</f>
        <v>-765.55936477440002</v>
      </c>
      <c r="C797" s="64">
        <v>-22.699745372480695</v>
      </c>
      <c r="D797" s="18">
        <v>1.5077929981475058</v>
      </c>
      <c r="E797" s="17">
        <v>-324.20281019627697</v>
      </c>
      <c r="F797" s="18">
        <v>-435.72365922089335</v>
      </c>
      <c r="G797" s="19">
        <v>-0.940799667999619</v>
      </c>
      <c r="I797" s="90" t="s">
        <v>68</v>
      </c>
      <c r="J797" s="91"/>
      <c r="K797" s="94" t="s">
        <v>35</v>
      </c>
      <c r="L797" s="75" t="s">
        <v>36</v>
      </c>
      <c r="M797" s="96" t="s">
        <v>37</v>
      </c>
      <c r="N797" s="98" t="s">
        <v>38</v>
      </c>
      <c r="O797" s="96" t="s">
        <v>72</v>
      </c>
      <c r="Q797" s="34" t="s">
        <v>73</v>
      </c>
    </row>
    <row r="798" spans="1:19" x14ac:dyDescent="0.25">
      <c r="A798" s="23" t="s">
        <v>33</v>
      </c>
      <c r="B798" s="13"/>
      <c r="C798" s="64">
        <v>-28.169020101303264</v>
      </c>
      <c r="D798" s="18">
        <v>0.17100443563110843</v>
      </c>
      <c r="E798" s="17">
        <v>435.60620920192565</v>
      </c>
      <c r="F798" s="18">
        <v>-533.66968037245567</v>
      </c>
      <c r="G798" s="19">
        <v>0.15422944913001863</v>
      </c>
      <c r="I798" s="14" t="s">
        <v>23</v>
      </c>
      <c r="J798" s="41">
        <v>25</v>
      </c>
      <c r="K798" s="95"/>
      <c r="L798" s="40" t="s">
        <v>9</v>
      </c>
      <c r="M798" s="97"/>
      <c r="N798" s="99"/>
      <c r="O798" s="97"/>
      <c r="Q798" s="14" t="s">
        <v>75</v>
      </c>
      <c r="R798" s="21">
        <f>IF(J798=16,201,IF(J798=20,314,IF(J798=25,490,"Err")))</f>
        <v>490</v>
      </c>
      <c r="S798" s="16" t="s">
        <v>25</v>
      </c>
    </row>
    <row r="799" spans="1:19" x14ac:dyDescent="0.25">
      <c r="A799" s="20" t="s">
        <v>39</v>
      </c>
      <c r="B799" s="13"/>
      <c r="C799" s="64">
        <v>40.82429982454444</v>
      </c>
      <c r="D799" s="18">
        <v>24.341736272584807</v>
      </c>
      <c r="E799" s="18">
        <v>427.60900986610352</v>
      </c>
      <c r="F799" s="17">
        <v>-714.06789145341634</v>
      </c>
      <c r="G799" s="19">
        <v>15.508277112845452</v>
      </c>
      <c r="I799" s="14" t="s">
        <v>40</v>
      </c>
      <c r="J799" s="24">
        <f>MAX(rhoMin,(K799*R798/(B792*B795)))</f>
        <v>1.6E-2</v>
      </c>
      <c r="K799" s="15">
        <v>8</v>
      </c>
      <c r="L799" s="39">
        <f>IF(M799&lt;2,(B792-(2*(J792+clrCover))-(K799*J798))/(K799-1),(B792-(2*(J792+clrCover))-(N799*J798))/((N799)-1))</f>
        <v>66.666666666666671</v>
      </c>
      <c r="M799" s="15">
        <v>2</v>
      </c>
      <c r="N799" s="22">
        <f>IF(M799&lt;2,K799,CEILING(K799/2,1))</f>
        <v>4</v>
      </c>
      <c r="O799" s="22">
        <f>K799-N799</f>
        <v>4</v>
      </c>
      <c r="Q799" s="37" t="s">
        <v>74</v>
      </c>
      <c r="R799" s="38">
        <f>rhoMin*B792*B795</f>
        <v>808.5</v>
      </c>
      <c r="S799" s="22">
        <f>ROUNDUP(R799/R798,0)</f>
        <v>2</v>
      </c>
    </row>
    <row r="800" spans="1:19" x14ac:dyDescent="0.25">
      <c r="A800" s="12" t="s">
        <v>26</v>
      </c>
      <c r="B800" s="49">
        <f>B793-clrCover-J792-(IF(M802&gt;1,1.5*J801,0.5*J801))</f>
        <v>640</v>
      </c>
      <c r="C800" s="64">
        <v>-79.092760578955151</v>
      </c>
      <c r="D800" s="18">
        <v>-18.510400419301234</v>
      </c>
      <c r="E800" s="18">
        <v>-71.093355947639793</v>
      </c>
      <c r="F800" s="17">
        <v>328.0029186335567</v>
      </c>
      <c r="G800" s="19">
        <v>-11.712547075927203</v>
      </c>
      <c r="I800" s="90" t="s">
        <v>69</v>
      </c>
      <c r="J800" s="91"/>
      <c r="K800" s="96" t="s">
        <v>35</v>
      </c>
      <c r="L800" s="75" t="s">
        <v>36</v>
      </c>
      <c r="M800" s="96" t="s">
        <v>37</v>
      </c>
      <c r="N800" s="98" t="s">
        <v>38</v>
      </c>
      <c r="O800" s="96" t="s">
        <v>72</v>
      </c>
      <c r="R800" s="36"/>
    </row>
    <row r="801" spans="1:19" x14ac:dyDescent="0.25">
      <c r="A801" s="12" t="s">
        <v>27</v>
      </c>
      <c r="B801" s="50">
        <f>K802*R801</f>
        <v>1570</v>
      </c>
      <c r="C801" s="64">
        <v>-189.01410555639097</v>
      </c>
      <c r="D801" s="18">
        <v>-32.418999946701973</v>
      </c>
      <c r="E801" s="18">
        <v>93.584514404375867</v>
      </c>
      <c r="F801" s="18">
        <v>-94.900383126391617</v>
      </c>
      <c r="G801" s="17">
        <v>-18.238216076733298</v>
      </c>
      <c r="I801" s="14" t="s">
        <v>23</v>
      </c>
      <c r="J801" s="41">
        <v>20</v>
      </c>
      <c r="K801" s="97"/>
      <c r="L801" s="40" t="s">
        <v>9</v>
      </c>
      <c r="M801" s="97"/>
      <c r="N801" s="99"/>
      <c r="O801" s="97"/>
      <c r="Q801" s="14" t="s">
        <v>75</v>
      </c>
      <c r="R801" s="21">
        <f>IF(J801=16,201,IF(J801=20,314,IF(J801=25,490,"Err")))</f>
        <v>314</v>
      </c>
      <c r="S801" s="16" t="s">
        <v>25</v>
      </c>
    </row>
    <row r="802" spans="1:19" x14ac:dyDescent="0.25">
      <c r="A802" s="27" t="s">
        <v>28</v>
      </c>
      <c r="B802" s="52">
        <f>phi*B792*(B800^2)*J802*fy*(1-(0.588*J802*fy/fc))/1000000</f>
        <v>353.68725398039999</v>
      </c>
      <c r="C802" s="53">
        <v>150.74564480198029</v>
      </c>
      <c r="D802" s="28">
        <v>38.25033579998555</v>
      </c>
      <c r="E802" s="28">
        <v>262.93113951408787</v>
      </c>
      <c r="F802" s="28">
        <v>-291.16458969346797</v>
      </c>
      <c r="G802" s="17">
        <v>22.033946113651545</v>
      </c>
      <c r="I802" s="14" t="s">
        <v>40</v>
      </c>
      <c r="J802" s="24">
        <f>MAX(rhoMin,(K802*R801/(B792*B800)))</f>
        <v>6.1328125000000002E-3</v>
      </c>
      <c r="K802" s="15">
        <v>5</v>
      </c>
      <c r="L802" s="21">
        <f>IF(M802&lt;2,(B792-(2*(J792+clrCover))-(K802*J801))/(K802-1),(B792-(2*(J792+clrCover))-(N802*J801))/((N802)-1))</f>
        <v>50</v>
      </c>
      <c r="M802" s="15">
        <v>1</v>
      </c>
      <c r="N802" s="22">
        <f>IF(M802&lt;2,K802,CEILING(K802/2,1))</f>
        <v>5</v>
      </c>
      <c r="O802" s="22">
        <f>K802-N802</f>
        <v>0</v>
      </c>
      <c r="Q802" s="37" t="s">
        <v>74</v>
      </c>
      <c r="R802" s="38">
        <f>rhoMin*B792*B800</f>
        <v>844.80000000000007</v>
      </c>
      <c r="S802" s="22">
        <f>ROUNDUP(R802/R801,0)</f>
        <v>3</v>
      </c>
    </row>
    <row r="803" spans="1:19" x14ac:dyDescent="0.25">
      <c r="A803" s="65" t="s">
        <v>76</v>
      </c>
    </row>
    <row r="804" spans="1:19" x14ac:dyDescent="0.25">
      <c r="A804" s="69" t="s">
        <v>150</v>
      </c>
      <c r="B804" s="11" t="s">
        <v>11</v>
      </c>
      <c r="C804" s="10" t="s">
        <v>12</v>
      </c>
      <c r="D804" s="10" t="s">
        <v>13</v>
      </c>
      <c r="E804" s="10" t="s">
        <v>14</v>
      </c>
      <c r="F804" s="10" t="s">
        <v>15</v>
      </c>
      <c r="G804" s="11" t="s">
        <v>16</v>
      </c>
      <c r="H804" s="6">
        <v>125</v>
      </c>
      <c r="I804" s="90" t="s">
        <v>34</v>
      </c>
      <c r="J804" s="91"/>
      <c r="K804" s="71"/>
    </row>
    <row r="805" spans="1:19" x14ac:dyDescent="0.25">
      <c r="A805" s="12" t="s">
        <v>17</v>
      </c>
      <c r="B805" s="48">
        <v>400</v>
      </c>
      <c r="C805" s="44" t="s">
        <v>18</v>
      </c>
      <c r="D805" s="44" t="s">
        <v>18</v>
      </c>
      <c r="E805" s="44" t="s">
        <v>18</v>
      </c>
      <c r="F805" s="44" t="s">
        <v>19</v>
      </c>
      <c r="G805" s="45" t="s">
        <v>19</v>
      </c>
      <c r="H805" s="6">
        <v>150</v>
      </c>
      <c r="I805" s="14" t="s">
        <v>20</v>
      </c>
      <c r="J805" s="15">
        <v>10</v>
      </c>
      <c r="K805" s="16" t="s">
        <v>9</v>
      </c>
      <c r="L805" s="22" t="s">
        <v>29</v>
      </c>
      <c r="M805" s="22" t="s">
        <v>30</v>
      </c>
      <c r="N805" s="22" t="s">
        <v>31</v>
      </c>
      <c r="O805" s="22" t="s">
        <v>32</v>
      </c>
      <c r="P805" s="3"/>
    </row>
    <row r="806" spans="1:19" x14ac:dyDescent="0.25">
      <c r="A806" s="12" t="s">
        <v>22</v>
      </c>
      <c r="B806" s="48">
        <v>900</v>
      </c>
      <c r="C806" s="17">
        <v>-459.16404675941021</v>
      </c>
      <c r="D806" s="63">
        <v>1.5356397158336676E-3</v>
      </c>
      <c r="E806" s="63">
        <v>0</v>
      </c>
      <c r="F806" s="63">
        <v>344.61636860867185</v>
      </c>
      <c r="G806" s="54">
        <v>0</v>
      </c>
      <c r="H806" s="6">
        <v>175</v>
      </c>
      <c r="I806" s="56"/>
      <c r="J806" s="57"/>
      <c r="K806" s="58"/>
      <c r="L806" s="92" t="s">
        <v>1</v>
      </c>
      <c r="M806" s="93"/>
      <c r="N806" s="22" t="s">
        <v>35</v>
      </c>
      <c r="O806" s="22" t="s">
        <v>9</v>
      </c>
    </row>
    <row r="807" spans="1:19" x14ac:dyDescent="0.25">
      <c r="A807" s="20" t="s">
        <v>24</v>
      </c>
      <c r="B807" s="13"/>
      <c r="C807" s="17">
        <v>404.53584144962991</v>
      </c>
      <c r="D807" s="18">
        <v>0</v>
      </c>
      <c r="E807" s="18">
        <v>-440.66303795572207</v>
      </c>
      <c r="F807" s="18">
        <v>0</v>
      </c>
      <c r="G807" s="19">
        <v>3.4040234755416874</v>
      </c>
      <c r="H807" s="6">
        <v>200</v>
      </c>
      <c r="I807" s="59" t="s">
        <v>70</v>
      </c>
      <c r="J807" s="60"/>
      <c r="K807" s="61"/>
      <c r="L807" s="25">
        <f>MAX(ABS(E810),ABS(E811))*1000/(B808*B805)</f>
        <v>1.9298281865916289</v>
      </c>
      <c r="M807" s="25">
        <f>L807-phiVc</f>
        <v>1.2673187526965333</v>
      </c>
      <c r="N807" s="26">
        <f>M807*O807*B805/(phiV*fys*0.25*PI()*(J805^2))</f>
        <v>3.1294067427251751</v>
      </c>
      <c r="O807" s="15">
        <v>100</v>
      </c>
    </row>
    <row r="808" spans="1:19" x14ac:dyDescent="0.25">
      <c r="A808" s="12" t="s">
        <v>26</v>
      </c>
      <c r="B808" s="49">
        <f>B806-clrCover-J805-(IF(M812&gt;1,1.5*J811,0.5*J811))</f>
        <v>812.5</v>
      </c>
      <c r="C808" s="64">
        <v>-179.3234297655419</v>
      </c>
      <c r="D808" s="17">
        <v>-35.05429258617356</v>
      </c>
      <c r="E808" s="18">
        <v>-531.76405325948622</v>
      </c>
      <c r="F808" s="18">
        <v>-1017.086263411673</v>
      </c>
      <c r="G808" s="19">
        <v>19.368187773644689</v>
      </c>
      <c r="H808" s="6">
        <v>250</v>
      </c>
      <c r="I808" s="59" t="s">
        <v>71</v>
      </c>
      <c r="J808" s="60"/>
      <c r="K808" s="61"/>
      <c r="L808" s="25">
        <f>MAX(ABS(E810),ABS(E811))*1000/(B813*B805)</f>
        <v>1.8722213750515804</v>
      </c>
      <c r="M808" s="25">
        <f>L808-phiVc</f>
        <v>1.2097119411564847</v>
      </c>
      <c r="N808" s="26">
        <f>M808*O808*B805/(phiV*fys*0.25*PI()*(J805^2))</f>
        <v>2.9871574908485283</v>
      </c>
      <c r="O808" s="15">
        <v>100</v>
      </c>
    </row>
    <row r="809" spans="1:19" x14ac:dyDescent="0.25">
      <c r="A809" s="12" t="s">
        <v>27</v>
      </c>
      <c r="B809" s="50">
        <f>K812*R811</f>
        <v>5390</v>
      </c>
      <c r="C809" s="64">
        <v>124.69522445576159</v>
      </c>
      <c r="D809" s="17">
        <v>34.286640404137039</v>
      </c>
      <c r="E809" s="18">
        <v>-51.216303596806156</v>
      </c>
      <c r="F809" s="18">
        <v>250.4941446045587</v>
      </c>
      <c r="G809" s="19">
        <v>-19.120637983211044</v>
      </c>
      <c r="H809" s="6">
        <v>300</v>
      </c>
    </row>
    <row r="810" spans="1:19" x14ac:dyDescent="0.25">
      <c r="A810" s="12" t="s">
        <v>28</v>
      </c>
      <c r="B810" s="51">
        <f>-phi*B805*(B808^2)*J812*fy*(1-(0.588*J812*fy/fc))/1000000</f>
        <v>-1387.7638521516001</v>
      </c>
      <c r="C810" s="64">
        <v>-59.43620192262982</v>
      </c>
      <c r="D810" s="18">
        <v>-0.76048204592533553</v>
      </c>
      <c r="E810" s="17">
        <v>-627.19416064227948</v>
      </c>
      <c r="F810" s="18">
        <v>-834.3288869016427</v>
      </c>
      <c r="G810" s="19">
        <v>0.2173595538080213</v>
      </c>
      <c r="I810" s="90" t="s">
        <v>68</v>
      </c>
      <c r="J810" s="91"/>
      <c r="K810" s="94" t="s">
        <v>35</v>
      </c>
      <c r="L810" s="75" t="s">
        <v>36</v>
      </c>
      <c r="M810" s="96" t="s">
        <v>37</v>
      </c>
      <c r="N810" s="98" t="s">
        <v>38</v>
      </c>
      <c r="O810" s="96" t="s">
        <v>72</v>
      </c>
      <c r="Q810" s="34" t="s">
        <v>73</v>
      </c>
    </row>
    <row r="811" spans="1:19" x14ac:dyDescent="0.25">
      <c r="A811" s="23" t="s">
        <v>33</v>
      </c>
      <c r="B811" s="13"/>
      <c r="C811" s="64">
        <v>-128.78043920512843</v>
      </c>
      <c r="D811" s="18">
        <v>-4.4233509594050879</v>
      </c>
      <c r="E811" s="17">
        <v>466.7298653847003</v>
      </c>
      <c r="F811" s="18">
        <v>-1322.8766780228327</v>
      </c>
      <c r="G811" s="19">
        <v>-3.1948572349046747</v>
      </c>
      <c r="I811" s="14" t="s">
        <v>23</v>
      </c>
      <c r="J811" s="41">
        <v>25</v>
      </c>
      <c r="K811" s="95"/>
      <c r="L811" s="40" t="s">
        <v>9</v>
      </c>
      <c r="M811" s="97"/>
      <c r="N811" s="99"/>
      <c r="O811" s="97"/>
      <c r="Q811" s="14" t="s">
        <v>75</v>
      </c>
      <c r="R811" s="21">
        <f>IF(J811=16,201,IF(J811=20,314,IF(J811=25,490,"Err")))</f>
        <v>490</v>
      </c>
      <c r="S811" s="16" t="s">
        <v>25</v>
      </c>
    </row>
    <row r="812" spans="1:19" x14ac:dyDescent="0.25">
      <c r="A812" s="20" t="s">
        <v>39</v>
      </c>
      <c r="B812" s="13"/>
      <c r="C812" s="64">
        <v>391.06096277513944</v>
      </c>
      <c r="D812" s="18">
        <v>-0.81369704334139958</v>
      </c>
      <c r="E812" s="18">
        <v>-599.61340002475936</v>
      </c>
      <c r="F812" s="17">
        <v>-1329.1010638033226</v>
      </c>
      <c r="G812" s="19">
        <v>3.3780080656219038</v>
      </c>
      <c r="I812" s="14" t="s">
        <v>40</v>
      </c>
      <c r="J812" s="24">
        <f>MAX(rhoMin,(K812*R811/(B805*B808)))</f>
        <v>1.6584615384615385E-2</v>
      </c>
      <c r="K812" s="15">
        <v>11</v>
      </c>
      <c r="L812" s="39">
        <f>IF(M812&lt;2,(B805-(2*(J805+clrCover))-(K812*J811))/(K812-1),(B805-(2*(J805+clrCover))-(N812*J811))/((N812)-1))</f>
        <v>30</v>
      </c>
      <c r="M812" s="15">
        <v>2</v>
      </c>
      <c r="N812" s="22">
        <f>IF(M812&lt;2,K812,CEILING(K812/2,1))</f>
        <v>6</v>
      </c>
      <c r="O812" s="22">
        <f>K812-N812</f>
        <v>5</v>
      </c>
      <c r="Q812" s="37" t="s">
        <v>74</v>
      </c>
      <c r="R812" s="38">
        <f>rhoMin*B805*B808</f>
        <v>1072.5</v>
      </c>
      <c r="S812" s="22">
        <f>ROUNDUP(R812/R811,0)</f>
        <v>3</v>
      </c>
    </row>
    <row r="813" spans="1:19" x14ac:dyDescent="0.25">
      <c r="A813" s="12" t="s">
        <v>26</v>
      </c>
      <c r="B813" s="49">
        <f>B806-clrCover-J805-(IF(M815&gt;1,1.5*J814,0.5*J814))</f>
        <v>837.5</v>
      </c>
      <c r="C813" s="64">
        <v>-445.68916808491974</v>
      </c>
      <c r="D813" s="18">
        <v>4.6044861304884423E-2</v>
      </c>
      <c r="E813" s="18">
        <v>16.633043168466976</v>
      </c>
      <c r="F813" s="17">
        <v>562.50894499620813</v>
      </c>
      <c r="G813" s="19">
        <v>-3.1304582751882615</v>
      </c>
      <c r="I813" s="90" t="s">
        <v>69</v>
      </c>
      <c r="J813" s="91"/>
      <c r="K813" s="96" t="s">
        <v>35</v>
      </c>
      <c r="L813" s="75" t="s">
        <v>36</v>
      </c>
      <c r="M813" s="96" t="s">
        <v>37</v>
      </c>
      <c r="N813" s="98" t="s">
        <v>38</v>
      </c>
      <c r="O813" s="96" t="s">
        <v>72</v>
      </c>
      <c r="R813" s="36"/>
    </row>
    <row r="814" spans="1:19" x14ac:dyDescent="0.25">
      <c r="A814" s="12" t="s">
        <v>27</v>
      </c>
      <c r="B814" s="50">
        <f>K815*R814</f>
        <v>1960</v>
      </c>
      <c r="C814" s="64">
        <v>111.22034578127108</v>
      </c>
      <c r="D814" s="18">
        <v>34.242131182547993</v>
      </c>
      <c r="E814" s="18">
        <v>-210.1666656658434</v>
      </c>
      <c r="F814" s="18">
        <v>32.601568217022347</v>
      </c>
      <c r="G814" s="17">
        <v>-19.146653393130826</v>
      </c>
      <c r="I814" s="14" t="s">
        <v>23</v>
      </c>
      <c r="J814" s="41">
        <v>25</v>
      </c>
      <c r="K814" s="97"/>
      <c r="L814" s="40" t="s">
        <v>9</v>
      </c>
      <c r="M814" s="97"/>
      <c r="N814" s="99"/>
      <c r="O814" s="97"/>
      <c r="Q814" s="14" t="s">
        <v>75</v>
      </c>
      <c r="R814" s="21">
        <f>IF(J814=16,201,IF(J814=20,314,IF(J814=25,490,"Err")))</f>
        <v>490</v>
      </c>
      <c r="S814" s="16" t="s">
        <v>25</v>
      </c>
    </row>
    <row r="815" spans="1:19" x14ac:dyDescent="0.25">
      <c r="A815" s="27" t="s">
        <v>28</v>
      </c>
      <c r="B815" s="52">
        <f>phi*B805*(B813^2)*J815*fy*(1-(0.588*J815*fy/fc))/1000000</f>
        <v>579.35959119360007</v>
      </c>
      <c r="C815" s="53">
        <v>-165.84855109105138</v>
      </c>
      <c r="D815" s="28">
        <v>-35.009783364584507</v>
      </c>
      <c r="E815" s="28">
        <v>-372.81369119044894</v>
      </c>
      <c r="F815" s="28">
        <v>-799.19368702413669</v>
      </c>
      <c r="G815" s="17">
        <v>19.394203183564471</v>
      </c>
      <c r="I815" s="14" t="s">
        <v>40</v>
      </c>
      <c r="J815" s="24">
        <f>MAX(rhoMin,(K815*R814/(B805*B813)))</f>
        <v>5.8507462686567162E-3</v>
      </c>
      <c r="K815" s="15">
        <v>4</v>
      </c>
      <c r="L815" s="21">
        <f>IF(M815&lt;2,(B805-(2*(J805+clrCover))-(K815*J814))/(K815-1),(B805-(2*(J805+clrCover))-(N815*J814))/((N815)-1))</f>
        <v>66.666666666666671</v>
      </c>
      <c r="M815" s="15">
        <v>1</v>
      </c>
      <c r="N815" s="22">
        <f>IF(M815&lt;2,K815,CEILING(K815/2,1))</f>
        <v>4</v>
      </c>
      <c r="O815" s="22">
        <f>K815-N815</f>
        <v>0</v>
      </c>
      <c r="Q815" s="37" t="s">
        <v>74</v>
      </c>
      <c r="R815" s="38">
        <f>rhoMin*B805*B813</f>
        <v>1105.5</v>
      </c>
      <c r="S815" s="22">
        <f>ROUNDUP(R815/R814,0)</f>
        <v>3</v>
      </c>
    </row>
    <row r="816" spans="1:19" x14ac:dyDescent="0.25">
      <c r="A816" s="65" t="s">
        <v>76</v>
      </c>
    </row>
    <row r="817" spans="1:19" x14ac:dyDescent="0.25">
      <c r="A817" s="69" t="s">
        <v>151</v>
      </c>
      <c r="B817" s="11" t="s">
        <v>11</v>
      </c>
      <c r="C817" s="10" t="s">
        <v>12</v>
      </c>
      <c r="D817" s="10" t="s">
        <v>13</v>
      </c>
      <c r="E817" s="10" t="s">
        <v>14</v>
      </c>
      <c r="F817" s="10" t="s">
        <v>15</v>
      </c>
      <c r="G817" s="11" t="s">
        <v>16</v>
      </c>
      <c r="H817" s="6">
        <v>125</v>
      </c>
      <c r="I817" s="90" t="s">
        <v>34</v>
      </c>
      <c r="J817" s="91"/>
      <c r="K817" s="71"/>
    </row>
    <row r="818" spans="1:19" x14ac:dyDescent="0.25">
      <c r="A818" s="12" t="s">
        <v>17</v>
      </c>
      <c r="B818" s="48">
        <v>600</v>
      </c>
      <c r="C818" s="44" t="s">
        <v>18</v>
      </c>
      <c r="D818" s="44" t="s">
        <v>18</v>
      </c>
      <c r="E818" s="44" t="s">
        <v>18</v>
      </c>
      <c r="F818" s="44" t="s">
        <v>19</v>
      </c>
      <c r="G818" s="45" t="s">
        <v>19</v>
      </c>
      <c r="H818" s="6">
        <v>150</v>
      </c>
      <c r="I818" s="14" t="s">
        <v>20</v>
      </c>
      <c r="J818" s="15">
        <v>10</v>
      </c>
      <c r="K818" s="16" t="s">
        <v>9</v>
      </c>
      <c r="L818" s="22" t="s">
        <v>29</v>
      </c>
      <c r="M818" s="22" t="s">
        <v>30</v>
      </c>
      <c r="N818" s="22" t="s">
        <v>31</v>
      </c>
      <c r="O818" s="22" t="s">
        <v>32</v>
      </c>
      <c r="P818" s="3"/>
    </row>
    <row r="819" spans="1:19" x14ac:dyDescent="0.25">
      <c r="A819" s="12" t="s">
        <v>22</v>
      </c>
      <c r="B819" s="48">
        <v>1000</v>
      </c>
      <c r="C819" s="17">
        <v>-182.18611498715691</v>
      </c>
      <c r="D819" s="63">
        <v>34.303073034413551</v>
      </c>
      <c r="E819" s="63">
        <v>0</v>
      </c>
      <c r="F819" s="63">
        <v>398.84523182301189</v>
      </c>
      <c r="G819" s="54">
        <v>0</v>
      </c>
      <c r="H819" s="6">
        <v>175</v>
      </c>
      <c r="I819" s="56"/>
      <c r="J819" s="57"/>
      <c r="K819" s="58"/>
      <c r="L819" s="92" t="s">
        <v>1</v>
      </c>
      <c r="M819" s="93"/>
      <c r="N819" s="22" t="s">
        <v>35</v>
      </c>
      <c r="O819" s="22" t="s">
        <v>9</v>
      </c>
    </row>
    <row r="820" spans="1:19" x14ac:dyDescent="0.25">
      <c r="A820" s="20" t="s">
        <v>24</v>
      </c>
      <c r="B820" s="13"/>
      <c r="C820" s="17">
        <v>150.01911696051269</v>
      </c>
      <c r="D820" s="18">
        <v>0</v>
      </c>
      <c r="E820" s="18">
        <v>-208.40107698335709</v>
      </c>
      <c r="F820" s="18">
        <v>0</v>
      </c>
      <c r="G820" s="19">
        <v>24.441548965096292</v>
      </c>
      <c r="H820" s="6">
        <v>200</v>
      </c>
      <c r="I820" s="59" t="s">
        <v>70</v>
      </c>
      <c r="J820" s="60"/>
      <c r="K820" s="61"/>
      <c r="L820" s="25">
        <f>MAX(ABS(E823),ABS(E824))*1000/(B821*B818)</f>
        <v>1.6018023217099067</v>
      </c>
      <c r="M820" s="25">
        <f>L820-phiVc</f>
        <v>0.93929288781481102</v>
      </c>
      <c r="N820" s="26">
        <f>M820*O820*B818/(phiV*fys*0.25*PI()*(J818^2))</f>
        <v>3.4791122875761635</v>
      </c>
      <c r="O820" s="15">
        <v>100</v>
      </c>
    </row>
    <row r="821" spans="1:19" x14ac:dyDescent="0.25">
      <c r="A821" s="12" t="s">
        <v>26</v>
      </c>
      <c r="B821" s="49">
        <f>B819-clrCover-J818-(IF(M825&gt;1,1.5*J824,0.5*J824))</f>
        <v>912.5</v>
      </c>
      <c r="C821" s="64">
        <v>142.37518837665502</v>
      </c>
      <c r="D821" s="17">
        <v>-34.828272002890472</v>
      </c>
      <c r="E821" s="18">
        <v>-303.65045797917634</v>
      </c>
      <c r="F821" s="18">
        <v>70.821431280658373</v>
      </c>
      <c r="G821" s="19">
        <v>24.405559826861818</v>
      </c>
      <c r="H821" s="6">
        <v>250</v>
      </c>
      <c r="I821" s="59" t="s">
        <v>71</v>
      </c>
      <c r="J821" s="60"/>
      <c r="K821" s="61"/>
      <c r="L821" s="25">
        <f>MAX(ABS(E823),ABS(E824))*1000/(B826*B818)</f>
        <v>1.5590875931309758</v>
      </c>
      <c r="M821" s="25">
        <f>L821-phiVc</f>
        <v>0.89657815923588013</v>
      </c>
      <c r="N821" s="26">
        <f>M821*O821*B818/(phiV*fys*0.25*PI()*(J818^2))</f>
        <v>3.3208982321017668</v>
      </c>
      <c r="O821" s="15">
        <v>100</v>
      </c>
    </row>
    <row r="822" spans="1:19" x14ac:dyDescent="0.25">
      <c r="A822" s="12" t="s">
        <v>27</v>
      </c>
      <c r="B822" s="50">
        <f>K825*R824</f>
        <v>7840</v>
      </c>
      <c r="C822" s="64">
        <v>-174.54218640329924</v>
      </c>
      <c r="D822" s="17">
        <v>34.317500525431058</v>
      </c>
      <c r="E822" s="18">
        <v>-116.80729580977669</v>
      </c>
      <c r="F822" s="18">
        <v>308.924928920848</v>
      </c>
      <c r="G822" s="19">
        <v>-24.187084995996432</v>
      </c>
      <c r="H822" s="6">
        <v>300</v>
      </c>
    </row>
    <row r="823" spans="1:19" x14ac:dyDescent="0.25">
      <c r="A823" s="12" t="s">
        <v>28</v>
      </c>
      <c r="B823" s="51">
        <f>-phi*B818*(B821^2)*J825*fy*(1-(0.588*J825*fy/fc))/1000000</f>
        <v>-2321.4384393983996</v>
      </c>
      <c r="C823" s="64">
        <v>-1.0013696765062923E-2</v>
      </c>
      <c r="D823" s="18">
        <v>1.1447189064745087E-5</v>
      </c>
      <c r="E823" s="17">
        <v>-760.80096345324023</v>
      </c>
      <c r="F823" s="18">
        <v>-1402.1351069244952</v>
      </c>
      <c r="G823" s="19">
        <v>-6.2940156848783697E-6</v>
      </c>
      <c r="I823" s="90" t="s">
        <v>68</v>
      </c>
      <c r="J823" s="91"/>
      <c r="K823" s="94" t="s">
        <v>35</v>
      </c>
      <c r="L823" s="75" t="s">
        <v>36</v>
      </c>
      <c r="M823" s="96" t="s">
        <v>37</v>
      </c>
      <c r="N823" s="98" t="s">
        <v>38</v>
      </c>
      <c r="O823" s="96" t="s">
        <v>72</v>
      </c>
      <c r="Q823" s="34" t="s">
        <v>73</v>
      </c>
    </row>
    <row r="824" spans="1:19" x14ac:dyDescent="0.25">
      <c r="A824" s="23" t="s">
        <v>33</v>
      </c>
      <c r="B824" s="13"/>
      <c r="C824" s="64">
        <v>-41.932939674972658</v>
      </c>
      <c r="D824" s="18">
        <v>-1.5687010663054235</v>
      </c>
      <c r="E824" s="17">
        <v>876.98677113617384</v>
      </c>
      <c r="F824" s="18">
        <v>-1654.9662253704628</v>
      </c>
      <c r="G824" s="19">
        <v>-1.0470601471580174</v>
      </c>
      <c r="I824" s="14" t="s">
        <v>23</v>
      </c>
      <c r="J824" s="41">
        <v>25</v>
      </c>
      <c r="K824" s="95"/>
      <c r="L824" s="40" t="s">
        <v>9</v>
      </c>
      <c r="M824" s="97"/>
      <c r="N824" s="99"/>
      <c r="O824" s="97"/>
      <c r="Q824" s="14" t="s">
        <v>75</v>
      </c>
      <c r="R824" s="21">
        <f>IF(J824=16,201,IF(J824=20,314,IF(J824=25,490,"Err")))</f>
        <v>490</v>
      </c>
      <c r="S824" s="16" t="s">
        <v>25</v>
      </c>
    </row>
    <row r="825" spans="1:19" x14ac:dyDescent="0.25">
      <c r="A825" s="20" t="s">
        <v>39</v>
      </c>
      <c r="B825" s="13"/>
      <c r="C825" s="64">
        <v>45.290096917838689</v>
      </c>
      <c r="D825" s="18">
        <v>9.5521377069288524E-2</v>
      </c>
      <c r="E825" s="18">
        <v>820.52981377765639</v>
      </c>
      <c r="F825" s="17">
        <v>-2310.9658229722122</v>
      </c>
      <c r="G825" s="19">
        <v>-1.4361679772979927</v>
      </c>
      <c r="I825" s="14" t="s">
        <v>40</v>
      </c>
      <c r="J825" s="24">
        <f>MAX(rhoMin,(K825*R824/(B818*B821)))</f>
        <v>1.4319634703196348E-2</v>
      </c>
      <c r="K825" s="15">
        <v>16</v>
      </c>
      <c r="L825" s="39">
        <f>IF(M825&lt;2,(B818-(2*(J818+clrCover))-(K825*J824))/(K825-1),(B818-(2*(J818+clrCover))-(N825*J824))/((N825)-1))</f>
        <v>42.857142857142854</v>
      </c>
      <c r="M825" s="15">
        <v>2</v>
      </c>
      <c r="N825" s="22">
        <f>IF(M825&lt;2,K825,CEILING(K825/2,1))</f>
        <v>8</v>
      </c>
      <c r="O825" s="22">
        <f>K825-N825</f>
        <v>8</v>
      </c>
      <c r="Q825" s="37" t="s">
        <v>74</v>
      </c>
      <c r="R825" s="38">
        <f>rhoMin*B818*B821</f>
        <v>1806.75</v>
      </c>
      <c r="S825" s="22">
        <f>ROUNDUP(R825/R824,0)</f>
        <v>4</v>
      </c>
    </row>
    <row r="826" spans="1:19" x14ac:dyDescent="0.25">
      <c r="A826" s="12" t="s">
        <v>26</v>
      </c>
      <c r="B826" s="49">
        <f>B819-clrCover-J818-(IF(M828&gt;1,1.5*J827,0.5*J827))</f>
        <v>937.5</v>
      </c>
      <c r="C826" s="64">
        <v>-34.397965553707706</v>
      </c>
      <c r="D826" s="18">
        <v>6.3535324661227147E-2</v>
      </c>
      <c r="E826" s="18">
        <v>27.966701276616071</v>
      </c>
      <c r="F826" s="17">
        <v>1012.4316967567333</v>
      </c>
      <c r="G826" s="19">
        <v>-0.18762824628028918</v>
      </c>
      <c r="I826" s="90" t="s">
        <v>69</v>
      </c>
      <c r="J826" s="91"/>
      <c r="K826" s="96" t="s">
        <v>35</v>
      </c>
      <c r="L826" s="75" t="s">
        <v>36</v>
      </c>
      <c r="M826" s="96" t="s">
        <v>37</v>
      </c>
      <c r="N826" s="98" t="s">
        <v>38</v>
      </c>
      <c r="O826" s="96" t="s">
        <v>72</v>
      </c>
      <c r="R826" s="36"/>
    </row>
    <row r="827" spans="1:19" x14ac:dyDescent="0.25">
      <c r="A827" s="12" t="s">
        <v>27</v>
      </c>
      <c r="B827" s="50">
        <f>K828*R827</f>
        <v>3920</v>
      </c>
      <c r="C827" s="64">
        <v>-182.18611498715691</v>
      </c>
      <c r="D827" s="18">
        <v>34.303073034413551</v>
      </c>
      <c r="E827" s="18">
        <v>-212.05667680559594</v>
      </c>
      <c r="F827" s="18">
        <v>398.84523182301189</v>
      </c>
      <c r="G827" s="17">
        <v>-24.223074134230906</v>
      </c>
      <c r="I827" s="14" t="s">
        <v>23</v>
      </c>
      <c r="J827" s="41">
        <v>25</v>
      </c>
      <c r="K827" s="97"/>
      <c r="L827" s="40" t="s">
        <v>9</v>
      </c>
      <c r="M827" s="97"/>
      <c r="N827" s="99"/>
      <c r="O827" s="97"/>
      <c r="Q827" s="14" t="s">
        <v>75</v>
      </c>
      <c r="R827" s="21">
        <f>IF(J827=16,201,IF(J827=20,314,IF(J827=25,490,"Err")))</f>
        <v>490</v>
      </c>
      <c r="S827" s="16" t="s">
        <v>25</v>
      </c>
    </row>
    <row r="828" spans="1:19" x14ac:dyDescent="0.25">
      <c r="A828" s="27" t="s">
        <v>28</v>
      </c>
      <c r="B828" s="52">
        <f>phi*B818*(B826^2)*J828*fy*(1-(0.588*J828*fy/fc))/1000000</f>
        <v>1283.2695098496001</v>
      </c>
      <c r="C828" s="53">
        <v>150.01911696051269</v>
      </c>
      <c r="D828" s="28">
        <v>-34.813844511872965</v>
      </c>
      <c r="E828" s="28">
        <v>-208.40107698335709</v>
      </c>
      <c r="F828" s="28">
        <v>-19.098871621505474</v>
      </c>
      <c r="G828" s="17">
        <v>24.441548965096292</v>
      </c>
      <c r="I828" s="14" t="s">
        <v>40</v>
      </c>
      <c r="J828" s="24">
        <f>MAX(rhoMin,(K828*R827/(B818*B826)))</f>
        <v>6.968888888888889E-3</v>
      </c>
      <c r="K828" s="15">
        <v>8</v>
      </c>
      <c r="L828" s="21">
        <f>IF(M828&lt;2,(B818-(2*(J818+clrCover))-(K828*J827))/(K828-1),(B818-(2*(J818+clrCover))-(N828*J827))/((N828)-1))</f>
        <v>42.857142857142854</v>
      </c>
      <c r="M828" s="15">
        <v>1</v>
      </c>
      <c r="N828" s="22">
        <f>IF(M828&lt;2,K828,CEILING(K828/2,1))</f>
        <v>8</v>
      </c>
      <c r="O828" s="22">
        <f>K828-N828</f>
        <v>0</v>
      </c>
      <c r="Q828" s="37" t="s">
        <v>74</v>
      </c>
      <c r="R828" s="38">
        <f>rhoMin*B818*B826</f>
        <v>1856.25</v>
      </c>
      <c r="S828" s="22">
        <f>ROUNDUP(R828/R827,0)</f>
        <v>4</v>
      </c>
    </row>
    <row r="829" spans="1:19" x14ac:dyDescent="0.25">
      <c r="A829" s="65" t="s">
        <v>76</v>
      </c>
    </row>
    <row r="830" spans="1:19" x14ac:dyDescent="0.25">
      <c r="A830" s="69" t="s">
        <v>152</v>
      </c>
      <c r="B830" s="11" t="s">
        <v>11</v>
      </c>
      <c r="C830" s="10" t="s">
        <v>12</v>
      </c>
      <c r="D830" s="10" t="s">
        <v>13</v>
      </c>
      <c r="E830" s="10" t="s">
        <v>14</v>
      </c>
      <c r="F830" s="10" t="s">
        <v>15</v>
      </c>
      <c r="G830" s="11" t="s">
        <v>16</v>
      </c>
      <c r="H830" s="6">
        <v>125</v>
      </c>
      <c r="I830" s="90" t="s">
        <v>34</v>
      </c>
      <c r="J830" s="91"/>
      <c r="K830" s="71"/>
    </row>
    <row r="831" spans="1:19" x14ac:dyDescent="0.25">
      <c r="A831" s="12" t="s">
        <v>17</v>
      </c>
      <c r="B831" s="48">
        <v>250</v>
      </c>
      <c r="C831" s="44" t="s">
        <v>18</v>
      </c>
      <c r="D831" s="44" t="s">
        <v>18</v>
      </c>
      <c r="E831" s="44" t="s">
        <v>18</v>
      </c>
      <c r="F831" s="44" t="s">
        <v>19</v>
      </c>
      <c r="G831" s="45" t="s">
        <v>19</v>
      </c>
      <c r="H831" s="6">
        <v>150</v>
      </c>
      <c r="I831" s="14" t="s">
        <v>20</v>
      </c>
      <c r="J831" s="15">
        <v>10</v>
      </c>
      <c r="K831" s="16" t="s">
        <v>9</v>
      </c>
      <c r="L831" s="22" t="s">
        <v>29</v>
      </c>
      <c r="M831" s="22" t="s">
        <v>30</v>
      </c>
      <c r="N831" s="22" t="s">
        <v>31</v>
      </c>
      <c r="O831" s="22" t="s">
        <v>32</v>
      </c>
      <c r="P831" s="3"/>
    </row>
    <row r="832" spans="1:19" x14ac:dyDescent="0.25">
      <c r="A832" s="12" t="s">
        <v>22</v>
      </c>
      <c r="B832" s="48">
        <v>500</v>
      </c>
      <c r="C832" s="17">
        <v>-206.71855770178828</v>
      </c>
      <c r="D832" s="63">
        <v>-4.1813552209978662</v>
      </c>
      <c r="E832" s="63">
        <v>0</v>
      </c>
      <c r="F832" s="63">
        <v>10.095301007988027</v>
      </c>
      <c r="G832" s="54">
        <v>0</v>
      </c>
      <c r="H832" s="6">
        <v>175</v>
      </c>
      <c r="I832" s="56"/>
      <c r="J832" s="57"/>
      <c r="K832" s="58"/>
      <c r="L832" s="92" t="s">
        <v>1</v>
      </c>
      <c r="M832" s="93"/>
      <c r="N832" s="22" t="s">
        <v>35</v>
      </c>
      <c r="O832" s="22" t="s">
        <v>9</v>
      </c>
    </row>
    <row r="833" spans="1:19" x14ac:dyDescent="0.25">
      <c r="A833" s="20" t="s">
        <v>24</v>
      </c>
      <c r="B833" s="13"/>
      <c r="C833" s="17">
        <v>216.40915687747273</v>
      </c>
      <c r="D833" s="18">
        <v>0</v>
      </c>
      <c r="E833" s="18">
        <v>94.090629077859475</v>
      </c>
      <c r="F833" s="18">
        <v>0</v>
      </c>
      <c r="G833" s="19">
        <v>-1.9421900000719461</v>
      </c>
      <c r="H833" s="6">
        <v>200</v>
      </c>
      <c r="I833" s="59" t="s">
        <v>70</v>
      </c>
      <c r="J833" s="60"/>
      <c r="K833" s="61"/>
      <c r="L833" s="25">
        <f>MAX(ABS(E836),ABS(E837))*1000/(B834*B831)</f>
        <v>1.5677743595022176</v>
      </c>
      <c r="M833" s="25">
        <f>L833-phiVc</f>
        <v>0.90526492560712191</v>
      </c>
      <c r="N833" s="26">
        <f>M833*O833*B831/(phiV*fys*0.25*PI()*(J831^2))</f>
        <v>1.397114062720876</v>
      </c>
      <c r="O833" s="15">
        <v>100</v>
      </c>
    </row>
    <row r="834" spans="1:19" x14ac:dyDescent="0.25">
      <c r="A834" s="12" t="s">
        <v>26</v>
      </c>
      <c r="B834" s="49">
        <f>B832-clrCover-J831-(IF(M838&gt;1,1.5*J837,0.5*J837))</f>
        <v>420</v>
      </c>
      <c r="C834" s="64">
        <v>-123.35058041646946</v>
      </c>
      <c r="D834" s="17">
        <v>-4.4311079128050395</v>
      </c>
      <c r="E834" s="18">
        <v>47.823883977893253</v>
      </c>
      <c r="F834" s="18">
        <v>-11.745335537158461</v>
      </c>
      <c r="G834" s="19">
        <v>1.7766910101408477</v>
      </c>
      <c r="H834" s="6">
        <v>250</v>
      </c>
      <c r="I834" s="59" t="s">
        <v>71</v>
      </c>
      <c r="J834" s="60"/>
      <c r="K834" s="61"/>
      <c r="L834" s="25">
        <f>MAX(ABS(E836),ABS(E837))*1000/(B839*B831)</f>
        <v>1.4965118886157531</v>
      </c>
      <c r="M834" s="25">
        <f>L834-phiVc</f>
        <v>0.83400245472065748</v>
      </c>
      <c r="N834" s="26">
        <f>M834*O834*B831/(phiV*fys*0.25*PI()*(J831^2))</f>
        <v>1.287133219098834</v>
      </c>
      <c r="O834" s="15">
        <v>100</v>
      </c>
    </row>
    <row r="835" spans="1:19" x14ac:dyDescent="0.25">
      <c r="A835" s="12" t="s">
        <v>27</v>
      </c>
      <c r="B835" s="50">
        <f>K838*R837</f>
        <v>1256</v>
      </c>
      <c r="C835" s="64">
        <v>133.04117959215392</v>
      </c>
      <c r="D835" s="17">
        <v>4.5628901900850787</v>
      </c>
      <c r="E835" s="18">
        <v>51.787610562746337</v>
      </c>
      <c r="F835" s="18">
        <v>-12.304302267505639</v>
      </c>
      <c r="G835" s="19">
        <v>-1.8326933429941394</v>
      </c>
      <c r="H835" s="6">
        <v>300</v>
      </c>
    </row>
    <row r="836" spans="1:19" x14ac:dyDescent="0.25">
      <c r="A836" s="12" t="s">
        <v>28</v>
      </c>
      <c r="B836" s="51">
        <f>-phi*B831*(B834^2)*J838*fy*(1-(0.588*J838*fy/fc))/1000000</f>
        <v>-175.3558965559296</v>
      </c>
      <c r="C836" s="64">
        <v>13.55861074946192</v>
      </c>
      <c r="D836" s="18">
        <v>0.40143709950138645</v>
      </c>
      <c r="E836" s="17">
        <v>-65.798377898334053</v>
      </c>
      <c r="F836" s="18">
        <v>-107.74001590500301</v>
      </c>
      <c r="G836" s="19">
        <v>-0.16046442538426559</v>
      </c>
      <c r="I836" s="90" t="s">
        <v>68</v>
      </c>
      <c r="J836" s="91"/>
      <c r="K836" s="94" t="s">
        <v>35</v>
      </c>
      <c r="L836" s="76" t="s">
        <v>36</v>
      </c>
      <c r="M836" s="96" t="s">
        <v>37</v>
      </c>
      <c r="N836" s="98" t="s">
        <v>38</v>
      </c>
      <c r="O836" s="96" t="s">
        <v>72</v>
      </c>
      <c r="Q836" s="34" t="s">
        <v>73</v>
      </c>
    </row>
    <row r="837" spans="1:19" x14ac:dyDescent="0.25">
      <c r="A837" s="23" t="s">
        <v>33</v>
      </c>
      <c r="B837" s="13"/>
      <c r="C837" s="64">
        <v>8.8764744176426351</v>
      </c>
      <c r="D837" s="18">
        <v>0.11555806393794567</v>
      </c>
      <c r="E837" s="17">
        <v>164.61630774773286</v>
      </c>
      <c r="F837" s="18">
        <v>-173.75823395650136</v>
      </c>
      <c r="G837" s="19">
        <v>8.1454654864693596E-2</v>
      </c>
      <c r="I837" s="14" t="s">
        <v>23</v>
      </c>
      <c r="J837" s="41">
        <v>20</v>
      </c>
      <c r="K837" s="95"/>
      <c r="L837" s="40" t="s">
        <v>9</v>
      </c>
      <c r="M837" s="97"/>
      <c r="N837" s="99"/>
      <c r="O837" s="97"/>
      <c r="Q837" s="14" t="s">
        <v>75</v>
      </c>
      <c r="R837" s="21">
        <f>IF(J837=16,201,IF(J837=20,314,IF(J837=25,490,"Err")))</f>
        <v>314</v>
      </c>
      <c r="S837" s="16" t="s">
        <v>25</v>
      </c>
    </row>
    <row r="838" spans="1:19" x14ac:dyDescent="0.25">
      <c r="A838" s="20" t="s">
        <v>39</v>
      </c>
      <c r="B838" s="13"/>
      <c r="C838" s="64">
        <v>8.8764744176426351</v>
      </c>
      <c r="D838" s="18">
        <v>0.11555806393794567</v>
      </c>
      <c r="E838" s="18">
        <v>164.61630774773286</v>
      </c>
      <c r="F838" s="17">
        <v>-173.75823395650136</v>
      </c>
      <c r="G838" s="19">
        <v>8.1454654864693596E-2</v>
      </c>
      <c r="I838" s="14" t="s">
        <v>40</v>
      </c>
      <c r="J838" s="24">
        <f>MAX(rhoMin,(K838*R837/(B831*B834)))</f>
        <v>1.1961904761904762E-2</v>
      </c>
      <c r="K838" s="15">
        <v>4</v>
      </c>
      <c r="L838" s="39">
        <f>IF(M838&lt;2,(B831-(2*(J831+clrCover))-(K838*J837))/(K838-1),(B831-(2*(J831+clrCover))-(N838*J837))/((N838)-1))</f>
        <v>110</v>
      </c>
      <c r="M838" s="15">
        <v>2</v>
      </c>
      <c r="N838" s="22">
        <f>IF(M838&lt;2,K838,CEILING(K838/2,1))</f>
        <v>2</v>
      </c>
      <c r="O838" s="22">
        <f>K838-N838</f>
        <v>2</v>
      </c>
      <c r="Q838" s="37" t="s">
        <v>74</v>
      </c>
      <c r="R838" s="38">
        <f>rhoMin*B831*B834</f>
        <v>346.5</v>
      </c>
      <c r="S838" s="22">
        <f>ROUNDUP(R838/R837,0)</f>
        <v>2</v>
      </c>
    </row>
    <row r="839" spans="1:19" x14ac:dyDescent="0.25">
      <c r="A839" s="12" t="s">
        <v>26</v>
      </c>
      <c r="B839" s="49">
        <f>B832-clrCover-J831-(IF(M841&gt;1,1.5*J840,0.5*J840))</f>
        <v>440</v>
      </c>
      <c r="C839" s="64">
        <v>6.7549327737505287</v>
      </c>
      <c r="D839" s="18">
        <v>-2.1077987513032699E-2</v>
      </c>
      <c r="E839" s="18">
        <v>-0.50655948275910445</v>
      </c>
      <c r="F839" s="17">
        <v>46.219579670010425</v>
      </c>
      <c r="G839" s="19">
        <v>4.4789705050331799E-3</v>
      </c>
      <c r="I839" s="90" t="s">
        <v>69</v>
      </c>
      <c r="J839" s="91"/>
      <c r="K839" s="96" t="s">
        <v>35</v>
      </c>
      <c r="L839" s="76" t="s">
        <v>36</v>
      </c>
      <c r="M839" s="96" t="s">
        <v>37</v>
      </c>
      <c r="N839" s="98" t="s">
        <v>38</v>
      </c>
      <c r="O839" s="96" t="s">
        <v>72</v>
      </c>
      <c r="R839" s="36"/>
    </row>
    <row r="840" spans="1:19" x14ac:dyDescent="0.25">
      <c r="A840" s="12" t="s">
        <v>27</v>
      </c>
      <c r="B840" s="50">
        <f>K841*R840</f>
        <v>942</v>
      </c>
      <c r="C840" s="64">
        <v>-123.35058041646946</v>
      </c>
      <c r="D840" s="18">
        <v>-4.4311079128050395</v>
      </c>
      <c r="E840" s="18">
        <v>71.322051008689158</v>
      </c>
      <c r="F840" s="18">
        <v>-79.655641606967407</v>
      </c>
      <c r="G840" s="17">
        <v>-3.2745391101366481</v>
      </c>
      <c r="I840" s="14" t="s">
        <v>23</v>
      </c>
      <c r="J840" s="41">
        <v>20</v>
      </c>
      <c r="K840" s="97"/>
      <c r="L840" s="40" t="s">
        <v>9</v>
      </c>
      <c r="M840" s="97"/>
      <c r="N840" s="99"/>
      <c r="O840" s="97"/>
      <c r="Q840" s="14" t="s">
        <v>75</v>
      </c>
      <c r="R840" s="21">
        <f>IF(J840=16,201,IF(J840=20,314,IF(J840=25,490,"Err")))</f>
        <v>314</v>
      </c>
      <c r="S840" s="16" t="s">
        <v>25</v>
      </c>
    </row>
    <row r="841" spans="1:19" x14ac:dyDescent="0.25">
      <c r="A841" s="27" t="s">
        <v>28</v>
      </c>
      <c r="B841" s="52">
        <f>phi*B831*(B839^2)*J841*fy*(1-(0.588*J841*fy/fc))/1000000</f>
        <v>142.51134181271041</v>
      </c>
      <c r="C841" s="53">
        <v>133.04117959215392</v>
      </c>
      <c r="D841" s="28">
        <v>4.5628901900850787</v>
      </c>
      <c r="E841" s="28">
        <v>94.957396491853544</v>
      </c>
      <c r="F841" s="28">
        <v>-95.94564065439539</v>
      </c>
      <c r="G841" s="17">
        <v>3.3687616468677919</v>
      </c>
      <c r="I841" s="14" t="s">
        <v>40</v>
      </c>
      <c r="J841" s="24">
        <f>MAX(rhoMin,(K841*R840/(B831*B839)))</f>
        <v>8.5636363636363635E-3</v>
      </c>
      <c r="K841" s="15">
        <v>3</v>
      </c>
      <c r="L841" s="21">
        <f>IF(M841&lt;2,(B831-(2*(J831+clrCover))-(K841*J840))/(K841-1),(B831-(2*(J831+clrCover))-(N841*J840))/((N841)-1))</f>
        <v>45</v>
      </c>
      <c r="M841" s="15">
        <v>1</v>
      </c>
      <c r="N841" s="22">
        <f>IF(M841&lt;2,K841,CEILING(K841/2,1))</f>
        <v>3</v>
      </c>
      <c r="O841" s="22">
        <f>K841-N841</f>
        <v>0</v>
      </c>
      <c r="Q841" s="37" t="s">
        <v>74</v>
      </c>
      <c r="R841" s="38">
        <f>rhoMin*B831*B839</f>
        <v>363</v>
      </c>
      <c r="S841" s="22">
        <f>ROUNDUP(R841/R840,0)</f>
        <v>2</v>
      </c>
    </row>
    <row r="842" spans="1:19" x14ac:dyDescent="0.25">
      <c r="A842" s="65" t="s">
        <v>76</v>
      </c>
    </row>
    <row r="843" spans="1:19" x14ac:dyDescent="0.25">
      <c r="A843" s="69" t="s">
        <v>153</v>
      </c>
      <c r="B843" s="11" t="s">
        <v>11</v>
      </c>
      <c r="C843" s="10" t="s">
        <v>12</v>
      </c>
      <c r="D843" s="10" t="s">
        <v>13</v>
      </c>
      <c r="E843" s="10" t="s">
        <v>14</v>
      </c>
      <c r="F843" s="10" t="s">
        <v>15</v>
      </c>
      <c r="G843" s="11" t="s">
        <v>16</v>
      </c>
      <c r="H843" s="6">
        <v>125</v>
      </c>
      <c r="I843" s="90" t="s">
        <v>34</v>
      </c>
      <c r="J843" s="91"/>
      <c r="K843" s="71"/>
    </row>
    <row r="844" spans="1:19" x14ac:dyDescent="0.25">
      <c r="A844" s="12" t="s">
        <v>17</v>
      </c>
      <c r="B844" s="48">
        <v>300</v>
      </c>
      <c r="C844" s="44" t="s">
        <v>18</v>
      </c>
      <c r="D844" s="44" t="s">
        <v>18</v>
      </c>
      <c r="E844" s="44" t="s">
        <v>18</v>
      </c>
      <c r="F844" s="44" t="s">
        <v>19</v>
      </c>
      <c r="G844" s="45" t="s">
        <v>19</v>
      </c>
      <c r="H844" s="6">
        <v>150</v>
      </c>
      <c r="I844" s="14" t="s">
        <v>20</v>
      </c>
      <c r="J844" s="15">
        <v>10</v>
      </c>
      <c r="K844" s="16" t="s">
        <v>9</v>
      </c>
      <c r="L844" s="22" t="s">
        <v>29</v>
      </c>
      <c r="M844" s="22" t="s">
        <v>30</v>
      </c>
      <c r="N844" s="22" t="s">
        <v>31</v>
      </c>
      <c r="O844" s="22" t="s">
        <v>32</v>
      </c>
      <c r="P844" s="3"/>
    </row>
    <row r="845" spans="1:19" x14ac:dyDescent="0.25">
      <c r="A845" s="12" t="s">
        <v>22</v>
      </c>
      <c r="B845" s="48">
        <v>400</v>
      </c>
      <c r="C845" s="17">
        <v>-547.60207131878235</v>
      </c>
      <c r="D845" s="63">
        <v>-30.215466865619543</v>
      </c>
      <c r="E845" s="63">
        <v>0</v>
      </c>
      <c r="F845" s="63">
        <v>-18.732207531219718</v>
      </c>
      <c r="G845" s="54">
        <v>0</v>
      </c>
      <c r="H845" s="6">
        <v>175</v>
      </c>
      <c r="I845" s="56"/>
      <c r="J845" s="57"/>
      <c r="K845" s="58"/>
      <c r="L845" s="92" t="s">
        <v>1</v>
      </c>
      <c r="M845" s="93"/>
      <c r="N845" s="22" t="s">
        <v>35</v>
      </c>
      <c r="O845" s="22" t="s">
        <v>9</v>
      </c>
    </row>
    <row r="846" spans="1:19" x14ac:dyDescent="0.25">
      <c r="A846" s="20" t="s">
        <v>24</v>
      </c>
      <c r="B846" s="13"/>
      <c r="C846" s="17">
        <v>521.89654694946557</v>
      </c>
      <c r="D846" s="18">
        <v>0</v>
      </c>
      <c r="E846" s="18">
        <v>40.52078119064619</v>
      </c>
      <c r="F846" s="18">
        <v>0</v>
      </c>
      <c r="G846" s="19">
        <v>-14.387612252914149</v>
      </c>
      <c r="H846" s="6">
        <v>200</v>
      </c>
      <c r="I846" s="59" t="s">
        <v>70</v>
      </c>
      <c r="J846" s="60"/>
      <c r="K846" s="61"/>
      <c r="L846" s="25">
        <f>MAX(ABS(E849),ABS(E850))*1000/(B847*B844)</f>
        <v>0.99979085187528438</v>
      </c>
      <c r="M846" s="25">
        <f>L846-phiVc</f>
        <v>0.33728141798018874</v>
      </c>
      <c r="N846" s="26">
        <f>M846*O846*B844/(phiV*fys*0.25*PI()*(J844^2))</f>
        <v>0.62464005683887358</v>
      </c>
      <c r="O846" s="15">
        <v>100</v>
      </c>
    </row>
    <row r="847" spans="1:19" x14ac:dyDescent="0.25">
      <c r="A847" s="12" t="s">
        <v>26</v>
      </c>
      <c r="B847" s="49">
        <f>B845-clrCover-J844-(IF(M851&gt;1,1.5*J850,0.5*J850))</f>
        <v>340</v>
      </c>
      <c r="C847" s="64">
        <v>-547.60207131878235</v>
      </c>
      <c r="D847" s="17">
        <v>-30.215466865619543</v>
      </c>
      <c r="E847" s="18">
        <v>17.488087068817162</v>
      </c>
      <c r="F847" s="18">
        <v>-18.732207531219718</v>
      </c>
      <c r="G847" s="19">
        <v>15.683044618334309</v>
      </c>
      <c r="H847" s="6">
        <v>250</v>
      </c>
      <c r="I847" s="59" t="s">
        <v>71</v>
      </c>
      <c r="J847" s="60"/>
      <c r="K847" s="61"/>
      <c r="L847" s="25">
        <f>MAX(ABS(E849),ABS(E850))*1000/(B852*B844)</f>
        <v>0.99979085187528438</v>
      </c>
      <c r="M847" s="25">
        <f>L847-phiVc</f>
        <v>0.33728141798018874</v>
      </c>
      <c r="N847" s="26">
        <f>M847*O847*B844/(phiV*fys*0.25*PI()*(J844^2))</f>
        <v>0.62464005683887358</v>
      </c>
      <c r="O847" s="15">
        <v>100</v>
      </c>
    </row>
    <row r="848" spans="1:19" x14ac:dyDescent="0.25">
      <c r="A848" s="12" t="s">
        <v>27</v>
      </c>
      <c r="B848" s="50">
        <f>K851*R850</f>
        <v>942</v>
      </c>
      <c r="C848" s="64">
        <v>521.89654694946557</v>
      </c>
      <c r="D848" s="17">
        <v>27.801632531040166</v>
      </c>
      <c r="E848" s="18">
        <v>40.52078119064619</v>
      </c>
      <c r="F848" s="18">
        <v>-4.3704325022199892</v>
      </c>
      <c r="G848" s="19">
        <v>-14.387612252914149</v>
      </c>
      <c r="H848" s="6">
        <v>300</v>
      </c>
    </row>
    <row r="849" spans="1:19" x14ac:dyDescent="0.25">
      <c r="A849" s="12" t="s">
        <v>28</v>
      </c>
      <c r="B849" s="51">
        <f>-phi*B844*(B847^2)*J851*fy*(1-(0.588*J851*fy/fc))/1000000</f>
        <v>-109.399739510592</v>
      </c>
      <c r="C849" s="64">
        <v>2.8856454444030532E-5</v>
      </c>
      <c r="D849" s="18">
        <v>-3.949952278028679E-6</v>
      </c>
      <c r="E849" s="17">
        <v>-63.194187390196639</v>
      </c>
      <c r="F849" s="18">
        <v>-21.237674499667957</v>
      </c>
      <c r="G849" s="19">
        <v>1.7952244511784693E-6</v>
      </c>
      <c r="I849" s="90" t="s">
        <v>68</v>
      </c>
      <c r="J849" s="91"/>
      <c r="K849" s="94" t="s">
        <v>35</v>
      </c>
      <c r="L849" s="77" t="s">
        <v>36</v>
      </c>
      <c r="M849" s="96" t="s">
        <v>37</v>
      </c>
      <c r="N849" s="98" t="s">
        <v>38</v>
      </c>
      <c r="O849" s="96" t="s">
        <v>72</v>
      </c>
      <c r="Q849" s="34" t="s">
        <v>73</v>
      </c>
    </row>
    <row r="850" spans="1:19" x14ac:dyDescent="0.25">
      <c r="A850" s="23" t="s">
        <v>33</v>
      </c>
      <c r="B850" s="13"/>
      <c r="C850" s="64">
        <v>-29.914305142127787</v>
      </c>
      <c r="D850" s="18">
        <v>-2.8937313297958025</v>
      </c>
      <c r="E850" s="17">
        <v>101.978666891279</v>
      </c>
      <c r="F850" s="18">
        <v>-103.04842179744058</v>
      </c>
      <c r="G850" s="19">
        <v>-1.3765347733976481</v>
      </c>
      <c r="I850" s="14" t="s">
        <v>23</v>
      </c>
      <c r="J850" s="41">
        <v>20</v>
      </c>
      <c r="K850" s="95"/>
      <c r="L850" s="40" t="s">
        <v>9</v>
      </c>
      <c r="M850" s="97"/>
      <c r="N850" s="99"/>
      <c r="O850" s="97"/>
      <c r="Q850" s="14" t="s">
        <v>75</v>
      </c>
      <c r="R850" s="21">
        <f>IF(J850=16,201,IF(J850=20,314,IF(J850=25,490,"Err")))</f>
        <v>314</v>
      </c>
      <c r="S850" s="16" t="s">
        <v>25</v>
      </c>
    </row>
    <row r="851" spans="1:19" x14ac:dyDescent="0.25">
      <c r="A851" s="20" t="s">
        <v>39</v>
      </c>
      <c r="B851" s="13"/>
      <c r="C851" s="64">
        <v>-29.914305142127787</v>
      </c>
      <c r="D851" s="18">
        <v>-2.8937313297958025</v>
      </c>
      <c r="E851" s="18">
        <v>101.978666891279</v>
      </c>
      <c r="F851" s="17">
        <v>-103.04842179744058</v>
      </c>
      <c r="G851" s="19">
        <v>-1.3765347733976481</v>
      </c>
      <c r="I851" s="14" t="s">
        <v>40</v>
      </c>
      <c r="J851" s="24">
        <f>MAX(rhoMin,(K851*R850/(B844*B847)))</f>
        <v>9.2352941176470586E-3</v>
      </c>
      <c r="K851" s="15">
        <v>3</v>
      </c>
      <c r="L851" s="39">
        <f>IF(M851&lt;2,(B844-(2*(J844+clrCover))-(K851*J850))/(K851-1),(B844-(2*(J844+clrCover))-(N851*J850))/((N851)-1))</f>
        <v>70</v>
      </c>
      <c r="M851" s="15">
        <v>1</v>
      </c>
      <c r="N851" s="22">
        <f>IF(M851&lt;2,K851,CEILING(K851/2,1))</f>
        <v>3</v>
      </c>
      <c r="O851" s="22">
        <f>K851-N851</f>
        <v>0</v>
      </c>
      <c r="Q851" s="37" t="s">
        <v>74</v>
      </c>
      <c r="R851" s="38">
        <f>rhoMin*B844*B847</f>
        <v>336.6</v>
      </c>
      <c r="S851" s="22">
        <f>ROUNDUP(R851/R850,0)</f>
        <v>2</v>
      </c>
    </row>
    <row r="852" spans="1:19" x14ac:dyDescent="0.25">
      <c r="A852" s="12" t="s">
        <v>26</v>
      </c>
      <c r="B852" s="49">
        <f>B845-clrCover-J844-(IF(M854&gt;1,1.5*J853,0.5*J853))</f>
        <v>340</v>
      </c>
      <c r="C852" s="64">
        <v>12.476242028743181</v>
      </c>
      <c r="D852" s="18">
        <v>0.98686108610130341</v>
      </c>
      <c r="E852" s="18">
        <v>-2.5361249591941788</v>
      </c>
      <c r="F852" s="17">
        <v>34.942164607600134</v>
      </c>
      <c r="G852" s="19">
        <v>-9.3916473315419663E-2</v>
      </c>
      <c r="I852" s="90" t="s">
        <v>69</v>
      </c>
      <c r="J852" s="91"/>
      <c r="K852" s="96" t="s">
        <v>35</v>
      </c>
      <c r="L852" s="77" t="s">
        <v>36</v>
      </c>
      <c r="M852" s="96" t="s">
        <v>37</v>
      </c>
      <c r="N852" s="98" t="s">
        <v>38</v>
      </c>
      <c r="O852" s="96" t="s">
        <v>72</v>
      </c>
      <c r="R852" s="36"/>
    </row>
    <row r="853" spans="1:19" x14ac:dyDescent="0.25">
      <c r="A853" s="12" t="s">
        <v>27</v>
      </c>
      <c r="B853" s="50">
        <f>K854*R853</f>
        <v>628</v>
      </c>
      <c r="C853" s="64">
        <v>-547.60207131878235</v>
      </c>
      <c r="D853" s="18">
        <v>-30.215466865619543</v>
      </c>
      <c r="E853" s="18">
        <v>46.819769420930299</v>
      </c>
      <c r="F853" s="18">
        <v>-50.886136027296011</v>
      </c>
      <c r="G853" s="17">
        <v>-14.532422483343568</v>
      </c>
      <c r="I853" s="14" t="s">
        <v>23</v>
      </c>
      <c r="J853" s="41">
        <v>20</v>
      </c>
      <c r="K853" s="97"/>
      <c r="L853" s="40" t="s">
        <v>9</v>
      </c>
      <c r="M853" s="97"/>
      <c r="N853" s="99"/>
      <c r="O853" s="97"/>
      <c r="Q853" s="14" t="s">
        <v>75</v>
      </c>
      <c r="R853" s="21">
        <f>IF(J853=16,201,IF(J853=20,314,IF(J853=25,490,"Err")))</f>
        <v>314</v>
      </c>
      <c r="S853" s="16" t="s">
        <v>25</v>
      </c>
    </row>
    <row r="854" spans="1:19" x14ac:dyDescent="0.25">
      <c r="A854" s="27" t="s">
        <v>28</v>
      </c>
      <c r="B854" s="52">
        <f>phi*B844*(B852^2)*J854*fy*(1-(0.588*J854*fy/fc))/1000000</f>
        <v>75.141290449151995</v>
      </c>
      <c r="C854" s="53">
        <v>-547.60207131878235</v>
      </c>
      <c r="D854" s="28">
        <v>-30.215466865619543</v>
      </c>
      <c r="E854" s="28">
        <v>17.488087068817162</v>
      </c>
      <c r="F854" s="28">
        <v>-18.732207531219718</v>
      </c>
      <c r="G854" s="17">
        <v>15.683044618334309</v>
      </c>
      <c r="I854" s="14" t="s">
        <v>40</v>
      </c>
      <c r="J854" s="24">
        <f>MAX(rhoMin,(K854*R853/(B844*B852)))</f>
        <v>6.1568627450980396E-3</v>
      </c>
      <c r="K854" s="15">
        <v>2</v>
      </c>
      <c r="L854" s="21">
        <f>IF(M854&lt;2,(B844-(2*(J844+clrCover))-(K854*J853))/(K854-1),(B844-(2*(J844+clrCover))-(N854*J853))/((N854)-1))</f>
        <v>160</v>
      </c>
      <c r="M854" s="15">
        <v>1</v>
      </c>
      <c r="N854" s="22">
        <f>IF(M854&lt;2,K854,CEILING(K854/2,1))</f>
        <v>2</v>
      </c>
      <c r="O854" s="22">
        <f>K854-N854</f>
        <v>0</v>
      </c>
      <c r="Q854" s="37" t="s">
        <v>74</v>
      </c>
      <c r="R854" s="38">
        <f>rhoMin*B844*B852</f>
        <v>336.6</v>
      </c>
      <c r="S854" s="22">
        <f>ROUNDUP(R854/R853,0)</f>
        <v>2</v>
      </c>
    </row>
    <row r="855" spans="1:19" x14ac:dyDescent="0.25">
      <c r="A855" s="65" t="s">
        <v>76</v>
      </c>
    </row>
    <row r="856" spans="1:19" x14ac:dyDescent="0.25">
      <c r="A856" s="69" t="s">
        <v>154</v>
      </c>
      <c r="B856" s="11" t="s">
        <v>11</v>
      </c>
      <c r="C856" s="10" t="s">
        <v>12</v>
      </c>
      <c r="D856" s="10" t="s">
        <v>13</v>
      </c>
      <c r="E856" s="10" t="s">
        <v>14</v>
      </c>
      <c r="F856" s="10" t="s">
        <v>15</v>
      </c>
      <c r="G856" s="11" t="s">
        <v>16</v>
      </c>
      <c r="H856" s="6">
        <v>125</v>
      </c>
      <c r="I856" s="90" t="s">
        <v>34</v>
      </c>
      <c r="J856" s="91"/>
      <c r="K856" s="71"/>
    </row>
    <row r="857" spans="1:19" x14ac:dyDescent="0.25">
      <c r="A857" s="12" t="s">
        <v>17</v>
      </c>
      <c r="B857" s="48">
        <v>300</v>
      </c>
      <c r="C857" s="44" t="s">
        <v>18</v>
      </c>
      <c r="D857" s="44" t="s">
        <v>18</v>
      </c>
      <c r="E857" s="44" t="s">
        <v>18</v>
      </c>
      <c r="F857" s="44" t="s">
        <v>19</v>
      </c>
      <c r="G857" s="45" t="s">
        <v>19</v>
      </c>
      <c r="H857" s="6">
        <v>150</v>
      </c>
      <c r="I857" s="14" t="s">
        <v>20</v>
      </c>
      <c r="J857" s="15">
        <v>10</v>
      </c>
      <c r="K857" s="16" t="s">
        <v>9</v>
      </c>
      <c r="L857" s="22" t="s">
        <v>29</v>
      </c>
      <c r="M857" s="22" t="s">
        <v>30</v>
      </c>
      <c r="N857" s="22" t="s">
        <v>31</v>
      </c>
      <c r="O857" s="22" t="s">
        <v>32</v>
      </c>
      <c r="P857" s="3"/>
    </row>
    <row r="858" spans="1:19" x14ac:dyDescent="0.25">
      <c r="A858" s="12" t="s">
        <v>22</v>
      </c>
      <c r="B858" s="48">
        <v>500</v>
      </c>
      <c r="C858" s="17">
        <v>-521.71102323074172</v>
      </c>
      <c r="D858" s="63">
        <v>35.693949616985137</v>
      </c>
      <c r="E858" s="63">
        <v>0</v>
      </c>
      <c r="F858" s="63">
        <v>4.9520746672409848</v>
      </c>
      <c r="G858" s="54">
        <v>0</v>
      </c>
      <c r="H858" s="6">
        <v>175</v>
      </c>
      <c r="I858" s="56"/>
      <c r="J858" s="57"/>
      <c r="K858" s="58"/>
      <c r="L858" s="92" t="s">
        <v>1</v>
      </c>
      <c r="M858" s="93"/>
      <c r="N858" s="22" t="s">
        <v>35</v>
      </c>
      <c r="O858" s="22" t="s">
        <v>9</v>
      </c>
    </row>
    <row r="859" spans="1:19" x14ac:dyDescent="0.25">
      <c r="A859" s="20" t="s">
        <v>24</v>
      </c>
      <c r="B859" s="13"/>
      <c r="C859" s="17">
        <v>608.6023644659133</v>
      </c>
      <c r="D859" s="18">
        <v>0</v>
      </c>
      <c r="E859" s="18">
        <v>86.95905368346115</v>
      </c>
      <c r="F859" s="18">
        <v>0</v>
      </c>
      <c r="G859" s="19">
        <v>16.95849862542288</v>
      </c>
      <c r="H859" s="6">
        <v>200</v>
      </c>
      <c r="I859" s="59" t="s">
        <v>70</v>
      </c>
      <c r="J859" s="60"/>
      <c r="K859" s="61"/>
      <c r="L859" s="25">
        <f>MAX(ABS(E862),ABS(E863))*1000/(B860*B857)</f>
        <v>1.5638110374272061</v>
      </c>
      <c r="M859" s="25">
        <f>L859-phiVc</f>
        <v>0.90130160353211042</v>
      </c>
      <c r="N859" s="26">
        <f>M859*O859*B857/(phiV*fys*0.25*PI()*(J857^2))</f>
        <v>1.6691968630549765</v>
      </c>
      <c r="O859" s="15">
        <v>100</v>
      </c>
    </row>
    <row r="860" spans="1:19" x14ac:dyDescent="0.25">
      <c r="A860" s="12" t="s">
        <v>26</v>
      </c>
      <c r="B860" s="49">
        <f>B858-clrCover-J857-(IF(M864&gt;1,1.5*J863,0.5*J863))</f>
        <v>420</v>
      </c>
      <c r="C860" s="64">
        <v>608.6023644659133</v>
      </c>
      <c r="D860" s="17">
        <v>-38.421092251995297</v>
      </c>
      <c r="E860" s="18">
        <v>86.95905368346115</v>
      </c>
      <c r="F860" s="18">
        <v>-20.124770616565268</v>
      </c>
      <c r="G860" s="19">
        <v>16.95849862542288</v>
      </c>
      <c r="H860" s="6">
        <v>250</v>
      </c>
      <c r="I860" s="59" t="s">
        <v>71</v>
      </c>
      <c r="J860" s="60"/>
      <c r="K860" s="61"/>
      <c r="L860" s="25">
        <f>MAX(ABS(E862),ABS(E863))*1000/(B865*B857)</f>
        <v>1.492728717544151</v>
      </c>
      <c r="M860" s="25">
        <f>L860-phiVc</f>
        <v>0.8302192836490554</v>
      </c>
      <c r="N860" s="26">
        <f>M860*O860*B857/(phiV*fys*0.25*PI()*(J857^2))</f>
        <v>1.537553487627165</v>
      </c>
      <c r="O860" s="15">
        <v>100</v>
      </c>
    </row>
    <row r="861" spans="1:19" x14ac:dyDescent="0.25">
      <c r="A861" s="12" t="s">
        <v>27</v>
      </c>
      <c r="B861" s="50">
        <f>K864*R863</f>
        <v>2198</v>
      </c>
      <c r="C861" s="64">
        <v>-521.71102323074172</v>
      </c>
      <c r="D861" s="17">
        <v>35.693949616985137</v>
      </c>
      <c r="E861" s="18">
        <v>-6.4772700267710501</v>
      </c>
      <c r="F861" s="18">
        <v>4.9520746672409848</v>
      </c>
      <c r="G861" s="19">
        <v>-15.82251397077512</v>
      </c>
      <c r="H861" s="6">
        <v>300</v>
      </c>
    </row>
    <row r="862" spans="1:19" x14ac:dyDescent="0.25">
      <c r="A862" s="12" t="s">
        <v>28</v>
      </c>
      <c r="B862" s="51">
        <f>-phi*B857*(B860^2)*J864*fy*(1-(0.588*J864*fy/fc))/1000000</f>
        <v>-289.870212002112</v>
      </c>
      <c r="C862" s="64">
        <v>-3.5426433974062091E-4</v>
      </c>
      <c r="D862" s="18">
        <v>0.25487415922705625</v>
      </c>
      <c r="E862" s="17">
        <v>-197.04019071582795</v>
      </c>
      <c r="F862" s="18">
        <v>-287.3981277350855</v>
      </c>
      <c r="G862" s="19">
        <v>-5.2893860585523575E-2</v>
      </c>
      <c r="I862" s="90" t="s">
        <v>68</v>
      </c>
      <c r="J862" s="91"/>
      <c r="K862" s="94" t="s">
        <v>35</v>
      </c>
      <c r="L862" s="77" t="s">
        <v>36</v>
      </c>
      <c r="M862" s="96" t="s">
        <v>37</v>
      </c>
      <c r="N862" s="98" t="s">
        <v>38</v>
      </c>
      <c r="O862" s="96" t="s">
        <v>72</v>
      </c>
      <c r="Q862" s="34" t="s">
        <v>73</v>
      </c>
    </row>
    <row r="863" spans="1:19" x14ac:dyDescent="0.25">
      <c r="A863" s="23" t="s">
        <v>33</v>
      </c>
      <c r="B863" s="13"/>
      <c r="C863" s="64">
        <v>608.6023644659133</v>
      </c>
      <c r="D863" s="18">
        <v>-38.421092251995297</v>
      </c>
      <c r="E863" s="17">
        <v>90.358558365580436</v>
      </c>
      <c r="F863" s="18">
        <v>-108.78357664108607</v>
      </c>
      <c r="G863" s="19">
        <v>-21.462593626572424</v>
      </c>
      <c r="I863" s="14" t="s">
        <v>23</v>
      </c>
      <c r="J863" s="41">
        <v>20</v>
      </c>
      <c r="K863" s="95"/>
      <c r="L863" s="40" t="s">
        <v>9</v>
      </c>
      <c r="M863" s="97"/>
      <c r="N863" s="99"/>
      <c r="O863" s="97"/>
      <c r="Q863" s="14" t="s">
        <v>75</v>
      </c>
      <c r="R863" s="21">
        <f>IF(J863=16,201,IF(J863=20,314,IF(J863=25,490,"Err")))</f>
        <v>314</v>
      </c>
      <c r="S863" s="16" t="s">
        <v>25</v>
      </c>
    </row>
    <row r="864" spans="1:19" x14ac:dyDescent="0.25">
      <c r="A864" s="20" t="s">
        <v>39</v>
      </c>
      <c r="B864" s="13"/>
      <c r="C864" s="64">
        <v>-3.5426433974062091E-4</v>
      </c>
      <c r="D864" s="18">
        <v>0.25487415922705625</v>
      </c>
      <c r="E864" s="18">
        <v>-197.04019071582795</v>
      </c>
      <c r="F864" s="17">
        <v>-287.3981277350855</v>
      </c>
      <c r="G864" s="19">
        <v>-5.2893860585523575E-2</v>
      </c>
      <c r="I864" s="14" t="s">
        <v>40</v>
      </c>
      <c r="J864" s="24">
        <f>MAX(rhoMin,(K864*R863/(B857*B860)))</f>
        <v>1.7444444444444443E-2</v>
      </c>
      <c r="K864" s="15">
        <v>7</v>
      </c>
      <c r="L864" s="39">
        <f>IF(M864&lt;2,(B857-(2*(J857+clrCover))-(K864*J863))/(K864-1),(B857-(2*(J857+clrCover))-(N864*J863))/((N864)-1))</f>
        <v>40</v>
      </c>
      <c r="M864" s="15">
        <v>2</v>
      </c>
      <c r="N864" s="22">
        <f>IF(M864&lt;2,K864,CEILING(K864/2,1))</f>
        <v>4</v>
      </c>
      <c r="O864" s="22">
        <f>K864-N864</f>
        <v>3</v>
      </c>
      <c r="Q864" s="37" t="s">
        <v>74</v>
      </c>
      <c r="R864" s="38">
        <f>rhoMin*B857*B860</f>
        <v>415.8</v>
      </c>
      <c r="S864" s="22">
        <f>ROUNDUP(R864/R863,0)</f>
        <v>2</v>
      </c>
    </row>
    <row r="865" spans="1:19" x14ac:dyDescent="0.25">
      <c r="A865" s="12" t="s">
        <v>26</v>
      </c>
      <c r="B865" s="49">
        <f>B858-clrCover-J857-(IF(M867&gt;1,1.5*J866,0.5*J866))</f>
        <v>440</v>
      </c>
      <c r="C865" s="64">
        <v>1.4296900700428523E-4</v>
      </c>
      <c r="D865" s="18">
        <v>-0.2548016305033825</v>
      </c>
      <c r="E865" s="18">
        <v>-104.94955832873491</v>
      </c>
      <c r="F865" s="17">
        <v>83.782458945768639</v>
      </c>
      <c r="G865" s="19">
        <v>-5.2844432492014252E-2</v>
      </c>
      <c r="I865" s="90" t="s">
        <v>69</v>
      </c>
      <c r="J865" s="91"/>
      <c r="K865" s="96" t="s">
        <v>35</v>
      </c>
      <c r="L865" s="77" t="s">
        <v>36</v>
      </c>
      <c r="M865" s="96" t="s">
        <v>37</v>
      </c>
      <c r="N865" s="98" t="s">
        <v>38</v>
      </c>
      <c r="O865" s="96" t="s">
        <v>72</v>
      </c>
      <c r="R865" s="36"/>
    </row>
    <row r="866" spans="1:19" x14ac:dyDescent="0.25">
      <c r="A866" s="12" t="s">
        <v>27</v>
      </c>
      <c r="B866" s="50">
        <f>K867*R866</f>
        <v>628</v>
      </c>
      <c r="C866" s="64">
        <v>608.6023644659133</v>
      </c>
      <c r="D866" s="18">
        <v>-38.421092251995297</v>
      </c>
      <c r="E866" s="18">
        <v>90.358558365580436</v>
      </c>
      <c r="F866" s="18">
        <v>-108.78357664108607</v>
      </c>
      <c r="G866" s="17">
        <v>-21.462593626572424</v>
      </c>
      <c r="I866" s="14" t="s">
        <v>23</v>
      </c>
      <c r="J866" s="41">
        <v>20</v>
      </c>
      <c r="K866" s="97"/>
      <c r="L866" s="40" t="s">
        <v>9</v>
      </c>
      <c r="M866" s="97"/>
      <c r="N866" s="99"/>
      <c r="O866" s="97"/>
      <c r="Q866" s="14" t="s">
        <v>75</v>
      </c>
      <c r="R866" s="21">
        <f>IF(J866=16,201,IF(J866=20,314,IF(J866=25,490,"Err")))</f>
        <v>314</v>
      </c>
      <c r="S866" s="16" t="s">
        <v>25</v>
      </c>
    </row>
    <row r="867" spans="1:19" x14ac:dyDescent="0.25">
      <c r="A867" s="27" t="s">
        <v>28</v>
      </c>
      <c r="B867" s="52">
        <f>phi*B857*(B865^2)*J867*fy*(1-(0.588*J867*fy/fc))/1000000</f>
        <v>98.540570449152</v>
      </c>
      <c r="C867" s="53">
        <v>-521.71102323074172</v>
      </c>
      <c r="D867" s="28">
        <v>35.693949616985137</v>
      </c>
      <c r="E867" s="28">
        <v>-3.9276415151815964</v>
      </c>
      <c r="F867" s="28">
        <v>10.154530438217312</v>
      </c>
      <c r="G867" s="17">
        <v>19.871435646210017</v>
      </c>
      <c r="I867" s="14" t="s">
        <v>40</v>
      </c>
      <c r="J867" s="24">
        <f>MAX(rhoMin,(K867*R866/(B857*B865)))</f>
        <v>4.7575757575757573E-3</v>
      </c>
      <c r="K867" s="15">
        <v>2</v>
      </c>
      <c r="L867" s="21">
        <f>IF(M867&lt;2,(B857-(2*(J857+clrCover))-(K867*J866))/(K867-1),(B857-(2*(J857+clrCover))-(N867*J866))/((N867)-1))</f>
        <v>160</v>
      </c>
      <c r="M867" s="15">
        <v>1</v>
      </c>
      <c r="N867" s="22">
        <f>IF(M867&lt;2,K867,CEILING(K867/2,1))</f>
        <v>2</v>
      </c>
      <c r="O867" s="22">
        <f>K867-N867</f>
        <v>0</v>
      </c>
      <c r="Q867" s="37" t="s">
        <v>74</v>
      </c>
      <c r="R867" s="38">
        <f>rhoMin*B857*B865</f>
        <v>435.6</v>
      </c>
      <c r="S867" s="22">
        <f>ROUNDUP(R867/R866,0)</f>
        <v>2</v>
      </c>
    </row>
    <row r="868" spans="1:19" x14ac:dyDescent="0.25">
      <c r="A868" s="65" t="s">
        <v>76</v>
      </c>
    </row>
    <row r="869" spans="1:19" x14ac:dyDescent="0.25">
      <c r="A869" s="69" t="s">
        <v>155</v>
      </c>
      <c r="B869" s="11" t="s">
        <v>11</v>
      </c>
      <c r="C869" s="10" t="s">
        <v>12</v>
      </c>
      <c r="D869" s="10" t="s">
        <v>13</v>
      </c>
      <c r="E869" s="10" t="s">
        <v>14</v>
      </c>
      <c r="F869" s="10" t="s">
        <v>15</v>
      </c>
      <c r="G869" s="11" t="s">
        <v>16</v>
      </c>
      <c r="H869" s="6">
        <v>125</v>
      </c>
      <c r="I869" s="90" t="s">
        <v>34</v>
      </c>
      <c r="J869" s="91"/>
      <c r="K869" s="71"/>
    </row>
    <row r="870" spans="1:19" x14ac:dyDescent="0.25">
      <c r="A870" s="12" t="s">
        <v>17</v>
      </c>
      <c r="B870" s="48">
        <v>300</v>
      </c>
      <c r="C870" s="44" t="s">
        <v>18</v>
      </c>
      <c r="D870" s="44" t="s">
        <v>18</v>
      </c>
      <c r="E870" s="44" t="s">
        <v>18</v>
      </c>
      <c r="F870" s="44" t="s">
        <v>19</v>
      </c>
      <c r="G870" s="45" t="s">
        <v>19</v>
      </c>
      <c r="H870" s="6">
        <v>150</v>
      </c>
      <c r="I870" s="14" t="s">
        <v>20</v>
      </c>
      <c r="J870" s="15">
        <v>10</v>
      </c>
      <c r="K870" s="16" t="s">
        <v>9</v>
      </c>
      <c r="L870" s="22" t="s">
        <v>29</v>
      </c>
      <c r="M870" s="22" t="s">
        <v>30</v>
      </c>
      <c r="N870" s="22" t="s">
        <v>31</v>
      </c>
      <c r="O870" s="22" t="s">
        <v>32</v>
      </c>
      <c r="P870" s="3"/>
    </row>
    <row r="871" spans="1:19" x14ac:dyDescent="0.25">
      <c r="A871" s="12" t="s">
        <v>22</v>
      </c>
      <c r="B871" s="48">
        <v>500</v>
      </c>
      <c r="C871" s="17">
        <v>-2.5535411488790487E-3</v>
      </c>
      <c r="D871" s="63">
        <v>2.3576178015926326</v>
      </c>
      <c r="E871" s="63">
        <v>0</v>
      </c>
      <c r="F871" s="63">
        <v>-90.393055506328437</v>
      </c>
      <c r="G871" s="54">
        <v>0</v>
      </c>
      <c r="H871" s="6">
        <v>175</v>
      </c>
      <c r="I871" s="56"/>
      <c r="J871" s="57"/>
      <c r="K871" s="58"/>
      <c r="L871" s="92" t="s">
        <v>1</v>
      </c>
      <c r="M871" s="93"/>
      <c r="N871" s="22" t="s">
        <v>35</v>
      </c>
      <c r="O871" s="22" t="s">
        <v>9</v>
      </c>
    </row>
    <row r="872" spans="1:19" x14ac:dyDescent="0.25">
      <c r="A872" s="20" t="s">
        <v>24</v>
      </c>
      <c r="B872" s="13"/>
      <c r="C872" s="17">
        <v>2.6605332924255886E-3</v>
      </c>
      <c r="D872" s="18">
        <v>0</v>
      </c>
      <c r="E872" s="18">
        <v>-57.902852954957545</v>
      </c>
      <c r="F872" s="18">
        <v>0</v>
      </c>
      <c r="G872" s="19">
        <v>-2.3856074449213275E-15</v>
      </c>
      <c r="H872" s="6">
        <v>200</v>
      </c>
      <c r="I872" s="59" t="s">
        <v>70</v>
      </c>
      <c r="J872" s="60"/>
      <c r="K872" s="61"/>
      <c r="L872" s="25">
        <f>MAX(ABS(E875),ABS(E876))*1000/(B873*B870)</f>
        <v>0.89791092385454951</v>
      </c>
      <c r="M872" s="25">
        <f>L872-phiVc</f>
        <v>0.23540148995945387</v>
      </c>
      <c r="N872" s="26">
        <f>M872*O872*B870/(phiV*fys*0.25*PI()*(J870^2))</f>
        <v>0.43595997949956944</v>
      </c>
      <c r="O872" s="15">
        <v>100</v>
      </c>
    </row>
    <row r="873" spans="1:19" x14ac:dyDescent="0.25">
      <c r="A873" s="12" t="s">
        <v>26</v>
      </c>
      <c r="B873" s="49">
        <f>B871-clrCover-J870-(IF(M877&gt;1,1.5*J876,0.5*J876))</f>
        <v>440</v>
      </c>
      <c r="C873" s="64">
        <v>-1.4076356317975296E-3</v>
      </c>
      <c r="D873" s="17">
        <v>-3.8568398817962355</v>
      </c>
      <c r="E873" s="18">
        <v>29.393814543080016</v>
      </c>
      <c r="F873" s="18">
        <v>-3.1654678878112464E-15</v>
      </c>
      <c r="G873" s="19">
        <v>-1.9731771772057982E-15</v>
      </c>
      <c r="H873" s="6">
        <v>250</v>
      </c>
      <c r="I873" s="59" t="s">
        <v>71</v>
      </c>
      <c r="J873" s="60"/>
      <c r="K873" s="61"/>
      <c r="L873" s="25">
        <f>MAX(ABS(E875),ABS(E876))*1000/(B878*B870)</f>
        <v>0.89791092385454951</v>
      </c>
      <c r="M873" s="25">
        <f>L873-phiVc</f>
        <v>0.23540148995945387</v>
      </c>
      <c r="N873" s="26">
        <f>M873*O873*B870/(phiV*fys*0.25*PI()*(J870^2))</f>
        <v>0.43595997949956944</v>
      </c>
      <c r="O873" s="15">
        <v>100</v>
      </c>
    </row>
    <row r="874" spans="1:19" x14ac:dyDescent="0.25">
      <c r="A874" s="12" t="s">
        <v>27</v>
      </c>
      <c r="B874" s="50">
        <f>K877*R876</f>
        <v>1256</v>
      </c>
      <c r="C874" s="64">
        <v>1.5291307402647363E-3</v>
      </c>
      <c r="D874" s="17">
        <v>3.8568398817962355</v>
      </c>
      <c r="E874" s="18">
        <v>29.462071461288993</v>
      </c>
      <c r="F874" s="18">
        <v>-2.9736213491560192E-15</v>
      </c>
      <c r="G874" s="19">
        <v>2.5742963316588431E-15</v>
      </c>
      <c r="H874" s="6">
        <v>300</v>
      </c>
    </row>
    <row r="875" spans="1:19" x14ac:dyDescent="0.25">
      <c r="A875" s="12" t="s">
        <v>28</v>
      </c>
      <c r="B875" s="51">
        <f>-phi*B870*(B873^2)*J877*fy*(1-(0.588*J877*fy/fc))/1000000</f>
        <v>-188.24861779660799</v>
      </c>
      <c r="C875" s="64">
        <v>-9.276941875697957E-4</v>
      </c>
      <c r="D875" s="18">
        <v>-9.4454082503698801E-7</v>
      </c>
      <c r="E875" s="17">
        <v>-118.52424194880054</v>
      </c>
      <c r="F875" s="18">
        <v>-143.50732283483677</v>
      </c>
      <c r="G875" s="19">
        <v>4.5489121450239491E-6</v>
      </c>
      <c r="I875" s="90" t="s">
        <v>68</v>
      </c>
      <c r="J875" s="91"/>
      <c r="K875" s="94" t="s">
        <v>35</v>
      </c>
      <c r="L875" s="77" t="s">
        <v>36</v>
      </c>
      <c r="M875" s="96" t="s">
        <v>37</v>
      </c>
      <c r="N875" s="98" t="s">
        <v>38</v>
      </c>
      <c r="O875" s="96" t="s">
        <v>72</v>
      </c>
      <c r="Q875" s="34" t="s">
        <v>73</v>
      </c>
    </row>
    <row r="876" spans="1:19" x14ac:dyDescent="0.25">
      <c r="A876" s="23" t="s">
        <v>33</v>
      </c>
      <c r="B876" s="13"/>
      <c r="C876" s="64">
        <v>3.7184977174902091E-4</v>
      </c>
      <c r="D876" s="18">
        <v>6.0502713949972523E-16</v>
      </c>
      <c r="E876" s="17">
        <v>110.7598236444051</v>
      </c>
      <c r="F876" s="18">
        <v>-1.0179235232499194E-14</v>
      </c>
      <c r="G876" s="19">
        <v>1.4207302001523202E-15</v>
      </c>
      <c r="I876" s="14" t="s">
        <v>23</v>
      </c>
      <c r="J876" s="41">
        <v>20</v>
      </c>
      <c r="K876" s="95"/>
      <c r="L876" s="40" t="s">
        <v>9</v>
      </c>
      <c r="M876" s="97"/>
      <c r="N876" s="99"/>
      <c r="O876" s="97"/>
      <c r="Q876" s="14" t="s">
        <v>75</v>
      </c>
      <c r="R876" s="21">
        <f>IF(J876=16,201,IF(J876=20,314,IF(J876=25,490,"Err")))</f>
        <v>314</v>
      </c>
      <c r="S876" s="16" t="s">
        <v>25</v>
      </c>
    </row>
    <row r="877" spans="1:19" x14ac:dyDescent="0.25">
      <c r="A877" s="20" t="s">
        <v>39</v>
      </c>
      <c r="B877" s="13"/>
      <c r="C877" s="64">
        <v>-3.9178941205645967E-4</v>
      </c>
      <c r="D877" s="18">
        <v>-4.6947922134954424E-8</v>
      </c>
      <c r="E877" s="18">
        <v>-84.557475252029548</v>
      </c>
      <c r="F877" s="17">
        <v>-161.17181341957686</v>
      </c>
      <c r="G877" s="19">
        <v>2.2610136712982114E-7</v>
      </c>
      <c r="I877" s="14" t="s">
        <v>40</v>
      </c>
      <c r="J877" s="24">
        <f>MAX(rhoMin,(K877*R876/(B870*B873)))</f>
        <v>9.5151515151515147E-3</v>
      </c>
      <c r="K877" s="15">
        <v>4</v>
      </c>
      <c r="L877" s="39">
        <f>IF(M877&lt;2,(B870-(2*(J870+clrCover))-(K877*J876))/(K877-1),(B870-(2*(J870+clrCover))-(N877*J876))/((N877)-1))</f>
        <v>40</v>
      </c>
      <c r="M877" s="15">
        <v>1</v>
      </c>
      <c r="N877" s="22">
        <f>IF(M877&lt;2,K877,CEILING(K877/2,1))</f>
        <v>4</v>
      </c>
      <c r="O877" s="22">
        <f>K877-N877</f>
        <v>0</v>
      </c>
      <c r="Q877" s="37" t="s">
        <v>74</v>
      </c>
      <c r="R877" s="38">
        <f>rhoMin*B870*B873</f>
        <v>435.6</v>
      </c>
      <c r="S877" s="22">
        <f>ROUNDUP(R877/R876,0)</f>
        <v>2</v>
      </c>
    </row>
    <row r="878" spans="1:19" x14ac:dyDescent="0.25">
      <c r="A878" s="12" t="s">
        <v>26</v>
      </c>
      <c r="B878" s="49">
        <f>B871-clrCover-J870-(IF(M880&gt;1,1.5*J879,0.5*J879))</f>
        <v>440</v>
      </c>
      <c r="C878" s="64">
        <v>3.7184977174902091E-4</v>
      </c>
      <c r="D878" s="18">
        <v>6.0502713949972523E-16</v>
      </c>
      <c r="E878" s="18">
        <v>-1.1603446478203614</v>
      </c>
      <c r="F878" s="17">
        <v>132.4157560426583</v>
      </c>
      <c r="G878" s="19">
        <v>3.6428104976950806E-17</v>
      </c>
      <c r="I878" s="90" t="s">
        <v>69</v>
      </c>
      <c r="J878" s="91"/>
      <c r="K878" s="96" t="s">
        <v>35</v>
      </c>
      <c r="L878" s="77" t="s">
        <v>36</v>
      </c>
      <c r="M878" s="96" t="s">
        <v>37</v>
      </c>
      <c r="N878" s="98" t="s">
        <v>38</v>
      </c>
      <c r="O878" s="96" t="s">
        <v>72</v>
      </c>
      <c r="R878" s="36"/>
    </row>
    <row r="879" spans="1:19" x14ac:dyDescent="0.25">
      <c r="A879" s="12" t="s">
        <v>27</v>
      </c>
      <c r="B879" s="50">
        <f>K880*R879</f>
        <v>942</v>
      </c>
      <c r="C879" s="64">
        <v>1.5291307402647363E-3</v>
      </c>
      <c r="D879" s="18">
        <v>1.014610617744438E-15</v>
      </c>
      <c r="E879" s="18">
        <v>-0.11589496930476771</v>
      </c>
      <c r="F879" s="18">
        <v>36.889650728011759</v>
      </c>
      <c r="G879" s="17">
        <v>-4.4122248247748876</v>
      </c>
      <c r="I879" s="14" t="s">
        <v>23</v>
      </c>
      <c r="J879" s="41">
        <v>20</v>
      </c>
      <c r="K879" s="97"/>
      <c r="L879" s="40" t="s">
        <v>9</v>
      </c>
      <c r="M879" s="97"/>
      <c r="N879" s="99"/>
      <c r="O879" s="97"/>
      <c r="Q879" s="14" t="s">
        <v>75</v>
      </c>
      <c r="R879" s="21">
        <f>IF(J879=16,201,IF(J879=20,314,IF(J879=25,490,"Err")))</f>
        <v>314</v>
      </c>
      <c r="S879" s="16" t="s">
        <v>25</v>
      </c>
    </row>
    <row r="880" spans="1:19" x14ac:dyDescent="0.25">
      <c r="A880" s="27" t="s">
        <v>28</v>
      </c>
      <c r="B880" s="52">
        <f>phi*B870*(B878^2)*J880*fy*(1-(0.588*J880*fy/fc))/1000000</f>
        <v>144.49865951059198</v>
      </c>
      <c r="C880" s="53">
        <v>-1.4076356317975296E-3</v>
      </c>
      <c r="D880" s="28">
        <v>-8.0437878580141838E-16</v>
      </c>
      <c r="E880" s="28">
        <v>-0.11401551763608186</v>
      </c>
      <c r="F880" s="28">
        <v>36.805771113103056</v>
      </c>
      <c r="G880" s="17">
        <v>4.4122248247748876</v>
      </c>
      <c r="I880" s="14" t="s">
        <v>40</v>
      </c>
      <c r="J880" s="24">
        <f>MAX(rhoMin,(K880*R879/(B870*B878)))</f>
        <v>7.136363636363636E-3</v>
      </c>
      <c r="K880" s="15">
        <v>3</v>
      </c>
      <c r="L880" s="21">
        <f>IF(M880&lt;2,(B870-(2*(J870+clrCover))-(K880*J879))/(K880-1),(B870-(2*(J870+clrCover))-(N880*J879))/((N880)-1))</f>
        <v>70</v>
      </c>
      <c r="M880" s="15">
        <v>1</v>
      </c>
      <c r="N880" s="22">
        <f>IF(M880&lt;2,K880,CEILING(K880/2,1))</f>
        <v>3</v>
      </c>
      <c r="O880" s="22">
        <f>K880-N880</f>
        <v>0</v>
      </c>
      <c r="Q880" s="37" t="s">
        <v>74</v>
      </c>
      <c r="R880" s="38">
        <f>rhoMin*B870*B878</f>
        <v>435.6</v>
      </c>
      <c r="S880" s="22">
        <f>ROUNDUP(R880/R879,0)</f>
        <v>2</v>
      </c>
    </row>
    <row r="881" spans="1:19" x14ac:dyDescent="0.25">
      <c r="A881" s="65" t="s">
        <v>76</v>
      </c>
    </row>
    <row r="882" spans="1:19" x14ac:dyDescent="0.25">
      <c r="A882" s="69" t="s">
        <v>156</v>
      </c>
      <c r="B882" s="11" t="s">
        <v>11</v>
      </c>
      <c r="C882" s="10" t="s">
        <v>12</v>
      </c>
      <c r="D882" s="10" t="s">
        <v>13</v>
      </c>
      <c r="E882" s="10" t="s">
        <v>14</v>
      </c>
      <c r="F882" s="10" t="s">
        <v>15</v>
      </c>
      <c r="G882" s="11" t="s">
        <v>16</v>
      </c>
      <c r="H882" s="6">
        <v>125</v>
      </c>
      <c r="I882" s="90" t="s">
        <v>34</v>
      </c>
      <c r="J882" s="91"/>
      <c r="K882" s="71"/>
    </row>
    <row r="883" spans="1:19" x14ac:dyDescent="0.25">
      <c r="A883" s="12" t="s">
        <v>17</v>
      </c>
      <c r="B883" s="48">
        <v>350</v>
      </c>
      <c r="C883" s="44" t="s">
        <v>18</v>
      </c>
      <c r="D883" s="44" t="s">
        <v>18</v>
      </c>
      <c r="E883" s="44" t="s">
        <v>18</v>
      </c>
      <c r="F883" s="44" t="s">
        <v>19</v>
      </c>
      <c r="G883" s="45" t="s">
        <v>19</v>
      </c>
      <c r="H883" s="6">
        <v>150</v>
      </c>
      <c r="I883" s="14" t="s">
        <v>20</v>
      </c>
      <c r="J883" s="15">
        <v>10</v>
      </c>
      <c r="K883" s="16" t="s">
        <v>9</v>
      </c>
      <c r="L883" s="22" t="s">
        <v>29</v>
      </c>
      <c r="M883" s="22" t="s">
        <v>30</v>
      </c>
      <c r="N883" s="22" t="s">
        <v>31</v>
      </c>
      <c r="O883" s="22" t="s">
        <v>32</v>
      </c>
      <c r="P883" s="3"/>
    </row>
    <row r="884" spans="1:19" x14ac:dyDescent="0.25">
      <c r="A884" s="12" t="s">
        <v>22</v>
      </c>
      <c r="B884" s="48">
        <v>700</v>
      </c>
      <c r="C884" s="17">
        <v>-2.1482766744789837E-3</v>
      </c>
      <c r="D884" s="63">
        <v>-4.3933831886945428E-4</v>
      </c>
      <c r="E884" s="63">
        <v>0</v>
      </c>
      <c r="F884" s="63">
        <v>-5.0402926776566455</v>
      </c>
      <c r="G884" s="54">
        <v>0</v>
      </c>
      <c r="H884" s="6">
        <v>175</v>
      </c>
      <c r="I884" s="56"/>
      <c r="J884" s="57"/>
      <c r="K884" s="58"/>
      <c r="L884" s="92" t="s">
        <v>1</v>
      </c>
      <c r="M884" s="93"/>
      <c r="N884" s="22" t="s">
        <v>35</v>
      </c>
      <c r="O884" s="22" t="s">
        <v>9</v>
      </c>
    </row>
    <row r="885" spans="1:19" x14ac:dyDescent="0.25">
      <c r="A885" s="20" t="s">
        <v>24</v>
      </c>
      <c r="B885" s="13"/>
      <c r="C885" s="17">
        <v>5.0984678580411127E-3</v>
      </c>
      <c r="D885" s="18">
        <v>0</v>
      </c>
      <c r="E885" s="18">
        <v>200.85969995605808</v>
      </c>
      <c r="F885" s="18">
        <v>0</v>
      </c>
      <c r="G885" s="19">
        <v>-4.4393934545496207E-4</v>
      </c>
      <c r="H885" s="6">
        <v>200</v>
      </c>
      <c r="I885" s="59" t="s">
        <v>70</v>
      </c>
      <c r="J885" s="60"/>
      <c r="K885" s="61"/>
      <c r="L885" s="25">
        <f>MAX(ABS(E888),ABS(E889))*1000/(B886*B883)</f>
        <v>1.4501521755979294</v>
      </c>
      <c r="M885" s="25">
        <f>L885-phiVc</f>
        <v>0.78764274170283377</v>
      </c>
      <c r="N885" s="26">
        <f>M885*O885*B883/(phiV*fys*0.25*PI()*(J883^2))</f>
        <v>1.7018194426709572</v>
      </c>
      <c r="O885" s="15">
        <v>100</v>
      </c>
    </row>
    <row r="886" spans="1:19" x14ac:dyDescent="0.25">
      <c r="A886" s="12" t="s">
        <v>26</v>
      </c>
      <c r="B886" s="49">
        <f>B884-clrCover-J883-(IF(M890&gt;1,1.5*J889,0.5*J889))</f>
        <v>612.5</v>
      </c>
      <c r="C886" s="64">
        <v>1.9990513285708402E-3</v>
      </c>
      <c r="D886" s="17">
        <v>-0.80116369666671339</v>
      </c>
      <c r="E886" s="18">
        <v>126.75841867867078</v>
      </c>
      <c r="F886" s="18">
        <v>65.619057340664341</v>
      </c>
      <c r="G886" s="19">
        <v>0.43349106883304817</v>
      </c>
      <c r="H886" s="6">
        <v>250</v>
      </c>
      <c r="I886" s="59" t="s">
        <v>71</v>
      </c>
      <c r="J886" s="60"/>
      <c r="K886" s="61"/>
      <c r="L886" s="25">
        <f>MAX(ABS(E888),ABS(E889))*1000/(B891*B883)</f>
        <v>1.4501521755979294</v>
      </c>
      <c r="M886" s="25">
        <f>L886-phiVc</f>
        <v>0.78764274170283377</v>
      </c>
      <c r="N886" s="26">
        <f>M886*O886*B883/(phiV*fys*0.25*PI()*(J883^2))</f>
        <v>1.7018194426709572</v>
      </c>
      <c r="O886" s="15">
        <v>100</v>
      </c>
    </row>
    <row r="887" spans="1:19" x14ac:dyDescent="0.25">
      <c r="A887" s="12" t="s">
        <v>27</v>
      </c>
      <c r="B887" s="50">
        <f>K890*R889</f>
        <v>3920</v>
      </c>
      <c r="C887" s="64">
        <v>1.044161794183674E-3</v>
      </c>
      <c r="D887" s="17">
        <v>0.80114195308189906</v>
      </c>
      <c r="E887" s="18">
        <v>77.444083401034931</v>
      </c>
      <c r="F887" s="18">
        <v>40.529606178396818</v>
      </c>
      <c r="G887" s="19">
        <v>-0.43345615901187295</v>
      </c>
      <c r="H887" s="6">
        <v>300</v>
      </c>
    </row>
    <row r="888" spans="1:19" x14ac:dyDescent="0.25">
      <c r="A888" s="12" t="s">
        <v>28</v>
      </c>
      <c r="B888" s="51">
        <f>-phi*B883*(B886^2)*J890*fy*(1-(0.588*J890*fy/fc))/1000000</f>
        <v>-747.12318831359994</v>
      </c>
      <c r="C888" s="64">
        <v>-3.9314270811155432E-5</v>
      </c>
      <c r="D888" s="18">
        <v>0.26214784405408303</v>
      </c>
      <c r="E888" s="17">
        <v>-150.09658473469725</v>
      </c>
      <c r="F888" s="18">
        <v>112.92588827333934</v>
      </c>
      <c r="G888" s="19">
        <v>-4.078220605710435E-2</v>
      </c>
      <c r="I888" s="90" t="s">
        <v>68</v>
      </c>
      <c r="J888" s="91"/>
      <c r="K888" s="94" t="s">
        <v>35</v>
      </c>
      <c r="L888" s="77" t="s">
        <v>36</v>
      </c>
      <c r="M888" s="96" t="s">
        <v>37</v>
      </c>
      <c r="N888" s="98" t="s">
        <v>38</v>
      </c>
      <c r="O888" s="96" t="s">
        <v>72</v>
      </c>
      <c r="Q888" s="34" t="s">
        <v>73</v>
      </c>
    </row>
    <row r="889" spans="1:19" x14ac:dyDescent="0.25">
      <c r="A889" s="23" t="s">
        <v>33</v>
      </c>
      <c r="B889" s="13"/>
      <c r="C889" s="64">
        <v>3.5287842550169438E-3</v>
      </c>
      <c r="D889" s="18">
        <v>-0.1748583106661869</v>
      </c>
      <c r="E889" s="17">
        <v>310.87637264380612</v>
      </c>
      <c r="F889" s="18">
        <v>-600.66564595044917</v>
      </c>
      <c r="G889" s="19">
        <v>-2.9979966611287275E-2</v>
      </c>
      <c r="I889" s="14" t="s">
        <v>23</v>
      </c>
      <c r="J889" s="41">
        <v>25</v>
      </c>
      <c r="K889" s="95"/>
      <c r="L889" s="40" t="s">
        <v>9</v>
      </c>
      <c r="M889" s="97"/>
      <c r="N889" s="99"/>
      <c r="O889" s="97"/>
      <c r="Q889" s="14" t="s">
        <v>75</v>
      </c>
      <c r="R889" s="21">
        <f>IF(J889=16,201,IF(J889=20,314,IF(J889=25,490,"Err")))</f>
        <v>490</v>
      </c>
      <c r="S889" s="16" t="s">
        <v>25</v>
      </c>
    </row>
    <row r="890" spans="1:19" x14ac:dyDescent="0.25">
      <c r="A890" s="20" t="s">
        <v>39</v>
      </c>
      <c r="B890" s="13"/>
      <c r="C890" s="64">
        <v>2.9039217406112579E-3</v>
      </c>
      <c r="D890" s="18">
        <v>0.15793051845323075</v>
      </c>
      <c r="E890" s="18">
        <v>289.77126049730748</v>
      </c>
      <c r="F890" s="17">
        <v>-693.56568711979014</v>
      </c>
      <c r="G890" s="19">
        <v>8.5426920277224039E-2</v>
      </c>
      <c r="I890" s="14" t="s">
        <v>40</v>
      </c>
      <c r="J890" s="24">
        <f>MAX(rhoMin,(K890*R889/(B883*B886)))</f>
        <v>1.8285714285714287E-2</v>
      </c>
      <c r="K890" s="15">
        <v>8</v>
      </c>
      <c r="L890" s="39">
        <f>IF(M890&lt;2,(B883-(2*(J883+clrCover))-(K890*J889))/(K890-1),(B883-(2*(J883+clrCover))-(N890*J889))/((N890)-1))</f>
        <v>50</v>
      </c>
      <c r="M890" s="15">
        <v>2</v>
      </c>
      <c r="N890" s="22">
        <f>IF(M890&lt;2,K890,CEILING(K890/2,1))</f>
        <v>4</v>
      </c>
      <c r="O890" s="22">
        <f>K890-N890</f>
        <v>4</v>
      </c>
      <c r="Q890" s="37" t="s">
        <v>74</v>
      </c>
      <c r="R890" s="38">
        <f>rhoMin*B883*B886</f>
        <v>707.4375</v>
      </c>
      <c r="S890" s="22">
        <f>ROUNDUP(R890/R889,0)</f>
        <v>2</v>
      </c>
    </row>
    <row r="891" spans="1:19" x14ac:dyDescent="0.25">
      <c r="A891" s="12" t="s">
        <v>26</v>
      </c>
      <c r="B891" s="49">
        <f>B884-clrCover-J883-(IF(M893&gt;1,1.5*J892,0.5*J892))</f>
        <v>612.5</v>
      </c>
      <c r="C891" s="64">
        <v>-7.2688842850038778E-5</v>
      </c>
      <c r="D891" s="18">
        <v>0.17558870701129742</v>
      </c>
      <c r="E891" s="18">
        <v>196.64792135927163</v>
      </c>
      <c r="F891" s="17">
        <v>445.0778227095534</v>
      </c>
      <c r="G891" s="19">
        <v>-3.0320602358061076E-2</v>
      </c>
      <c r="I891" s="90" t="s">
        <v>69</v>
      </c>
      <c r="J891" s="91"/>
      <c r="K891" s="96" t="s">
        <v>35</v>
      </c>
      <c r="L891" s="77" t="s">
        <v>36</v>
      </c>
      <c r="M891" s="96" t="s">
        <v>37</v>
      </c>
      <c r="N891" s="98" t="s">
        <v>38</v>
      </c>
      <c r="O891" s="96" t="s">
        <v>72</v>
      </c>
      <c r="R891" s="36"/>
    </row>
    <row r="892" spans="1:19" x14ac:dyDescent="0.25">
      <c r="A892" s="12" t="s">
        <v>27</v>
      </c>
      <c r="B892" s="50">
        <f>K893*R892</f>
        <v>2450</v>
      </c>
      <c r="C892" s="64">
        <v>1.6601425367959561E-3</v>
      </c>
      <c r="D892" s="18">
        <v>-0.80116050722014942</v>
      </c>
      <c r="E892" s="18">
        <v>143.70920616945276</v>
      </c>
      <c r="F892" s="18">
        <v>-353.39426956128966</v>
      </c>
      <c r="G892" s="17">
        <v>-0.43348637380091798</v>
      </c>
      <c r="I892" s="14" t="s">
        <v>23</v>
      </c>
      <c r="J892" s="41">
        <v>25</v>
      </c>
      <c r="K892" s="97"/>
      <c r="L892" s="40" t="s">
        <v>9</v>
      </c>
      <c r="M892" s="97"/>
      <c r="N892" s="99"/>
      <c r="O892" s="97"/>
      <c r="Q892" s="14" t="s">
        <v>75</v>
      </c>
      <c r="R892" s="21">
        <f>IF(J892=16,201,IF(J892=20,314,IF(J892=25,490,"Err")))</f>
        <v>490</v>
      </c>
      <c r="S892" s="16" t="s">
        <v>25</v>
      </c>
    </row>
    <row r="893" spans="1:19" x14ac:dyDescent="0.25">
      <c r="A893" s="27" t="s">
        <v>28</v>
      </c>
      <c r="B893" s="52">
        <f>phi*B883*(B891^2)*J893*fy*(1-(0.588*J893*fy/fc))/1000000</f>
        <v>501.51982356000002</v>
      </c>
      <c r="C893" s="53">
        <v>1.9990513285708402E-3</v>
      </c>
      <c r="D893" s="28">
        <v>-0.80116369666671339</v>
      </c>
      <c r="E893" s="28">
        <v>126.75841867867078</v>
      </c>
      <c r="F893" s="28">
        <v>65.619057340664341</v>
      </c>
      <c r="G893" s="17">
        <v>0.43349106883304817</v>
      </c>
      <c r="I893" s="14" t="s">
        <v>40</v>
      </c>
      <c r="J893" s="24">
        <f>MAX(rhoMin,(K893*R892/(B883*B891)))</f>
        <v>1.1428571428571429E-2</v>
      </c>
      <c r="K893" s="15">
        <v>5</v>
      </c>
      <c r="L893" s="21">
        <f>IF(M893&lt;2,(B883-(2*(J883+clrCover))-(K893*J892))/(K893-1),(B883-(2*(J883+clrCover))-(N893*J892))/((N893)-1))</f>
        <v>87.5</v>
      </c>
      <c r="M893" s="15">
        <v>2</v>
      </c>
      <c r="N893" s="22">
        <f>IF(M893&lt;2,K893,CEILING(K893/2,1))</f>
        <v>3</v>
      </c>
      <c r="O893" s="22">
        <f>K893-N893</f>
        <v>2</v>
      </c>
      <c r="Q893" s="37" t="s">
        <v>74</v>
      </c>
      <c r="R893" s="38">
        <f>rhoMin*B883*B891</f>
        <v>707.4375</v>
      </c>
      <c r="S893" s="22">
        <f>ROUNDUP(R893/R892,0)</f>
        <v>2</v>
      </c>
    </row>
    <row r="894" spans="1:19" x14ac:dyDescent="0.25">
      <c r="A894" s="65" t="s">
        <v>76</v>
      </c>
    </row>
    <row r="895" spans="1:19" x14ac:dyDescent="0.25">
      <c r="A895" s="69" t="s">
        <v>157</v>
      </c>
      <c r="B895" s="11" t="s">
        <v>11</v>
      </c>
      <c r="C895" s="10" t="s">
        <v>12</v>
      </c>
      <c r="D895" s="10" t="s">
        <v>13</v>
      </c>
      <c r="E895" s="10" t="s">
        <v>14</v>
      </c>
      <c r="F895" s="10" t="s">
        <v>15</v>
      </c>
      <c r="G895" s="11" t="s">
        <v>16</v>
      </c>
      <c r="H895" s="6">
        <v>125</v>
      </c>
      <c r="I895" s="90" t="s">
        <v>34</v>
      </c>
      <c r="J895" s="91"/>
      <c r="K895" s="71"/>
    </row>
    <row r="896" spans="1:19" x14ac:dyDescent="0.25">
      <c r="A896" s="12" t="s">
        <v>17</v>
      </c>
      <c r="B896" s="48">
        <v>400</v>
      </c>
      <c r="C896" s="44" t="s">
        <v>18</v>
      </c>
      <c r="D896" s="44" t="s">
        <v>18</v>
      </c>
      <c r="E896" s="44" t="s">
        <v>18</v>
      </c>
      <c r="F896" s="44" t="s">
        <v>19</v>
      </c>
      <c r="G896" s="45" t="s">
        <v>19</v>
      </c>
      <c r="H896" s="6">
        <v>150</v>
      </c>
      <c r="I896" s="14" t="s">
        <v>20</v>
      </c>
      <c r="J896" s="15">
        <v>10</v>
      </c>
      <c r="K896" s="16" t="s">
        <v>9</v>
      </c>
      <c r="L896" s="22" t="s">
        <v>29</v>
      </c>
      <c r="M896" s="22" t="s">
        <v>30</v>
      </c>
      <c r="N896" s="22" t="s">
        <v>31</v>
      </c>
      <c r="O896" s="22" t="s">
        <v>32</v>
      </c>
      <c r="P896" s="3"/>
    </row>
    <row r="897" spans="1:19" x14ac:dyDescent="0.25">
      <c r="A897" s="12" t="s">
        <v>22</v>
      </c>
      <c r="B897" s="48">
        <v>500</v>
      </c>
      <c r="C897" s="17">
        <v>-1.3360894814364935E-3</v>
      </c>
      <c r="D897" s="63">
        <v>10.108851971763263</v>
      </c>
      <c r="E897" s="63">
        <v>0</v>
      </c>
      <c r="F897" s="63">
        <v>-82.656220047699648</v>
      </c>
      <c r="G897" s="54">
        <v>0</v>
      </c>
      <c r="H897" s="6">
        <v>175</v>
      </c>
      <c r="I897" s="56"/>
      <c r="J897" s="57"/>
      <c r="K897" s="58"/>
      <c r="L897" s="92" t="s">
        <v>1</v>
      </c>
      <c r="M897" s="93"/>
      <c r="N897" s="22" t="s">
        <v>35</v>
      </c>
      <c r="O897" s="22" t="s">
        <v>9</v>
      </c>
    </row>
    <row r="898" spans="1:19" x14ac:dyDescent="0.25">
      <c r="A898" s="20" t="s">
        <v>24</v>
      </c>
      <c r="B898" s="13"/>
      <c r="C898" s="17">
        <v>1.3360894719420965E-3</v>
      </c>
      <c r="D898" s="18">
        <v>0</v>
      </c>
      <c r="E898" s="18">
        <v>-48.802020477932736</v>
      </c>
      <c r="F898" s="18">
        <v>0</v>
      </c>
      <c r="G898" s="19">
        <v>3.2043696045140071</v>
      </c>
      <c r="H898" s="6">
        <v>200</v>
      </c>
      <c r="I898" s="59" t="s">
        <v>70</v>
      </c>
      <c r="J898" s="60"/>
      <c r="K898" s="61"/>
      <c r="L898" s="25">
        <f>MAX(ABS(E901),ABS(E902))*1000/(B899*B896)</f>
        <v>0.70639070675658999</v>
      </c>
      <c r="M898" s="25">
        <f>L898-phiVc</f>
        <v>4.3881272861494347E-2</v>
      </c>
      <c r="N898" s="26">
        <f>M898*O898*B896/(phiV*fys*0.25*PI()*(J896^2))</f>
        <v>0.10835660001079953</v>
      </c>
      <c r="O898" s="15">
        <v>100</v>
      </c>
    </row>
    <row r="899" spans="1:19" x14ac:dyDescent="0.25">
      <c r="A899" s="12" t="s">
        <v>26</v>
      </c>
      <c r="B899" s="49">
        <f>B897-clrCover-J896-(IF(M903&gt;1,1.5*J902,0.5*J902))</f>
        <v>440</v>
      </c>
      <c r="C899" s="64">
        <v>1.3360894719420965E-3</v>
      </c>
      <c r="D899" s="17">
        <v>-10.10885197176267</v>
      </c>
      <c r="E899" s="18">
        <v>-48.802020477932736</v>
      </c>
      <c r="F899" s="18">
        <v>-47.139961542453023</v>
      </c>
      <c r="G899" s="19">
        <v>3.2043696045140071</v>
      </c>
      <c r="H899" s="6">
        <v>250</v>
      </c>
      <c r="I899" s="59" t="s">
        <v>71</v>
      </c>
      <c r="J899" s="60"/>
      <c r="K899" s="61"/>
      <c r="L899" s="25">
        <f>MAX(ABS(E901),ABS(E902))*1000/(B904*B896)</f>
        <v>0.70639070675658999</v>
      </c>
      <c r="M899" s="25">
        <f>L899-phiVc</f>
        <v>4.3881272861494347E-2</v>
      </c>
      <c r="N899" s="26">
        <f>M899*O899*B896/(phiV*fys*0.25*PI()*(J896^2))</f>
        <v>0.10835660001079953</v>
      </c>
      <c r="O899" s="15">
        <v>100</v>
      </c>
    </row>
    <row r="900" spans="1:19" x14ac:dyDescent="0.25">
      <c r="A900" s="12" t="s">
        <v>27</v>
      </c>
      <c r="B900" s="50">
        <f>K903*R902</f>
        <v>942</v>
      </c>
      <c r="C900" s="64">
        <v>-1.3360894814364935E-3</v>
      </c>
      <c r="D900" s="17">
        <v>10.108851971763263</v>
      </c>
      <c r="E900" s="18">
        <v>-78.894339545545961</v>
      </c>
      <c r="F900" s="18">
        <v>-82.656220047699648</v>
      </c>
      <c r="G900" s="19">
        <v>-3.2043696045145991</v>
      </c>
      <c r="H900" s="6">
        <v>300</v>
      </c>
    </row>
    <row r="901" spans="1:19" x14ac:dyDescent="0.25">
      <c r="A901" s="12" t="s">
        <v>28</v>
      </c>
      <c r="B901" s="51">
        <f>-phi*B896*(B899^2)*J903*fy*(1-(0.588*J903*fy/fc))/1000000</f>
        <v>-146.982806632944</v>
      </c>
      <c r="C901" s="64">
        <v>-6.6804475016789668E-4</v>
      </c>
      <c r="D901" s="18">
        <v>5.0544259858822169</v>
      </c>
      <c r="E901" s="17">
        <v>-124.32476438915984</v>
      </c>
      <c r="F901" s="18">
        <v>-124.37978299310427</v>
      </c>
      <c r="G901" s="19">
        <v>-1.6021848022578749</v>
      </c>
      <c r="I901" s="90" t="s">
        <v>68</v>
      </c>
      <c r="J901" s="91"/>
      <c r="K901" s="94" t="s">
        <v>35</v>
      </c>
      <c r="L901" s="77" t="s">
        <v>36</v>
      </c>
      <c r="M901" s="96" t="s">
        <v>37</v>
      </c>
      <c r="N901" s="98" t="s">
        <v>38</v>
      </c>
      <c r="O901" s="96" t="s">
        <v>72</v>
      </c>
      <c r="Q901" s="34" t="s">
        <v>73</v>
      </c>
    </row>
    <row r="902" spans="1:19" x14ac:dyDescent="0.25">
      <c r="A902" s="23" t="s">
        <v>33</v>
      </c>
      <c r="B902" s="13"/>
      <c r="C902" s="64">
        <v>-7.7932588379159561E-6</v>
      </c>
      <c r="D902" s="18">
        <v>-0.330350613371795</v>
      </c>
      <c r="E902" s="17">
        <v>106.89858811398054</v>
      </c>
      <c r="F902" s="18">
        <v>-15.440516469863152</v>
      </c>
      <c r="G902" s="19">
        <v>-1.6999726418033378E-2</v>
      </c>
      <c r="I902" s="14" t="s">
        <v>23</v>
      </c>
      <c r="J902" s="41">
        <v>20</v>
      </c>
      <c r="K902" s="95"/>
      <c r="L902" s="40" t="s">
        <v>9</v>
      </c>
      <c r="M902" s="97"/>
      <c r="N902" s="99"/>
      <c r="O902" s="97"/>
      <c r="Q902" s="14" t="s">
        <v>75</v>
      </c>
      <c r="R902" s="21">
        <f>IF(J902=16,201,IF(J902=20,314,IF(J902=25,490,"Err")))</f>
        <v>314</v>
      </c>
      <c r="S902" s="16" t="s">
        <v>25</v>
      </c>
    </row>
    <row r="903" spans="1:19" x14ac:dyDescent="0.25">
      <c r="A903" s="20" t="s">
        <v>39</v>
      </c>
      <c r="B903" s="13"/>
      <c r="C903" s="64">
        <v>-6.6804475016789668E-4</v>
      </c>
      <c r="D903" s="18">
        <v>5.0544259858822169</v>
      </c>
      <c r="E903" s="18">
        <v>-124.32476438915984</v>
      </c>
      <c r="F903" s="17">
        <v>-124.37978299310427</v>
      </c>
      <c r="G903" s="19">
        <v>-1.6021848022578749</v>
      </c>
      <c r="I903" s="14" t="s">
        <v>40</v>
      </c>
      <c r="J903" s="24">
        <f>MAX(rhoMin,(K903*R902/(B896*B899)))</f>
        <v>5.3522727272727272E-3</v>
      </c>
      <c r="K903" s="15">
        <v>3</v>
      </c>
      <c r="L903" s="39">
        <f>IF(M903&lt;2,(B896-(2*(J896+clrCover))-(K903*J902))/(K903-1),(B896-(2*(J896+clrCover))-(N903*J902))/((N903)-1))</f>
        <v>120</v>
      </c>
      <c r="M903" s="15">
        <v>1</v>
      </c>
      <c r="N903" s="22">
        <f>IF(M903&lt;2,K903,CEILING(K903/2,1))</f>
        <v>3</v>
      </c>
      <c r="O903" s="22">
        <f>K903-N903</f>
        <v>0</v>
      </c>
      <c r="Q903" s="37" t="s">
        <v>74</v>
      </c>
      <c r="R903" s="38">
        <f>rhoMin*B896*B899</f>
        <v>580.80000000000007</v>
      </c>
      <c r="S903" s="22">
        <f>ROUNDUP(R903/R902,0)</f>
        <v>2</v>
      </c>
    </row>
    <row r="904" spans="1:19" x14ac:dyDescent="0.25">
      <c r="A904" s="12" t="s">
        <v>26</v>
      </c>
      <c r="B904" s="49">
        <f>B897-clrCover-J896-(IF(M906&gt;1,1.5*J905,0.5*J905))</f>
        <v>440</v>
      </c>
      <c r="C904" s="64">
        <v>-1.2830778677016497E-4</v>
      </c>
      <c r="D904" s="18">
        <v>-5.0240548890704413E-5</v>
      </c>
      <c r="E904" s="18">
        <v>-10.717926483701264</v>
      </c>
      <c r="F904" s="17">
        <v>174.44347282261381</v>
      </c>
      <c r="G904" s="19">
        <v>0.22727021057639696</v>
      </c>
      <c r="I904" s="90" t="s">
        <v>69</v>
      </c>
      <c r="J904" s="91"/>
      <c r="K904" s="96" t="s">
        <v>35</v>
      </c>
      <c r="L904" s="77" t="s">
        <v>36</v>
      </c>
      <c r="M904" s="96" t="s">
        <v>37</v>
      </c>
      <c r="N904" s="98" t="s">
        <v>38</v>
      </c>
      <c r="O904" s="96" t="s">
        <v>72</v>
      </c>
      <c r="R904" s="36"/>
    </row>
    <row r="905" spans="1:19" x14ac:dyDescent="0.25">
      <c r="A905" s="12" t="s">
        <v>27</v>
      </c>
      <c r="B905" s="50">
        <f>K906*R905</f>
        <v>1256</v>
      </c>
      <c r="C905" s="64">
        <v>-1.3360894814364935E-3</v>
      </c>
      <c r="D905" s="18">
        <v>10.108851971763263</v>
      </c>
      <c r="E905" s="18">
        <v>-78.894339545545961</v>
      </c>
      <c r="F905" s="18">
        <v>-82.656220047699648</v>
      </c>
      <c r="G905" s="17">
        <v>-3.2043696045145991</v>
      </c>
      <c r="I905" s="14" t="s">
        <v>23</v>
      </c>
      <c r="J905" s="41">
        <v>20</v>
      </c>
      <c r="K905" s="97"/>
      <c r="L905" s="40" t="s">
        <v>9</v>
      </c>
      <c r="M905" s="97"/>
      <c r="N905" s="99"/>
      <c r="O905" s="97"/>
      <c r="Q905" s="14" t="s">
        <v>75</v>
      </c>
      <c r="R905" s="21">
        <f>IF(J905=16,201,IF(J905=20,314,IF(J905=25,490,"Err")))</f>
        <v>314</v>
      </c>
      <c r="S905" s="16" t="s">
        <v>25</v>
      </c>
    </row>
    <row r="906" spans="1:19" x14ac:dyDescent="0.25">
      <c r="A906" s="27" t="s">
        <v>28</v>
      </c>
      <c r="B906" s="52">
        <f>phi*B896*(B904^2)*J906*fy*(1-(0.588*J906*fy/fc))/1000000</f>
        <v>192.66487934745598</v>
      </c>
      <c r="C906" s="53">
        <v>1.3360894719420965E-3</v>
      </c>
      <c r="D906" s="28">
        <v>-10.10885197176267</v>
      </c>
      <c r="E906" s="28">
        <v>-48.802020477932736</v>
      </c>
      <c r="F906" s="28">
        <v>-47.139961542453023</v>
      </c>
      <c r="G906" s="17">
        <v>3.2043696045140071</v>
      </c>
      <c r="I906" s="14" t="s">
        <v>40</v>
      </c>
      <c r="J906" s="24">
        <f>MAX(rhoMin,(K906*R905/(B896*B904)))</f>
        <v>7.136363636363636E-3</v>
      </c>
      <c r="K906" s="15">
        <v>4</v>
      </c>
      <c r="L906" s="21">
        <f>IF(M906&lt;2,(B896-(2*(J896+clrCover))-(K906*J905))/(K906-1),(B896-(2*(J896+clrCover))-(N906*J905))/((N906)-1))</f>
        <v>73.333333333333329</v>
      </c>
      <c r="M906" s="15">
        <v>1</v>
      </c>
      <c r="N906" s="22">
        <f>IF(M906&lt;2,K906,CEILING(K906/2,1))</f>
        <v>4</v>
      </c>
      <c r="O906" s="22">
        <f>K906-N906</f>
        <v>0</v>
      </c>
      <c r="Q906" s="37" t="s">
        <v>74</v>
      </c>
      <c r="R906" s="38">
        <f>rhoMin*B896*B904</f>
        <v>580.80000000000007</v>
      </c>
      <c r="S906" s="22">
        <f>ROUNDUP(R906/R905,0)</f>
        <v>2</v>
      </c>
    </row>
    <row r="907" spans="1:19" x14ac:dyDescent="0.25">
      <c r="A907" s="65" t="s">
        <v>76</v>
      </c>
    </row>
    <row r="908" spans="1:19" x14ac:dyDescent="0.25">
      <c r="A908" s="69" t="s">
        <v>158</v>
      </c>
      <c r="B908" s="11" t="s">
        <v>11</v>
      </c>
      <c r="C908" s="10" t="s">
        <v>12</v>
      </c>
      <c r="D908" s="10" t="s">
        <v>13</v>
      </c>
      <c r="E908" s="10" t="s">
        <v>14</v>
      </c>
      <c r="F908" s="10" t="s">
        <v>15</v>
      </c>
      <c r="G908" s="11" t="s">
        <v>16</v>
      </c>
      <c r="H908" s="6">
        <v>125</v>
      </c>
      <c r="I908" s="90" t="s">
        <v>34</v>
      </c>
      <c r="J908" s="91"/>
      <c r="K908" s="71"/>
    </row>
    <row r="909" spans="1:19" x14ac:dyDescent="0.25">
      <c r="A909" s="12" t="s">
        <v>17</v>
      </c>
      <c r="B909" s="48">
        <v>300</v>
      </c>
      <c r="C909" s="44" t="s">
        <v>18</v>
      </c>
      <c r="D909" s="44" t="s">
        <v>18</v>
      </c>
      <c r="E909" s="44" t="s">
        <v>18</v>
      </c>
      <c r="F909" s="44" t="s">
        <v>19</v>
      </c>
      <c r="G909" s="45" t="s">
        <v>19</v>
      </c>
      <c r="H909" s="6">
        <v>150</v>
      </c>
      <c r="I909" s="14" t="s">
        <v>20</v>
      </c>
      <c r="J909" s="15">
        <v>10</v>
      </c>
      <c r="K909" s="16" t="s">
        <v>9</v>
      </c>
      <c r="L909" s="22" t="s">
        <v>29</v>
      </c>
      <c r="M909" s="22" t="s">
        <v>30</v>
      </c>
      <c r="N909" s="22" t="s">
        <v>31</v>
      </c>
      <c r="O909" s="22" t="s">
        <v>32</v>
      </c>
      <c r="P909" s="3"/>
    </row>
    <row r="910" spans="1:19" x14ac:dyDescent="0.25">
      <c r="A910" s="12" t="s">
        <v>22</v>
      </c>
      <c r="B910" s="48">
        <v>500</v>
      </c>
      <c r="C910" s="17">
        <v>-6.1628528350622215E-3</v>
      </c>
      <c r="D910" s="63">
        <v>5.4393112236539309E-14</v>
      </c>
      <c r="E910" s="63">
        <v>0</v>
      </c>
      <c r="F910" s="63">
        <v>5.5113964130526383E-12</v>
      </c>
      <c r="G910" s="54">
        <v>0</v>
      </c>
      <c r="H910" s="6">
        <v>175</v>
      </c>
      <c r="I910" s="56"/>
      <c r="J910" s="57"/>
      <c r="K910" s="58"/>
      <c r="L910" s="92" t="s">
        <v>1</v>
      </c>
      <c r="M910" s="93"/>
      <c r="N910" s="22" t="s">
        <v>35</v>
      </c>
      <c r="O910" s="22" t="s">
        <v>9</v>
      </c>
    </row>
    <row r="911" spans="1:19" x14ac:dyDescent="0.25">
      <c r="A911" s="20" t="s">
        <v>24</v>
      </c>
      <c r="B911" s="13"/>
      <c r="C911" s="17">
        <v>5.4486547558015444E-3</v>
      </c>
      <c r="D911" s="18">
        <v>0</v>
      </c>
      <c r="E911" s="18">
        <v>-15.163302708349974</v>
      </c>
      <c r="F911" s="18">
        <v>0</v>
      </c>
      <c r="G911" s="19">
        <v>3.138059906336926E-14</v>
      </c>
      <c r="H911" s="6">
        <v>200</v>
      </c>
      <c r="I911" s="59" t="s">
        <v>70</v>
      </c>
      <c r="J911" s="60"/>
      <c r="K911" s="61"/>
      <c r="L911" s="25">
        <f>MAX(ABS(E914),ABS(E915))*1000/(B912*B909)</f>
        <v>1.0090862272850478</v>
      </c>
      <c r="M911" s="25">
        <f>L911-phiVc</f>
        <v>0.34657679338995218</v>
      </c>
      <c r="N911" s="26">
        <f>M911*O911*B909/(phiV*fys*0.25*PI()*(J909^2))</f>
        <v>0.64185495073686571</v>
      </c>
      <c r="O911" s="15">
        <v>100</v>
      </c>
    </row>
    <row r="912" spans="1:19" x14ac:dyDescent="0.25">
      <c r="A912" s="12" t="s">
        <v>26</v>
      </c>
      <c r="B912" s="49">
        <f>B910-clrCover-J909-(IF(M916&gt;1,1.5*J915,0.5*J915))</f>
        <v>440</v>
      </c>
      <c r="C912" s="64">
        <v>3.5911026494432006E-4</v>
      </c>
      <c r="D912" s="17">
        <v>-3.2677732882366137</v>
      </c>
      <c r="E912" s="18">
        <v>73.403614992014241</v>
      </c>
      <c r="F912" s="18">
        <v>2.8430457987838054E-14</v>
      </c>
      <c r="G912" s="19">
        <v>-1.085052048210855E-14</v>
      </c>
      <c r="H912" s="6">
        <v>250</v>
      </c>
      <c r="I912" s="59" t="s">
        <v>71</v>
      </c>
      <c r="J912" s="60"/>
      <c r="K912" s="61"/>
      <c r="L912" s="25">
        <f>MAX(ABS(E914),ABS(E915))*1000/(B917*B909)</f>
        <v>1.0090862272850478</v>
      </c>
      <c r="M912" s="25">
        <f>L912-phiVc</f>
        <v>0.34657679338995218</v>
      </c>
      <c r="N912" s="26">
        <f>M912*O912*B909/(phiV*fys*0.25*PI()*(J909^2))</f>
        <v>0.64185495073686571</v>
      </c>
      <c r="O912" s="15">
        <v>100</v>
      </c>
    </row>
    <row r="913" spans="1:19" x14ac:dyDescent="0.25">
      <c r="A913" s="12" t="s">
        <v>27</v>
      </c>
      <c r="B913" s="50">
        <f>K916*R915</f>
        <v>628</v>
      </c>
      <c r="C913" s="64">
        <v>-3.5909613608237122E-4</v>
      </c>
      <c r="D913" s="17">
        <v>3.2677732882366124</v>
      </c>
      <c r="E913" s="18">
        <v>40.258511209533445</v>
      </c>
      <c r="F913" s="18">
        <v>1.5080559023772368E-14</v>
      </c>
      <c r="G913" s="19">
        <v>7.9694473242852832E-15</v>
      </c>
      <c r="H913" s="6">
        <v>300</v>
      </c>
    </row>
    <row r="914" spans="1:19" x14ac:dyDescent="0.25">
      <c r="A914" s="12" t="s">
        <v>28</v>
      </c>
      <c r="B914" s="51">
        <f>-phi*B909*(B912^2)*J916*fy*(1-(0.588*J916*fy/fc))/1000000</f>
        <v>-98.540570449152</v>
      </c>
      <c r="C914" s="64">
        <v>1.4079030370339751E-8</v>
      </c>
      <c r="D914" s="18">
        <v>-1.8442136706653397E-15</v>
      </c>
      <c r="E914" s="17">
        <v>-133.1993820016263</v>
      </c>
      <c r="F914" s="18">
        <v>1.0188224052270296E-11</v>
      </c>
      <c r="G914" s="19">
        <v>5.2730111468829264E-15</v>
      </c>
      <c r="I914" s="90" t="s">
        <v>68</v>
      </c>
      <c r="J914" s="91"/>
      <c r="K914" s="94" t="s">
        <v>35</v>
      </c>
      <c r="L914" s="77" t="s">
        <v>36</v>
      </c>
      <c r="M914" s="96" t="s">
        <v>37</v>
      </c>
      <c r="N914" s="98" t="s">
        <v>38</v>
      </c>
      <c r="O914" s="96" t="s">
        <v>72</v>
      </c>
      <c r="Q914" s="34" t="s">
        <v>73</v>
      </c>
    </row>
    <row r="915" spans="1:19" x14ac:dyDescent="0.25">
      <c r="A915" s="23" t="s">
        <v>33</v>
      </c>
      <c r="B915" s="13"/>
      <c r="C915" s="64">
        <v>1.4079030370339751E-8</v>
      </c>
      <c r="D915" s="18">
        <v>-1.8442136706653397E-15</v>
      </c>
      <c r="E915" s="17">
        <v>131.23682040181424</v>
      </c>
      <c r="F915" s="18">
        <v>5.2921222959412265E-14</v>
      </c>
      <c r="G915" s="19">
        <v>-3.6592950891645161E-15</v>
      </c>
      <c r="I915" s="14" t="s">
        <v>23</v>
      </c>
      <c r="J915" s="41">
        <v>20</v>
      </c>
      <c r="K915" s="95"/>
      <c r="L915" s="40" t="s">
        <v>9</v>
      </c>
      <c r="M915" s="97"/>
      <c r="N915" s="99"/>
      <c r="O915" s="97"/>
      <c r="Q915" s="14" t="s">
        <v>75</v>
      </c>
      <c r="R915" s="21">
        <f>IF(J915=16,201,IF(J915=20,314,IF(J915=25,490,"Err")))</f>
        <v>314</v>
      </c>
      <c r="S915" s="16" t="s">
        <v>25</v>
      </c>
    </row>
    <row r="916" spans="1:19" x14ac:dyDescent="0.25">
      <c r="A916" s="20" t="s">
        <v>39</v>
      </c>
      <c r="B916" s="13"/>
      <c r="C916" s="64">
        <v>1.5990945858429769E-3</v>
      </c>
      <c r="D916" s="18">
        <v>1.9769164083527356E-14</v>
      </c>
      <c r="E916" s="18">
        <v>-40.588301204227683</v>
      </c>
      <c r="F916" s="17">
        <v>-1.3055273012334872E-11</v>
      </c>
      <c r="G916" s="19">
        <v>1.517383077025548E-14</v>
      </c>
      <c r="I916" s="14" t="s">
        <v>40</v>
      </c>
      <c r="J916" s="24">
        <f>MAX(rhoMin,(K916*R915/(B909*B912)))</f>
        <v>4.7575757575757573E-3</v>
      </c>
      <c r="K916" s="15">
        <v>2</v>
      </c>
      <c r="L916" s="39">
        <f>IF(M916&lt;2,(B909-(2*(J909+clrCover))-(K916*J915))/(K916-1),(B909-(2*(J909+clrCover))-(N916*J915))/((N916)-1))</f>
        <v>160</v>
      </c>
      <c r="M916" s="15">
        <v>1</v>
      </c>
      <c r="N916" s="22">
        <f>IF(M916&lt;2,K916,CEILING(K916/2,1))</f>
        <v>2</v>
      </c>
      <c r="O916" s="22">
        <f>K916-N916</f>
        <v>0</v>
      </c>
      <c r="Q916" s="37" t="s">
        <v>74</v>
      </c>
      <c r="R916" s="38">
        <f>rhoMin*B909*B912</f>
        <v>435.6</v>
      </c>
      <c r="S916" s="22">
        <f>ROUNDUP(R916/R915,0)</f>
        <v>2</v>
      </c>
    </row>
    <row r="917" spans="1:19" x14ac:dyDescent="0.25">
      <c r="A917" s="12" t="s">
        <v>26</v>
      </c>
      <c r="B917" s="49">
        <f>B910-clrCover-J909-(IF(M919&gt;1,1.5*J918,0.5*J918))</f>
        <v>440</v>
      </c>
      <c r="C917" s="64">
        <v>1.4079030370339751E-8</v>
      </c>
      <c r="D917" s="18">
        <v>-1.8442136706653397E-15</v>
      </c>
      <c r="E917" s="18">
        <v>2.7231264611282344</v>
      </c>
      <c r="F917" s="17">
        <v>178.6914528408351</v>
      </c>
      <c r="G917" s="19">
        <v>8.0685802885920509E-16</v>
      </c>
      <c r="I917" s="90" t="s">
        <v>69</v>
      </c>
      <c r="J917" s="91"/>
      <c r="K917" s="96" t="s">
        <v>35</v>
      </c>
      <c r="L917" s="77" t="s">
        <v>36</v>
      </c>
      <c r="M917" s="96" t="s">
        <v>37</v>
      </c>
      <c r="N917" s="98" t="s">
        <v>38</v>
      </c>
      <c r="O917" s="96" t="s">
        <v>72</v>
      </c>
      <c r="R917" s="36"/>
    </row>
    <row r="918" spans="1:19" x14ac:dyDescent="0.25">
      <c r="A918" s="12" t="s">
        <v>27</v>
      </c>
      <c r="B918" s="50">
        <f>K919*R918</f>
        <v>1256</v>
      </c>
      <c r="C918" s="64">
        <v>-3.5909613608237122E-4</v>
      </c>
      <c r="D918" s="18">
        <v>3.0344615709054779E-15</v>
      </c>
      <c r="E918" s="18">
        <v>0.81277249750296554</v>
      </c>
      <c r="F918" s="18">
        <v>54.651767437680988</v>
      </c>
      <c r="G918" s="17">
        <v>-3.9568017774717288</v>
      </c>
      <c r="I918" s="14" t="s">
        <v>23</v>
      </c>
      <c r="J918" s="41">
        <v>20</v>
      </c>
      <c r="K918" s="97"/>
      <c r="L918" s="40" t="s">
        <v>9</v>
      </c>
      <c r="M918" s="97"/>
      <c r="N918" s="99"/>
      <c r="O918" s="97"/>
      <c r="Q918" s="14" t="s">
        <v>75</v>
      </c>
      <c r="R918" s="21">
        <f>IF(J918=16,201,IF(J918=20,314,IF(J918=25,490,"Err")))</f>
        <v>314</v>
      </c>
      <c r="S918" s="16" t="s">
        <v>25</v>
      </c>
    </row>
    <row r="919" spans="1:19" x14ac:dyDescent="0.25">
      <c r="A919" s="27" t="s">
        <v>28</v>
      </c>
      <c r="B919" s="52">
        <f>phi*B909*(B917^2)*J919*fy*(1-(0.588*J919*fy/fc))/1000000</f>
        <v>188.24861779660799</v>
      </c>
      <c r="C919" s="53">
        <v>3.5910755288932704E-4</v>
      </c>
      <c r="D919" s="28">
        <v>-4.2414960432779481E-15</v>
      </c>
      <c r="E919" s="28">
        <v>0.800644769765822</v>
      </c>
      <c r="F919" s="28">
        <v>53.954345933569229</v>
      </c>
      <c r="G919" s="17">
        <v>3.9568017774717297</v>
      </c>
      <c r="I919" s="14" t="s">
        <v>40</v>
      </c>
      <c r="J919" s="24">
        <f>MAX(rhoMin,(K919*R918/(B909*B917)))</f>
        <v>9.5151515151515147E-3</v>
      </c>
      <c r="K919" s="15">
        <v>4</v>
      </c>
      <c r="L919" s="21">
        <f>IF(M919&lt;2,(B909-(2*(J909+clrCover))-(K919*J918))/(K919-1),(B909-(2*(J909+clrCover))-(N919*J918))/((N919)-1))</f>
        <v>40</v>
      </c>
      <c r="M919" s="15">
        <v>1</v>
      </c>
      <c r="N919" s="22">
        <f>IF(M919&lt;2,K919,CEILING(K919/2,1))</f>
        <v>4</v>
      </c>
      <c r="O919" s="22">
        <f>K919-N919</f>
        <v>0</v>
      </c>
      <c r="Q919" s="37" t="s">
        <v>74</v>
      </c>
      <c r="R919" s="38">
        <f>rhoMin*B909*B917</f>
        <v>435.6</v>
      </c>
      <c r="S919" s="22">
        <f>ROUNDUP(R919/R918,0)</f>
        <v>2</v>
      </c>
    </row>
    <row r="920" spans="1:19" x14ac:dyDescent="0.25">
      <c r="A920" s="65" t="s">
        <v>76</v>
      </c>
    </row>
    <row r="921" spans="1:19" x14ac:dyDescent="0.25">
      <c r="A921" s="69" t="s">
        <v>159</v>
      </c>
      <c r="B921" s="11" t="s">
        <v>11</v>
      </c>
      <c r="C921" s="10" t="s">
        <v>12</v>
      </c>
      <c r="D921" s="10" t="s">
        <v>13</v>
      </c>
      <c r="E921" s="10" t="s">
        <v>14</v>
      </c>
      <c r="F921" s="10" t="s">
        <v>15</v>
      </c>
      <c r="G921" s="11" t="s">
        <v>16</v>
      </c>
      <c r="H921" s="6">
        <v>125</v>
      </c>
      <c r="I921" s="90" t="s">
        <v>34</v>
      </c>
      <c r="J921" s="91"/>
      <c r="K921" s="71"/>
    </row>
    <row r="922" spans="1:19" x14ac:dyDescent="0.25">
      <c r="A922" s="12" t="s">
        <v>17</v>
      </c>
      <c r="B922" s="48">
        <v>300</v>
      </c>
      <c r="C922" s="44" t="s">
        <v>18</v>
      </c>
      <c r="D922" s="44" t="s">
        <v>18</v>
      </c>
      <c r="E922" s="44" t="s">
        <v>18</v>
      </c>
      <c r="F922" s="44" t="s">
        <v>19</v>
      </c>
      <c r="G922" s="45" t="s">
        <v>19</v>
      </c>
      <c r="H922" s="6">
        <v>150</v>
      </c>
      <c r="I922" s="14" t="s">
        <v>20</v>
      </c>
      <c r="J922" s="15">
        <v>10</v>
      </c>
      <c r="K922" s="16" t="s">
        <v>9</v>
      </c>
      <c r="L922" s="22" t="s">
        <v>29</v>
      </c>
      <c r="M922" s="22" t="s">
        <v>30</v>
      </c>
      <c r="N922" s="22" t="s">
        <v>31</v>
      </c>
      <c r="O922" s="22" t="s">
        <v>32</v>
      </c>
      <c r="P922" s="3"/>
    </row>
    <row r="923" spans="1:19" x14ac:dyDescent="0.25">
      <c r="A923" s="12" t="s">
        <v>22</v>
      </c>
      <c r="B923" s="48">
        <v>400</v>
      </c>
      <c r="C923" s="17">
        <v>-5.9018684080494976</v>
      </c>
      <c r="D923" s="63">
        <v>1.3865249123125962E-4</v>
      </c>
      <c r="E923" s="63">
        <v>0</v>
      </c>
      <c r="F923" s="63">
        <v>9.8111740953754636E-15</v>
      </c>
      <c r="G923" s="54">
        <v>0</v>
      </c>
      <c r="H923" s="6">
        <v>175</v>
      </c>
      <c r="I923" s="56"/>
      <c r="J923" s="57"/>
      <c r="K923" s="58"/>
      <c r="L923" s="92" t="s">
        <v>1</v>
      </c>
      <c r="M923" s="93"/>
      <c r="N923" s="22" t="s">
        <v>35</v>
      </c>
      <c r="O923" s="22" t="s">
        <v>9</v>
      </c>
    </row>
    <row r="924" spans="1:19" x14ac:dyDescent="0.25">
      <c r="A924" s="20" t="s">
        <v>24</v>
      </c>
      <c r="B924" s="13"/>
      <c r="C924" s="17">
        <v>5.9025742131080534</v>
      </c>
      <c r="D924" s="18">
        <v>0</v>
      </c>
      <c r="E924" s="18">
        <v>-36.702288471920056</v>
      </c>
      <c r="F924" s="18">
        <v>0</v>
      </c>
      <c r="G924" s="19">
        <v>5.7298087444406646E-15</v>
      </c>
      <c r="H924" s="6">
        <v>200</v>
      </c>
      <c r="I924" s="59" t="s">
        <v>70</v>
      </c>
      <c r="J924" s="60"/>
      <c r="K924" s="61"/>
      <c r="L924" s="25">
        <f>MAX(ABS(E927),ABS(E928))*1000/(B925*B922)</f>
        <v>0.79669668772654734</v>
      </c>
      <c r="M924" s="25">
        <f>L924-phiVc</f>
        <v>0.13418725383145169</v>
      </c>
      <c r="N924" s="26">
        <f>M924*O924*B922/(phiV*fys*0.25*PI()*(J922^2))</f>
        <v>0.24851275342199167</v>
      </c>
      <c r="O924" s="15">
        <v>100</v>
      </c>
    </row>
    <row r="925" spans="1:19" x14ac:dyDescent="0.25">
      <c r="A925" s="12" t="s">
        <v>26</v>
      </c>
      <c r="B925" s="49">
        <f>B923-clrCover-J922-(IF(M929&gt;1,1.5*J928,0.5*J928))</f>
        <v>340</v>
      </c>
      <c r="C925" s="64">
        <v>7.9192000569855737E-5</v>
      </c>
      <c r="D925" s="17">
        <v>-2.0734536263776104</v>
      </c>
      <c r="E925" s="18">
        <v>-49.449948690529304</v>
      </c>
      <c r="F925" s="18">
        <v>-1.716565959854137</v>
      </c>
      <c r="G925" s="19">
        <v>1.1691340114878432</v>
      </c>
      <c r="H925" s="6">
        <v>250</v>
      </c>
      <c r="I925" s="59" t="s">
        <v>71</v>
      </c>
      <c r="J925" s="60"/>
      <c r="K925" s="61"/>
      <c r="L925" s="25">
        <f>MAX(ABS(E927),ABS(E928))*1000/(B930*B922)</f>
        <v>0.79669668772654734</v>
      </c>
      <c r="M925" s="25">
        <f>L925-phiVc</f>
        <v>0.13418725383145169</v>
      </c>
      <c r="N925" s="26">
        <f>M925*O925*B922/(phiV*fys*0.25*PI()*(J922^2))</f>
        <v>0.24851275342199167</v>
      </c>
      <c r="O925" s="15">
        <v>100</v>
      </c>
    </row>
    <row r="926" spans="1:19" x14ac:dyDescent="0.25">
      <c r="A926" s="12" t="s">
        <v>27</v>
      </c>
      <c r="B926" s="50">
        <f>K929*R928</f>
        <v>1256</v>
      </c>
      <c r="C926" s="64">
        <v>-7.9182486052741297E-5</v>
      </c>
      <c r="D926" s="17">
        <v>2.0734536263481274</v>
      </c>
      <c r="E926" s="18">
        <v>-20.62845772115891</v>
      </c>
      <c r="F926" s="18">
        <v>1.9223367701548193</v>
      </c>
      <c r="G926" s="19">
        <v>-1.1691340113322712</v>
      </c>
      <c r="H926" s="6">
        <v>300</v>
      </c>
    </row>
    <row r="927" spans="1:19" x14ac:dyDescent="0.25">
      <c r="A927" s="12" t="s">
        <v>28</v>
      </c>
      <c r="B927" s="51">
        <f>-phi*B922*(B925^2)*J929*fy*(1-(0.588*J929*fy/fc))/1000000</f>
        <v>-141.45005779660801</v>
      </c>
      <c r="C927" s="64">
        <v>1.3790576485916969E-8</v>
      </c>
      <c r="D927" s="18">
        <v>-3.4643567659031751E-11</v>
      </c>
      <c r="E927" s="17">
        <v>-81.263062148107821</v>
      </c>
      <c r="F927" s="18">
        <v>3.0141112401847603</v>
      </c>
      <c r="G927" s="19">
        <v>-1.1691340113322712</v>
      </c>
      <c r="I927" s="90" t="s">
        <v>68</v>
      </c>
      <c r="J927" s="91"/>
      <c r="K927" s="94" t="s">
        <v>35</v>
      </c>
      <c r="L927" s="77" t="s">
        <v>36</v>
      </c>
      <c r="M927" s="96" t="s">
        <v>37</v>
      </c>
      <c r="N927" s="98" t="s">
        <v>38</v>
      </c>
      <c r="O927" s="96" t="s">
        <v>72</v>
      </c>
      <c r="Q927" s="34" t="s">
        <v>73</v>
      </c>
    </row>
    <row r="928" spans="1:19" x14ac:dyDescent="0.25">
      <c r="A928" s="23" t="s">
        <v>33</v>
      </c>
      <c r="B928" s="13"/>
      <c r="C928" s="64">
        <v>1.0334647465898886E-2</v>
      </c>
      <c r="D928" s="18">
        <v>-4.0926179989359389E-5</v>
      </c>
      <c r="E928" s="17">
        <v>68.907804692419077</v>
      </c>
      <c r="F928" s="18">
        <v>-127.81191617563753</v>
      </c>
      <c r="G928" s="19">
        <v>-6.3390593161845746E-5</v>
      </c>
      <c r="I928" s="14" t="s">
        <v>23</v>
      </c>
      <c r="J928" s="41">
        <v>20</v>
      </c>
      <c r="K928" s="95"/>
      <c r="L928" s="40" t="s">
        <v>9</v>
      </c>
      <c r="M928" s="97"/>
      <c r="N928" s="99"/>
      <c r="O928" s="97"/>
      <c r="Q928" s="14" t="s">
        <v>75</v>
      </c>
      <c r="R928" s="21">
        <f>IF(J928=16,201,IF(J928=20,314,IF(J928=25,490,"Err")))</f>
        <v>314</v>
      </c>
      <c r="S928" s="16" t="s">
        <v>25</v>
      </c>
    </row>
    <row r="929" spans="1:19" x14ac:dyDescent="0.25">
      <c r="A929" s="20" t="s">
        <v>39</v>
      </c>
      <c r="B929" s="13"/>
      <c r="C929" s="64">
        <v>1.0334647465898886E-2</v>
      </c>
      <c r="D929" s="18">
        <v>-4.0926179989359389E-5</v>
      </c>
      <c r="E929" s="18">
        <v>68.907804692419077</v>
      </c>
      <c r="F929" s="17">
        <v>-127.81191617563753</v>
      </c>
      <c r="G929" s="19">
        <v>-6.3390593161845746E-5</v>
      </c>
      <c r="I929" s="14" t="s">
        <v>40</v>
      </c>
      <c r="J929" s="24">
        <f>MAX(rhoMin,(K929*R928/(B922*B925)))</f>
        <v>1.2313725490196079E-2</v>
      </c>
      <c r="K929" s="15">
        <v>4</v>
      </c>
      <c r="L929" s="39">
        <f>IF(M929&lt;2,(B922-(2*(J922+clrCover))-(K929*J928))/(K929-1),(B922-(2*(J922+clrCover))-(N929*J928))/((N929)-1))</f>
        <v>40</v>
      </c>
      <c r="M929" s="15">
        <v>1</v>
      </c>
      <c r="N929" s="22">
        <f>IF(M929&lt;2,K929,CEILING(K929/2,1))</f>
        <v>4</v>
      </c>
      <c r="O929" s="22">
        <f>K929-N929</f>
        <v>0</v>
      </c>
      <c r="Q929" s="37" t="s">
        <v>74</v>
      </c>
      <c r="R929" s="38">
        <f>rhoMin*B922*B925</f>
        <v>336.6</v>
      </c>
      <c r="S929" s="22">
        <f>ROUNDUP(R929/R928,0)</f>
        <v>2</v>
      </c>
    </row>
    <row r="930" spans="1:19" x14ac:dyDescent="0.25">
      <c r="A930" s="12" t="s">
        <v>26</v>
      </c>
      <c r="B930" s="49">
        <f>B923-clrCover-J922-(IF(M932&gt;1,1.5*J931,0.5*J931))</f>
        <v>340</v>
      </c>
      <c r="C930" s="64">
        <v>1.3790576485916969E-8</v>
      </c>
      <c r="D930" s="18">
        <v>-3.4643567659031751E-11</v>
      </c>
      <c r="E930" s="18">
        <v>-16.274012818024854</v>
      </c>
      <c r="F930" s="17">
        <v>99.103083375802683</v>
      </c>
      <c r="G930" s="19">
        <v>1.2776626133081157E-10</v>
      </c>
      <c r="I930" s="90" t="s">
        <v>69</v>
      </c>
      <c r="J930" s="91"/>
      <c r="K930" s="96" t="s">
        <v>35</v>
      </c>
      <c r="L930" s="77" t="s">
        <v>36</v>
      </c>
      <c r="M930" s="96" t="s">
        <v>37</v>
      </c>
      <c r="N930" s="98" t="s">
        <v>38</v>
      </c>
      <c r="O930" s="96" t="s">
        <v>72</v>
      </c>
      <c r="R930" s="36"/>
    </row>
    <row r="931" spans="1:19" x14ac:dyDescent="0.25">
      <c r="A931" s="12" t="s">
        <v>27</v>
      </c>
      <c r="B931" s="50">
        <f>K932*R931</f>
        <v>942</v>
      </c>
      <c r="C931" s="64">
        <v>-7.9182486052741297E-5</v>
      </c>
      <c r="D931" s="18">
        <v>2.0734536263481274</v>
      </c>
      <c r="E931" s="18">
        <v>-20.62845772115891</v>
      </c>
      <c r="F931" s="18">
        <v>1.9223367701548193</v>
      </c>
      <c r="G931" s="17">
        <v>-1.1691340113322712</v>
      </c>
      <c r="I931" s="14" t="s">
        <v>23</v>
      </c>
      <c r="J931" s="41">
        <v>20</v>
      </c>
      <c r="K931" s="97"/>
      <c r="L931" s="40" t="s">
        <v>9</v>
      </c>
      <c r="M931" s="97"/>
      <c r="N931" s="99"/>
      <c r="O931" s="97"/>
      <c r="Q931" s="14" t="s">
        <v>75</v>
      </c>
      <c r="R931" s="21">
        <f>IF(J931=16,201,IF(J931=20,314,IF(J931=25,490,"Err")))</f>
        <v>314</v>
      </c>
      <c r="S931" s="16" t="s">
        <v>25</v>
      </c>
    </row>
    <row r="932" spans="1:19" x14ac:dyDescent="0.25">
      <c r="A932" s="27" t="s">
        <v>28</v>
      </c>
      <c r="B932" s="52">
        <f>phi*B922*(B930^2)*J932*fy*(1-(0.588*J932*fy/fc))/1000000</f>
        <v>109.399739510592</v>
      </c>
      <c r="C932" s="53">
        <v>7.9192000569855737E-5</v>
      </c>
      <c r="D932" s="28">
        <v>-2.0734536263776104</v>
      </c>
      <c r="E932" s="28">
        <v>-49.449948690529304</v>
      </c>
      <c r="F932" s="28">
        <v>-1.716565959854137</v>
      </c>
      <c r="G932" s="17">
        <v>1.1691340114878432</v>
      </c>
      <c r="I932" s="14" t="s">
        <v>40</v>
      </c>
      <c r="J932" s="24">
        <f>MAX(rhoMin,(K932*R931/(B922*B930)))</f>
        <v>9.2352941176470586E-3</v>
      </c>
      <c r="K932" s="15">
        <v>3</v>
      </c>
      <c r="L932" s="21">
        <f>IF(M932&lt;2,(B922-(2*(J922+clrCover))-(K932*J931))/(K932-1),(B922-(2*(J922+clrCover))-(N932*J931))/((N932)-1))</f>
        <v>70</v>
      </c>
      <c r="M932" s="15">
        <v>1</v>
      </c>
      <c r="N932" s="22">
        <f>IF(M932&lt;2,K932,CEILING(K932/2,1))</f>
        <v>3</v>
      </c>
      <c r="O932" s="22">
        <f>K932-N932</f>
        <v>0</v>
      </c>
      <c r="Q932" s="37" t="s">
        <v>74</v>
      </c>
      <c r="R932" s="38">
        <f>rhoMin*B922*B930</f>
        <v>336.6</v>
      </c>
      <c r="S932" s="22">
        <f>ROUNDUP(R932/R931,0)</f>
        <v>2</v>
      </c>
    </row>
    <row r="933" spans="1:19" x14ac:dyDescent="0.25">
      <c r="A933" s="65" t="s">
        <v>76</v>
      </c>
    </row>
    <row r="934" spans="1:19" x14ac:dyDescent="0.25">
      <c r="A934" s="69" t="s">
        <v>160</v>
      </c>
      <c r="B934" s="11" t="s">
        <v>11</v>
      </c>
      <c r="C934" s="10" t="s">
        <v>12</v>
      </c>
      <c r="D934" s="10" t="s">
        <v>13</v>
      </c>
      <c r="E934" s="10" t="s">
        <v>14</v>
      </c>
      <c r="F934" s="10" t="s">
        <v>15</v>
      </c>
      <c r="G934" s="11" t="s">
        <v>16</v>
      </c>
      <c r="H934" s="6">
        <v>125</v>
      </c>
      <c r="I934" s="90" t="s">
        <v>34</v>
      </c>
      <c r="J934" s="91"/>
      <c r="K934" s="71"/>
    </row>
    <row r="935" spans="1:19" x14ac:dyDescent="0.25">
      <c r="A935" s="12" t="s">
        <v>17</v>
      </c>
      <c r="B935" s="48">
        <v>300</v>
      </c>
      <c r="C935" s="44" t="s">
        <v>18</v>
      </c>
      <c r="D935" s="44" t="s">
        <v>18</v>
      </c>
      <c r="E935" s="44" t="s">
        <v>18</v>
      </c>
      <c r="F935" s="44" t="s">
        <v>19</v>
      </c>
      <c r="G935" s="45" t="s">
        <v>19</v>
      </c>
      <c r="H935" s="6">
        <v>150</v>
      </c>
      <c r="I935" s="14" t="s">
        <v>20</v>
      </c>
      <c r="J935" s="15">
        <v>10</v>
      </c>
      <c r="K935" s="16" t="s">
        <v>9</v>
      </c>
      <c r="L935" s="22" t="s">
        <v>29</v>
      </c>
      <c r="M935" s="22" t="s">
        <v>30</v>
      </c>
      <c r="N935" s="22" t="s">
        <v>31</v>
      </c>
      <c r="O935" s="22" t="s">
        <v>32</v>
      </c>
      <c r="P935" s="3"/>
    </row>
    <row r="936" spans="1:19" x14ac:dyDescent="0.25">
      <c r="A936" s="12" t="s">
        <v>22</v>
      </c>
      <c r="B936" s="48">
        <v>600</v>
      </c>
      <c r="C936" s="17">
        <v>0</v>
      </c>
      <c r="D936" s="63">
        <v>0</v>
      </c>
      <c r="E936" s="63">
        <v>0</v>
      </c>
      <c r="F936" s="63">
        <v>0</v>
      </c>
      <c r="G936" s="54">
        <v>0</v>
      </c>
      <c r="H936" s="6">
        <v>175</v>
      </c>
      <c r="I936" s="56"/>
      <c r="J936" s="57"/>
      <c r="K936" s="58"/>
      <c r="L936" s="92" t="s">
        <v>1</v>
      </c>
      <c r="M936" s="93"/>
      <c r="N936" s="22" t="s">
        <v>35</v>
      </c>
      <c r="O936" s="22" t="s">
        <v>9</v>
      </c>
    </row>
    <row r="937" spans="1:19" x14ac:dyDescent="0.25">
      <c r="A937" s="20" t="s">
        <v>24</v>
      </c>
      <c r="B937" s="13"/>
      <c r="C937" s="17">
        <v>0</v>
      </c>
      <c r="D937" s="18">
        <v>0</v>
      </c>
      <c r="E937" s="18">
        <v>0</v>
      </c>
      <c r="F937" s="18">
        <v>0</v>
      </c>
      <c r="G937" s="19">
        <v>0</v>
      </c>
      <c r="H937" s="6">
        <v>200</v>
      </c>
      <c r="I937" s="59" t="s">
        <v>70</v>
      </c>
      <c r="J937" s="60"/>
      <c r="K937" s="61"/>
      <c r="L937" s="25">
        <f>MAX(ABS(E940),ABS(E941))*1000/(B938*B935)</f>
        <v>0</v>
      </c>
      <c r="M937" s="25">
        <f>L937-phiVc</f>
        <v>-0.66250943389509565</v>
      </c>
      <c r="N937" s="26">
        <f>M937*O937*B935/(phiV*fys*0.25*PI()*(J935^2))</f>
        <v>-1.2269573963568607</v>
      </c>
      <c r="O937" s="15">
        <v>100</v>
      </c>
    </row>
    <row r="938" spans="1:19" x14ac:dyDescent="0.25">
      <c r="A938" s="12" t="s">
        <v>26</v>
      </c>
      <c r="B938" s="49">
        <f>B936-clrCover-J935-(IF(M942&gt;1,1.5*J941,0.5*J941))</f>
        <v>540</v>
      </c>
      <c r="C938" s="64">
        <v>0</v>
      </c>
      <c r="D938" s="17">
        <v>-147.19999999999999</v>
      </c>
      <c r="E938" s="18">
        <v>0</v>
      </c>
      <c r="F938" s="18">
        <v>0</v>
      </c>
      <c r="G938" s="19">
        <v>0</v>
      </c>
      <c r="H938" s="6">
        <v>250</v>
      </c>
      <c r="I938" s="59" t="s">
        <v>71</v>
      </c>
      <c r="J938" s="60"/>
      <c r="K938" s="61"/>
      <c r="L938" s="25">
        <f>MAX(ABS(E940),ABS(E941))*1000/(B943*B935)</f>
        <v>0</v>
      </c>
      <c r="M938" s="25">
        <f>L938-phiVc</f>
        <v>-0.66250943389509565</v>
      </c>
      <c r="N938" s="26">
        <f>M938*O938*B935/(phiV*fys*0.25*PI()*(J935^2))</f>
        <v>-1.2269573963568607</v>
      </c>
      <c r="O938" s="15">
        <v>100</v>
      </c>
    </row>
    <row r="939" spans="1:19" x14ac:dyDescent="0.25">
      <c r="A939" s="12" t="s">
        <v>27</v>
      </c>
      <c r="B939" s="50">
        <f>K942*R941</f>
        <v>942</v>
      </c>
      <c r="C939" s="64">
        <v>0</v>
      </c>
      <c r="D939" s="17">
        <v>0</v>
      </c>
      <c r="E939" s="18">
        <v>0</v>
      </c>
      <c r="F939" s="18">
        <v>0</v>
      </c>
      <c r="G939" s="19">
        <v>0</v>
      </c>
      <c r="H939" s="6">
        <v>300</v>
      </c>
    </row>
    <row r="940" spans="1:19" x14ac:dyDescent="0.25">
      <c r="A940" s="12" t="s">
        <v>28</v>
      </c>
      <c r="B940" s="51">
        <f>-phi*B935*(B938^2)*J942*fy*(1-(0.588*J942*fy/fc))/1000000</f>
        <v>-179.59757951059206</v>
      </c>
      <c r="C940" s="64">
        <v>0</v>
      </c>
      <c r="D940" s="18">
        <v>0</v>
      </c>
      <c r="E940" s="17">
        <v>0</v>
      </c>
      <c r="F940" s="18">
        <v>0</v>
      </c>
      <c r="G940" s="19">
        <v>0</v>
      </c>
      <c r="I940" s="90" t="s">
        <v>68</v>
      </c>
      <c r="J940" s="91"/>
      <c r="K940" s="94" t="s">
        <v>35</v>
      </c>
      <c r="L940" s="77" t="s">
        <v>36</v>
      </c>
      <c r="M940" s="96" t="s">
        <v>37</v>
      </c>
      <c r="N940" s="98" t="s">
        <v>38</v>
      </c>
      <c r="O940" s="96" t="s">
        <v>72</v>
      </c>
      <c r="Q940" s="34" t="s">
        <v>73</v>
      </c>
    </row>
    <row r="941" spans="1:19" x14ac:dyDescent="0.25">
      <c r="A941" s="23" t="s">
        <v>33</v>
      </c>
      <c r="B941" s="13"/>
      <c r="C941" s="64">
        <v>0</v>
      </c>
      <c r="D941" s="18">
        <v>0</v>
      </c>
      <c r="E941" s="17">
        <v>0</v>
      </c>
      <c r="F941" s="18">
        <v>0</v>
      </c>
      <c r="G941" s="19">
        <v>0</v>
      </c>
      <c r="I941" s="14" t="s">
        <v>23</v>
      </c>
      <c r="J941" s="41">
        <v>20</v>
      </c>
      <c r="K941" s="95"/>
      <c r="L941" s="40" t="s">
        <v>9</v>
      </c>
      <c r="M941" s="97"/>
      <c r="N941" s="99"/>
      <c r="O941" s="97"/>
      <c r="Q941" s="14" t="s">
        <v>75</v>
      </c>
      <c r="R941" s="21">
        <f>IF(J941=16,201,IF(J941=20,314,IF(J941=25,490,"Err")))</f>
        <v>314</v>
      </c>
      <c r="S941" s="16" t="s">
        <v>25</v>
      </c>
    </row>
    <row r="942" spans="1:19" x14ac:dyDescent="0.25">
      <c r="A942" s="20" t="s">
        <v>39</v>
      </c>
      <c r="B942" s="13"/>
      <c r="C942" s="64">
        <v>0</v>
      </c>
      <c r="D942" s="18">
        <v>0</v>
      </c>
      <c r="E942" s="18">
        <v>0</v>
      </c>
      <c r="F942" s="17">
        <v>-147.19999999999999</v>
      </c>
      <c r="G942" s="19">
        <v>0</v>
      </c>
      <c r="I942" s="14" t="s">
        <v>40</v>
      </c>
      <c r="J942" s="24">
        <f>MAX(rhoMin,(K942*R941/(B935*B938)))</f>
        <v>5.8148148148148152E-3</v>
      </c>
      <c r="K942" s="15">
        <v>3</v>
      </c>
      <c r="L942" s="39">
        <f>IF(M942&lt;2,(B935-(2*(J935+clrCover))-(K942*J941))/(K942-1),(B935-(2*(J935+clrCover))-(N942*J941))/((N942)-1))</f>
        <v>70</v>
      </c>
      <c r="M942" s="15">
        <v>1</v>
      </c>
      <c r="N942" s="22">
        <f>IF(M942&lt;2,K942,CEILING(K942/2,1))</f>
        <v>3</v>
      </c>
      <c r="O942" s="22">
        <f>K942-N942</f>
        <v>0</v>
      </c>
      <c r="Q942" s="37" t="s">
        <v>74</v>
      </c>
      <c r="R942" s="38">
        <f>rhoMin*B935*B938</f>
        <v>534.6</v>
      </c>
      <c r="S942" s="22">
        <f>ROUNDUP(R942/R941,0)</f>
        <v>2</v>
      </c>
    </row>
    <row r="943" spans="1:19" x14ac:dyDescent="0.25">
      <c r="A943" s="12" t="s">
        <v>26</v>
      </c>
      <c r="B943" s="49">
        <f>B936-clrCover-J935-(IF(M945&gt;1,1.5*J944,0.5*J944))</f>
        <v>542</v>
      </c>
      <c r="C943" s="64">
        <v>0</v>
      </c>
      <c r="D943" s="18">
        <v>0</v>
      </c>
      <c r="E943" s="18">
        <v>0</v>
      </c>
      <c r="F943" s="17">
        <v>0</v>
      </c>
      <c r="G943" s="19">
        <v>0</v>
      </c>
      <c r="I943" s="90" t="s">
        <v>69</v>
      </c>
      <c r="J943" s="91"/>
      <c r="K943" s="96" t="s">
        <v>35</v>
      </c>
      <c r="L943" s="77" t="s">
        <v>36</v>
      </c>
      <c r="M943" s="96" t="s">
        <v>37</v>
      </c>
      <c r="N943" s="98" t="s">
        <v>38</v>
      </c>
      <c r="O943" s="96" t="s">
        <v>72</v>
      </c>
      <c r="R943" s="36"/>
    </row>
    <row r="944" spans="1:19" x14ac:dyDescent="0.25">
      <c r="A944" s="12" t="s">
        <v>27</v>
      </c>
      <c r="B944" s="50">
        <f>K945*R944</f>
        <v>603</v>
      </c>
      <c r="C944" s="64">
        <v>0</v>
      </c>
      <c r="D944" s="18">
        <v>0</v>
      </c>
      <c r="E944" s="18">
        <v>0</v>
      </c>
      <c r="F944" s="18">
        <v>0</v>
      </c>
      <c r="G944" s="17">
        <v>0</v>
      </c>
      <c r="I944" s="14" t="s">
        <v>23</v>
      </c>
      <c r="J944" s="41">
        <v>16</v>
      </c>
      <c r="K944" s="97"/>
      <c r="L944" s="40" t="s">
        <v>9</v>
      </c>
      <c r="M944" s="97"/>
      <c r="N944" s="99"/>
      <c r="O944" s="97"/>
      <c r="Q944" s="14" t="s">
        <v>75</v>
      </c>
      <c r="R944" s="21">
        <f>IF(J944=16,201,IF(J944=20,314,IF(J944=25,490,"Err")))</f>
        <v>201</v>
      </c>
      <c r="S944" s="16" t="s">
        <v>25</v>
      </c>
    </row>
    <row r="945" spans="1:19" x14ac:dyDescent="0.25">
      <c r="A945" s="27" t="s">
        <v>28</v>
      </c>
      <c r="B945" s="52">
        <f>phi*B935*(B943^2)*J945*fy*(1-(0.588*J945*fy/fc))/1000000</f>
        <v>117.70372055995198</v>
      </c>
      <c r="C945" s="53">
        <v>0</v>
      </c>
      <c r="D945" s="28">
        <v>0</v>
      </c>
      <c r="E945" s="28">
        <v>0</v>
      </c>
      <c r="F945" s="28">
        <v>0</v>
      </c>
      <c r="G945" s="17">
        <v>0</v>
      </c>
      <c r="I945" s="14" t="s">
        <v>40</v>
      </c>
      <c r="J945" s="24">
        <f>MAX(rhoMin,(K945*R944/(B935*B943)))</f>
        <v>3.7084870848708485E-3</v>
      </c>
      <c r="K945" s="15">
        <v>3</v>
      </c>
      <c r="L945" s="21">
        <f>IF(M945&lt;2,(B935-(2*(J935+clrCover))-(K945*J944))/(K945-1),(B935-(2*(J935+clrCover))-(N945*J944))/((N945)-1))</f>
        <v>76</v>
      </c>
      <c r="M945" s="15">
        <v>1</v>
      </c>
      <c r="N945" s="22">
        <f>IF(M945&lt;2,K945,CEILING(K945/2,1))</f>
        <v>3</v>
      </c>
      <c r="O945" s="22">
        <f>K945-N945</f>
        <v>0</v>
      </c>
      <c r="Q945" s="37" t="s">
        <v>74</v>
      </c>
      <c r="R945" s="38">
        <f>rhoMin*B935*B943</f>
        <v>536.58000000000004</v>
      </c>
      <c r="S945" s="22">
        <f>ROUNDUP(R945/R944,0)</f>
        <v>3</v>
      </c>
    </row>
    <row r="946" spans="1:19" x14ac:dyDescent="0.25">
      <c r="A946" s="65" t="s">
        <v>76</v>
      </c>
    </row>
    <row r="947" spans="1:19" x14ac:dyDescent="0.25">
      <c r="A947" s="69" t="s">
        <v>161</v>
      </c>
      <c r="B947" s="11" t="s">
        <v>11</v>
      </c>
      <c r="C947" s="10" t="s">
        <v>12</v>
      </c>
      <c r="D947" s="10" t="s">
        <v>13</v>
      </c>
      <c r="E947" s="10" t="s">
        <v>14</v>
      </c>
      <c r="F947" s="10" t="s">
        <v>15</v>
      </c>
      <c r="G947" s="11" t="s">
        <v>16</v>
      </c>
      <c r="H947" s="6">
        <v>125</v>
      </c>
      <c r="I947" s="90" t="s">
        <v>34</v>
      </c>
      <c r="J947" s="91"/>
      <c r="K947" s="71"/>
    </row>
    <row r="948" spans="1:19" x14ac:dyDescent="0.25">
      <c r="A948" s="12" t="s">
        <v>17</v>
      </c>
      <c r="B948" s="48">
        <v>200</v>
      </c>
      <c r="C948" s="44" t="s">
        <v>18</v>
      </c>
      <c r="D948" s="44" t="s">
        <v>18</v>
      </c>
      <c r="E948" s="44" t="s">
        <v>18</v>
      </c>
      <c r="F948" s="44" t="s">
        <v>19</v>
      </c>
      <c r="G948" s="45" t="s">
        <v>19</v>
      </c>
      <c r="H948" s="6">
        <v>150</v>
      </c>
      <c r="I948" s="14" t="s">
        <v>20</v>
      </c>
      <c r="J948" s="15">
        <v>10</v>
      </c>
      <c r="K948" s="16" t="s">
        <v>9</v>
      </c>
      <c r="L948" s="22" t="s">
        <v>29</v>
      </c>
      <c r="M948" s="22" t="s">
        <v>30</v>
      </c>
      <c r="N948" s="22" t="s">
        <v>31</v>
      </c>
      <c r="O948" s="22" t="s">
        <v>32</v>
      </c>
      <c r="P948" s="3"/>
    </row>
    <row r="949" spans="1:19" x14ac:dyDescent="0.25">
      <c r="A949" s="12" t="s">
        <v>22</v>
      </c>
      <c r="B949" s="48">
        <v>600</v>
      </c>
      <c r="C949" s="17">
        <v>-24.098770201069936</v>
      </c>
      <c r="D949" s="63">
        <v>-14.004992401031455</v>
      </c>
      <c r="E949" s="63">
        <v>0</v>
      </c>
      <c r="F949" s="63">
        <v>293.74315556170205</v>
      </c>
      <c r="G949" s="54">
        <v>0</v>
      </c>
      <c r="H949" s="6">
        <v>175</v>
      </c>
      <c r="I949" s="56"/>
      <c r="J949" s="57"/>
      <c r="K949" s="58"/>
      <c r="L949" s="92" t="s">
        <v>1</v>
      </c>
      <c r="M949" s="93"/>
      <c r="N949" s="22" t="s">
        <v>35</v>
      </c>
      <c r="O949" s="22" t="s">
        <v>9</v>
      </c>
    </row>
    <row r="950" spans="1:19" x14ac:dyDescent="0.25">
      <c r="A950" s="20" t="s">
        <v>24</v>
      </c>
      <c r="B950" s="13"/>
      <c r="C950" s="17">
        <v>24.622962183291875</v>
      </c>
      <c r="D950" s="18">
        <v>0</v>
      </c>
      <c r="E950" s="18">
        <v>233.27861425352049</v>
      </c>
      <c r="F950" s="18">
        <v>0</v>
      </c>
      <c r="G950" s="19">
        <v>2.9400837320281422E-14</v>
      </c>
      <c r="H950" s="6">
        <v>200</v>
      </c>
      <c r="I950" s="59" t="s">
        <v>70</v>
      </c>
      <c r="J950" s="60"/>
      <c r="K950" s="61"/>
      <c r="L950" s="25">
        <f>MAX(ABS(E953),ABS(E954))*1000/(B951*B948)</f>
        <v>2.5727780483455591</v>
      </c>
      <c r="M950" s="25">
        <f>L950-phiVc</f>
        <v>1.9102686144504635</v>
      </c>
      <c r="N950" s="26">
        <f>M950*O950*B948/(phiV*fys*0.25*PI()*(J948^2))</f>
        <v>2.3585256155003909</v>
      </c>
      <c r="O950" s="15">
        <v>100</v>
      </c>
    </row>
    <row r="951" spans="1:19" x14ac:dyDescent="0.25">
      <c r="A951" s="12" t="s">
        <v>26</v>
      </c>
      <c r="B951" s="49">
        <f>B949-clrCover-J948-(IF(M955&gt;1,1.5*J954,0.5*J954))</f>
        <v>512.5</v>
      </c>
      <c r="C951" s="64">
        <v>-5.1217501675862422</v>
      </c>
      <c r="D951" s="17">
        <v>-28.677170483482374</v>
      </c>
      <c r="E951" s="18">
        <v>179.86754088490503</v>
      </c>
      <c r="F951" s="18">
        <v>-1.0150085927307372E-11</v>
      </c>
      <c r="G951" s="19">
        <v>1.3890399941374198E-13</v>
      </c>
      <c r="H951" s="6">
        <v>250</v>
      </c>
      <c r="I951" s="59" t="s">
        <v>71</v>
      </c>
      <c r="J951" s="60"/>
      <c r="K951" s="61"/>
      <c r="L951" s="25">
        <f>MAX(ABS(E953),ABS(E954))*1000/(B956*B948)</f>
        <v>2.5727780483455591</v>
      </c>
      <c r="M951" s="25">
        <f>L951-phiVc</f>
        <v>1.9102686144504635</v>
      </c>
      <c r="N951" s="26">
        <f>M951*O951*B948/(phiV*fys*0.25*PI()*(J948^2))</f>
        <v>2.3585256155003909</v>
      </c>
      <c r="O951" s="15">
        <v>100</v>
      </c>
    </row>
    <row r="952" spans="1:19" x14ac:dyDescent="0.25">
      <c r="A952" s="12" t="s">
        <v>27</v>
      </c>
      <c r="B952" s="50">
        <f>K955*R954</f>
        <v>1960</v>
      </c>
      <c r="C952" s="64">
        <v>5.6459421498081888</v>
      </c>
      <c r="D952" s="17">
        <v>27.098977174665393</v>
      </c>
      <c r="E952" s="18">
        <v>-193.98195489177255</v>
      </c>
      <c r="F952" s="18">
        <v>-4.6558739086322019E-12</v>
      </c>
      <c r="G952" s="19">
        <v>-1.3630376827222788E-13</v>
      </c>
      <c r="H952" s="6">
        <v>300</v>
      </c>
    </row>
    <row r="953" spans="1:19" x14ac:dyDescent="0.25">
      <c r="A953" s="12" t="s">
        <v>28</v>
      </c>
      <c r="B953" s="51">
        <f>-phi*B948*(B951^2)*J955*fy*(1-(0.588*J955*fy/fc))/1000000</f>
        <v>-309.7500823872</v>
      </c>
      <c r="C953" s="64">
        <v>11.08054502812235</v>
      </c>
      <c r="D953" s="18">
        <v>-8.7437646763201187</v>
      </c>
      <c r="E953" s="17">
        <v>-263.7097499554198</v>
      </c>
      <c r="F953" s="18">
        <v>-1.6432335314675586E-11</v>
      </c>
      <c r="G953" s="19">
        <v>2.8100544113840438E-13</v>
      </c>
      <c r="I953" s="90" t="s">
        <v>68</v>
      </c>
      <c r="J953" s="91"/>
      <c r="K953" s="94" t="s">
        <v>35</v>
      </c>
      <c r="L953" s="78" t="s">
        <v>36</v>
      </c>
      <c r="M953" s="96" t="s">
        <v>37</v>
      </c>
      <c r="N953" s="98" t="s">
        <v>38</v>
      </c>
      <c r="O953" s="96" t="s">
        <v>72</v>
      </c>
      <c r="Q953" s="34" t="s">
        <v>73</v>
      </c>
    </row>
    <row r="954" spans="1:19" x14ac:dyDescent="0.25">
      <c r="A954" s="23" t="s">
        <v>33</v>
      </c>
      <c r="B954" s="13"/>
      <c r="C954" s="64">
        <v>-6.3257383842507338</v>
      </c>
      <c r="D954" s="18">
        <v>8.2344445895186809</v>
      </c>
      <c r="E954" s="17">
        <v>256.95693360379033</v>
      </c>
      <c r="F954" s="18">
        <v>-299.71831291550393</v>
      </c>
      <c r="G954" s="19">
        <v>9.8823811246616646</v>
      </c>
      <c r="I954" s="14" t="s">
        <v>23</v>
      </c>
      <c r="J954" s="41">
        <v>25</v>
      </c>
      <c r="K954" s="95"/>
      <c r="L954" s="40" t="s">
        <v>9</v>
      </c>
      <c r="M954" s="97"/>
      <c r="N954" s="99"/>
      <c r="O954" s="97"/>
      <c r="Q954" s="14" t="s">
        <v>75</v>
      </c>
      <c r="R954" s="21">
        <f>IF(J954=16,201,IF(J954=20,314,IF(J954=25,490,"Err")))</f>
        <v>490</v>
      </c>
      <c r="S954" s="16" t="s">
        <v>25</v>
      </c>
    </row>
    <row r="955" spans="1:19" x14ac:dyDescent="0.25">
      <c r="A955" s="20" t="s">
        <v>39</v>
      </c>
      <c r="B955" s="13"/>
      <c r="C955" s="64">
        <v>-7.3875017869972233</v>
      </c>
      <c r="D955" s="18">
        <v>8.3268266583888391</v>
      </c>
      <c r="E955" s="18">
        <v>255.8907329440251</v>
      </c>
      <c r="F955" s="17">
        <v>-303.07280830979886</v>
      </c>
      <c r="G955" s="19">
        <v>9.9932513605026756</v>
      </c>
      <c r="I955" s="14" t="s">
        <v>40</v>
      </c>
      <c r="J955" s="24">
        <f>MAX(rhoMin,(K955*R954/(B948*B951)))</f>
        <v>1.9121951219512195E-2</v>
      </c>
      <c r="K955" s="15">
        <v>4</v>
      </c>
      <c r="L955" s="39">
        <f>IF(M955&lt;2,(B948-(2*(J948+clrCover))-(K955*J954))/(K955-1),(B948-(2*(J948+clrCover))-(N955*J954))/((N955)-1))</f>
        <v>50</v>
      </c>
      <c r="M955" s="15">
        <v>2</v>
      </c>
      <c r="N955" s="22">
        <f>IF(M955&lt;2,K955,CEILING(K955/2,1))</f>
        <v>2</v>
      </c>
      <c r="O955" s="22">
        <f>K955-N955</f>
        <v>2</v>
      </c>
      <c r="Q955" s="37" t="s">
        <v>74</v>
      </c>
      <c r="R955" s="38">
        <f>rhoMin*B948*B951</f>
        <v>338.25</v>
      </c>
      <c r="S955" s="22">
        <f>ROUNDUP(R955/R954,0)</f>
        <v>1</v>
      </c>
    </row>
    <row r="956" spans="1:19" x14ac:dyDescent="0.25">
      <c r="A956" s="12" t="s">
        <v>26</v>
      </c>
      <c r="B956" s="49">
        <f>B949-clrCover-J948-(IF(M958&gt;1,1.5*J957,0.5*J957))</f>
        <v>512.5</v>
      </c>
      <c r="C956" s="64">
        <v>11.080545028122332</v>
      </c>
      <c r="D956" s="18">
        <v>-8.7437646763201187</v>
      </c>
      <c r="E956" s="18">
        <v>-251.73091533038462</v>
      </c>
      <c r="F956" s="17">
        <v>310.77182300097667</v>
      </c>
      <c r="G956" s="19">
        <v>-10.493630026454561</v>
      </c>
      <c r="I956" s="90" t="s">
        <v>69</v>
      </c>
      <c r="J956" s="91"/>
      <c r="K956" s="96" t="s">
        <v>35</v>
      </c>
      <c r="L956" s="78" t="s">
        <v>36</v>
      </c>
      <c r="M956" s="96" t="s">
        <v>37</v>
      </c>
      <c r="N956" s="98" t="s">
        <v>38</v>
      </c>
      <c r="O956" s="96" t="s">
        <v>72</v>
      </c>
      <c r="R956" s="36"/>
    </row>
    <row r="957" spans="1:19" x14ac:dyDescent="0.25">
      <c r="A957" s="12" t="s">
        <v>27</v>
      </c>
      <c r="B957" s="50">
        <f>K958*R957</f>
        <v>1960</v>
      </c>
      <c r="C957" s="64">
        <v>-5.1217501675862582</v>
      </c>
      <c r="D957" s="18">
        <v>-28.677170483482374</v>
      </c>
      <c r="E957" s="18">
        <v>190.61403537376219</v>
      </c>
      <c r="F957" s="18">
        <v>-221.41488587290053</v>
      </c>
      <c r="G957" s="17">
        <v>-34.418697710819607</v>
      </c>
      <c r="I957" s="14" t="s">
        <v>23</v>
      </c>
      <c r="J957" s="41">
        <v>25</v>
      </c>
      <c r="K957" s="97"/>
      <c r="L957" s="40" t="s">
        <v>9</v>
      </c>
      <c r="M957" s="97"/>
      <c r="N957" s="99"/>
      <c r="O957" s="97"/>
      <c r="Q957" s="14" t="s">
        <v>75</v>
      </c>
      <c r="R957" s="21">
        <f>IF(J957=16,201,IF(J957=20,314,IF(J957=25,490,"Err")))</f>
        <v>490</v>
      </c>
      <c r="S957" s="16" t="s">
        <v>25</v>
      </c>
    </row>
    <row r="958" spans="1:19" x14ac:dyDescent="0.25">
      <c r="A958" s="27" t="s">
        <v>28</v>
      </c>
      <c r="B958" s="52">
        <f>phi*B948*(B956^2)*J958*fy*(1-(0.588*J958*fy/fc))/1000000</f>
        <v>309.7500823872</v>
      </c>
      <c r="C958" s="53">
        <v>5.6459421498081799</v>
      </c>
      <c r="D958" s="28">
        <v>27.098977174665393</v>
      </c>
      <c r="E958" s="28">
        <v>-188.01817288344407</v>
      </c>
      <c r="F958" s="28">
        <v>229.63851909683069</v>
      </c>
      <c r="G958" s="17">
        <v>32.524530416431297</v>
      </c>
      <c r="I958" s="14" t="s">
        <v>40</v>
      </c>
      <c r="J958" s="24">
        <f>MAX(rhoMin,(K958*R957/(B948*B956)))</f>
        <v>1.9121951219512195E-2</v>
      </c>
      <c r="K958" s="15">
        <v>4</v>
      </c>
      <c r="L958" s="21">
        <f>IF(M958&lt;2,(B948-(2*(J948+clrCover))-(K958*J957))/(K958-1),(B948-(2*(J948+clrCover))-(N958*J957))/((N958)-1))</f>
        <v>50</v>
      </c>
      <c r="M958" s="15">
        <v>2</v>
      </c>
      <c r="N958" s="22">
        <f>IF(M958&lt;2,K958,CEILING(K958/2,1))</f>
        <v>2</v>
      </c>
      <c r="O958" s="22">
        <f>K958-N958</f>
        <v>2</v>
      </c>
      <c r="Q958" s="37" t="s">
        <v>74</v>
      </c>
      <c r="R958" s="38">
        <f>rhoMin*B948*B956</f>
        <v>338.25</v>
      </c>
      <c r="S958" s="22">
        <f>ROUNDUP(R958/R957,0)</f>
        <v>1</v>
      </c>
    </row>
    <row r="959" spans="1:19" x14ac:dyDescent="0.25">
      <c r="A959" s="65" t="s">
        <v>76</v>
      </c>
    </row>
    <row r="960" spans="1:19" x14ac:dyDescent="0.25">
      <c r="A960" s="69" t="s">
        <v>162</v>
      </c>
      <c r="B960" s="11" t="s">
        <v>11</v>
      </c>
      <c r="C960" s="10" t="s">
        <v>12</v>
      </c>
      <c r="D960" s="10" t="s">
        <v>13</v>
      </c>
      <c r="E960" s="10" t="s">
        <v>14</v>
      </c>
      <c r="F960" s="10" t="s">
        <v>15</v>
      </c>
      <c r="G960" s="11" t="s">
        <v>16</v>
      </c>
      <c r="H960" s="6">
        <v>125</v>
      </c>
      <c r="I960" s="90" t="s">
        <v>34</v>
      </c>
      <c r="J960" s="91"/>
      <c r="K960" s="71"/>
    </row>
    <row r="961" spans="1:19" x14ac:dyDescent="0.25">
      <c r="A961" s="12" t="s">
        <v>17</v>
      </c>
      <c r="B961" s="48">
        <v>200</v>
      </c>
      <c r="C961" s="44" t="s">
        <v>18</v>
      </c>
      <c r="D961" s="44" t="s">
        <v>18</v>
      </c>
      <c r="E961" s="44" t="s">
        <v>18</v>
      </c>
      <c r="F961" s="44" t="s">
        <v>19</v>
      </c>
      <c r="G961" s="45" t="s">
        <v>19</v>
      </c>
      <c r="H961" s="6">
        <v>150</v>
      </c>
      <c r="I961" s="14" t="s">
        <v>20</v>
      </c>
      <c r="J961" s="15">
        <v>10</v>
      </c>
      <c r="K961" s="16" t="s">
        <v>9</v>
      </c>
      <c r="L961" s="22" t="s">
        <v>29</v>
      </c>
      <c r="M961" s="22" t="s">
        <v>30</v>
      </c>
      <c r="N961" s="22" t="s">
        <v>31</v>
      </c>
      <c r="O961" s="22" t="s">
        <v>32</v>
      </c>
      <c r="P961" s="3"/>
    </row>
    <row r="962" spans="1:19" x14ac:dyDescent="0.25">
      <c r="A962" s="12" t="s">
        <v>22</v>
      </c>
      <c r="B962" s="48">
        <v>600</v>
      </c>
      <c r="C962" s="17">
        <v>-3.1599506424444375E-2</v>
      </c>
      <c r="D962" s="63">
        <v>9.7596885607811144E-5</v>
      </c>
      <c r="E962" s="63">
        <v>0</v>
      </c>
      <c r="F962" s="63">
        <v>-206.0186293507947</v>
      </c>
      <c r="G962" s="54">
        <v>0</v>
      </c>
      <c r="H962" s="6">
        <v>175</v>
      </c>
      <c r="I962" s="56"/>
      <c r="J962" s="57"/>
      <c r="K962" s="58"/>
      <c r="L962" s="92" t="s">
        <v>1</v>
      </c>
      <c r="M962" s="93"/>
      <c r="N962" s="22" t="s">
        <v>35</v>
      </c>
      <c r="O962" s="22" t="s">
        <v>9</v>
      </c>
    </row>
    <row r="963" spans="1:19" x14ac:dyDescent="0.25">
      <c r="A963" s="20" t="s">
        <v>24</v>
      </c>
      <c r="B963" s="13"/>
      <c r="C963" s="17">
        <v>3.178738733569049E-2</v>
      </c>
      <c r="D963" s="18">
        <v>0</v>
      </c>
      <c r="E963" s="18">
        <v>121.36182956895426</v>
      </c>
      <c r="F963" s="18">
        <v>0</v>
      </c>
      <c r="G963" s="19">
        <v>2.420037503725325E-13</v>
      </c>
      <c r="H963" s="6">
        <v>200</v>
      </c>
      <c r="I963" s="59" t="s">
        <v>70</v>
      </c>
      <c r="J963" s="60"/>
      <c r="K963" s="61"/>
      <c r="L963" s="25">
        <f>MAX(ABS(E966),ABS(E967))*1000/(B964*B961)</f>
        <v>1.230302411309449</v>
      </c>
      <c r="M963" s="25">
        <f>L963-phiVc</f>
        <v>0.56779297741435331</v>
      </c>
      <c r="N963" s="26">
        <f>M963*O963*B961/(phiV*fys*0.25*PI()*(J961^2))</f>
        <v>0.70102930624666537</v>
      </c>
      <c r="O963" s="15">
        <v>100</v>
      </c>
    </row>
    <row r="964" spans="1:19" x14ac:dyDescent="0.25">
      <c r="A964" s="12" t="s">
        <v>26</v>
      </c>
      <c r="B964" s="49">
        <f>B962-clrCover-J961-(IF(M968&gt;1,1.5*J967,0.5*J967))</f>
        <v>520</v>
      </c>
      <c r="C964" s="64">
        <v>7.7497290614023248E-4</v>
      </c>
      <c r="D964" s="17">
        <v>-3.5867882643913482</v>
      </c>
      <c r="E964" s="18">
        <v>-10.671863278096632</v>
      </c>
      <c r="F964" s="18">
        <v>11.739915785123221</v>
      </c>
      <c r="G964" s="19">
        <v>1.6485580971477201</v>
      </c>
      <c r="H964" s="6">
        <v>250</v>
      </c>
      <c r="I964" s="59" t="s">
        <v>71</v>
      </c>
      <c r="J964" s="60"/>
      <c r="K964" s="61"/>
      <c r="L964" s="25">
        <f>MAX(ABS(E966),ABS(E967))*1000/(B969*B961)</f>
        <v>1.230302411309449</v>
      </c>
      <c r="M964" s="25">
        <f>L964-phiVc</f>
        <v>0.56779297741435331</v>
      </c>
      <c r="N964" s="26">
        <f>M964*O964*B961/(phiV*fys*0.25*PI()*(J961^2))</f>
        <v>0.70102930624666537</v>
      </c>
      <c r="O964" s="15">
        <v>100</v>
      </c>
    </row>
    <row r="965" spans="1:19" x14ac:dyDescent="0.25">
      <c r="A965" s="12" t="s">
        <v>27</v>
      </c>
      <c r="B965" s="50">
        <f>K968*R967</f>
        <v>1256</v>
      </c>
      <c r="C965" s="64">
        <v>-5.8543455006148672E-4</v>
      </c>
      <c r="D965" s="17">
        <v>3.5867876041566591</v>
      </c>
      <c r="E965" s="18">
        <v>-25.342078817830782</v>
      </c>
      <c r="F965" s="18">
        <v>-6.3539680346804328</v>
      </c>
      <c r="G965" s="19">
        <v>-1.6485567658567579</v>
      </c>
      <c r="H965" s="6">
        <v>300</v>
      </c>
    </row>
    <row r="966" spans="1:19" x14ac:dyDescent="0.25">
      <c r="A966" s="12" t="s">
        <v>28</v>
      </c>
      <c r="B966" s="51">
        <f>-phi*B961*(B964^2)*J968*fy*(1-(0.588*J968*fy/fc))/1000000</f>
        <v>-216.85494269491198</v>
      </c>
      <c r="C966" s="64">
        <v>-3.1599506424444375E-2</v>
      </c>
      <c r="D966" s="18">
        <v>9.7596885607811144E-5</v>
      </c>
      <c r="E966" s="17">
        <v>-124.27771825219743</v>
      </c>
      <c r="F966" s="18">
        <v>-206.0186293507947</v>
      </c>
      <c r="G966" s="19">
        <v>-1.9679343404000105E-4</v>
      </c>
      <c r="I966" s="90" t="s">
        <v>68</v>
      </c>
      <c r="J966" s="91"/>
      <c r="K966" s="94" t="s">
        <v>35</v>
      </c>
      <c r="L966" s="78" t="s">
        <v>36</v>
      </c>
      <c r="M966" s="96" t="s">
        <v>37</v>
      </c>
      <c r="N966" s="98" t="s">
        <v>38</v>
      </c>
      <c r="O966" s="96" t="s">
        <v>72</v>
      </c>
      <c r="Q966" s="34" t="s">
        <v>73</v>
      </c>
    </row>
    <row r="967" spans="1:19" x14ac:dyDescent="0.25">
      <c r="A967" s="23" t="s">
        <v>33</v>
      </c>
      <c r="B967" s="13"/>
      <c r="C967" s="64">
        <v>3.1681777466795583E-2</v>
      </c>
      <c r="D967" s="18">
        <v>-9.8290988740598099E-5</v>
      </c>
      <c r="E967" s="17">
        <v>127.95145077618268</v>
      </c>
      <c r="F967" s="18">
        <v>-7.6977357821306218E-14</v>
      </c>
      <c r="G967" s="19">
        <v>2.4311290758305404E-13</v>
      </c>
      <c r="I967" s="14" t="s">
        <v>23</v>
      </c>
      <c r="J967" s="41">
        <v>20</v>
      </c>
      <c r="K967" s="95"/>
      <c r="L967" s="40" t="s">
        <v>9</v>
      </c>
      <c r="M967" s="97"/>
      <c r="N967" s="99"/>
      <c r="O967" s="97"/>
      <c r="Q967" s="14" t="s">
        <v>75</v>
      </c>
      <c r="R967" s="21">
        <f>IF(J967=16,201,IF(J967=20,314,IF(J967=25,490,"Err")))</f>
        <v>314</v>
      </c>
      <c r="S967" s="16" t="s">
        <v>25</v>
      </c>
    </row>
    <row r="968" spans="1:19" x14ac:dyDescent="0.25">
      <c r="A968" s="20" t="s">
        <v>39</v>
      </c>
      <c r="B968" s="13"/>
      <c r="C968" s="64">
        <v>-3.149389655553974E-2</v>
      </c>
      <c r="D968" s="18">
        <v>9.7612460543356855E-5</v>
      </c>
      <c r="E968" s="18">
        <v>-119.8144749561768</v>
      </c>
      <c r="F968" s="17">
        <v>-208.16243346962892</v>
      </c>
      <c r="G968" s="19">
        <v>-1.9682483919331527E-4</v>
      </c>
      <c r="I968" s="14" t="s">
        <v>40</v>
      </c>
      <c r="J968" s="24">
        <f>MAX(rhoMin,(K968*R967/(B961*B964)))</f>
        <v>1.2076923076923077E-2</v>
      </c>
      <c r="K968" s="15">
        <v>4</v>
      </c>
      <c r="L968" s="39">
        <f>IF(M968&lt;2,(B961-(2*(J961+clrCover))-(K968*J967))/(K968-1),(B961-(2*(J961+clrCover))-(N968*J967))/((N968)-1))</f>
        <v>60</v>
      </c>
      <c r="M968" s="15">
        <v>2</v>
      </c>
      <c r="N968" s="22">
        <f>IF(M968&lt;2,K968,CEILING(K968/2,1))</f>
        <v>2</v>
      </c>
      <c r="O968" s="22">
        <f>K968-N968</f>
        <v>2</v>
      </c>
      <c r="Q968" s="37" t="s">
        <v>74</v>
      </c>
      <c r="R968" s="38">
        <f>rhoMin*B961*B964</f>
        <v>343.2</v>
      </c>
      <c r="S968" s="22">
        <f>ROUNDUP(R968/R967,0)</f>
        <v>2</v>
      </c>
    </row>
    <row r="969" spans="1:19" x14ac:dyDescent="0.25">
      <c r="A969" s="12" t="s">
        <v>26</v>
      </c>
      <c r="B969" s="49">
        <f>B962-clrCover-J961-(IF(M971&gt;1,1.5*J970,0.5*J970))</f>
        <v>520</v>
      </c>
      <c r="C969" s="64">
        <v>3.1681777466756635E-2</v>
      </c>
      <c r="D969" s="18">
        <v>-9.8290988740598099E-5</v>
      </c>
      <c r="E969" s="18">
        <v>83.739992763186393</v>
      </c>
      <c r="F969" s="17">
        <v>213.42630874296955</v>
      </c>
      <c r="G969" s="19">
        <v>1.9819301701189224E-4</v>
      </c>
      <c r="I969" s="90" t="s">
        <v>69</v>
      </c>
      <c r="J969" s="91"/>
      <c r="K969" s="96" t="s">
        <v>35</v>
      </c>
      <c r="L969" s="78" t="s">
        <v>36</v>
      </c>
      <c r="M969" s="96" t="s">
        <v>37</v>
      </c>
      <c r="N969" s="98" t="s">
        <v>38</v>
      </c>
      <c r="O969" s="96" t="s">
        <v>72</v>
      </c>
      <c r="R969" s="36"/>
    </row>
    <row r="970" spans="1:19" x14ac:dyDescent="0.25">
      <c r="A970" s="12" t="s">
        <v>27</v>
      </c>
      <c r="B970" s="50">
        <f>K971*R970</f>
        <v>1256</v>
      </c>
      <c r="C970" s="64">
        <v>-5.8543455006148672E-4</v>
      </c>
      <c r="D970" s="18">
        <v>3.5867876041566591</v>
      </c>
      <c r="E970" s="18">
        <v>-25.342078817830782</v>
      </c>
      <c r="F970" s="18">
        <v>-6.3539680346804328</v>
      </c>
      <c r="G970" s="17">
        <v>-1.6485567658567579</v>
      </c>
      <c r="I970" s="14" t="s">
        <v>23</v>
      </c>
      <c r="J970" s="41">
        <v>20</v>
      </c>
      <c r="K970" s="97"/>
      <c r="L970" s="40" t="s">
        <v>9</v>
      </c>
      <c r="M970" s="97"/>
      <c r="N970" s="99"/>
      <c r="O970" s="97"/>
      <c r="Q970" s="14" t="s">
        <v>75</v>
      </c>
      <c r="R970" s="21">
        <f>IF(J970=16,201,IF(J970=20,314,IF(J970=25,490,"Err")))</f>
        <v>314</v>
      </c>
      <c r="S970" s="16" t="s">
        <v>25</v>
      </c>
    </row>
    <row r="971" spans="1:19" x14ac:dyDescent="0.25">
      <c r="A971" s="27" t="s">
        <v>28</v>
      </c>
      <c r="B971" s="52">
        <f>phi*B961*(B969^2)*J971*fy*(1-(0.588*J971*fy/fc))/1000000</f>
        <v>216.85494269491198</v>
      </c>
      <c r="C971" s="53">
        <v>7.7497290614023248E-4</v>
      </c>
      <c r="D971" s="28">
        <v>-3.5867882643913482</v>
      </c>
      <c r="E971" s="28">
        <v>-10.671863278096632</v>
      </c>
      <c r="F971" s="28">
        <v>11.739915785123221</v>
      </c>
      <c r="G971" s="17">
        <v>1.6485580971477201</v>
      </c>
      <c r="I971" s="14" t="s">
        <v>40</v>
      </c>
      <c r="J971" s="24">
        <f>MAX(rhoMin,(K971*R970/(B961*B969)))</f>
        <v>1.2076923076923077E-2</v>
      </c>
      <c r="K971" s="15">
        <v>4</v>
      </c>
      <c r="L971" s="21">
        <f>IF(M971&lt;2,(B961-(2*(J961+clrCover))-(K971*J970))/(K971-1),(B961-(2*(J961+clrCover))-(N971*J970))/((N971)-1))</f>
        <v>60</v>
      </c>
      <c r="M971" s="15">
        <v>2</v>
      </c>
      <c r="N971" s="22">
        <f>IF(M971&lt;2,K971,CEILING(K971/2,1))</f>
        <v>2</v>
      </c>
      <c r="O971" s="22">
        <f>K971-N971</f>
        <v>2</v>
      </c>
      <c r="Q971" s="37" t="s">
        <v>74</v>
      </c>
      <c r="R971" s="38">
        <f>rhoMin*B961*B969</f>
        <v>343.2</v>
      </c>
      <c r="S971" s="22">
        <f>ROUNDUP(R971/R970,0)</f>
        <v>2</v>
      </c>
    </row>
    <row r="972" spans="1:19" x14ac:dyDescent="0.25">
      <c r="A972" s="65" t="s">
        <v>76</v>
      </c>
    </row>
    <row r="973" spans="1:19" x14ac:dyDescent="0.25">
      <c r="A973" s="69" t="s">
        <v>163</v>
      </c>
      <c r="B973" s="11" t="s">
        <v>11</v>
      </c>
      <c r="C973" s="10" t="s">
        <v>12</v>
      </c>
      <c r="D973" s="10" t="s">
        <v>13</v>
      </c>
      <c r="E973" s="10" t="s">
        <v>14</v>
      </c>
      <c r="F973" s="10" t="s">
        <v>15</v>
      </c>
      <c r="G973" s="11" t="s">
        <v>16</v>
      </c>
      <c r="H973" s="6">
        <v>125</v>
      </c>
      <c r="I973" s="90" t="s">
        <v>34</v>
      </c>
      <c r="J973" s="91"/>
      <c r="K973" s="71"/>
    </row>
    <row r="974" spans="1:19" x14ac:dyDescent="0.25">
      <c r="A974" s="12" t="s">
        <v>17</v>
      </c>
      <c r="B974" s="48">
        <v>300</v>
      </c>
      <c r="C974" s="44" t="s">
        <v>18</v>
      </c>
      <c r="D974" s="44" t="s">
        <v>18</v>
      </c>
      <c r="E974" s="44" t="s">
        <v>18</v>
      </c>
      <c r="F974" s="44" t="s">
        <v>19</v>
      </c>
      <c r="G974" s="45" t="s">
        <v>19</v>
      </c>
      <c r="H974" s="6">
        <v>150</v>
      </c>
      <c r="I974" s="14" t="s">
        <v>20</v>
      </c>
      <c r="J974" s="15">
        <v>10</v>
      </c>
      <c r="K974" s="16" t="s">
        <v>9</v>
      </c>
      <c r="L974" s="22" t="s">
        <v>29</v>
      </c>
      <c r="M974" s="22" t="s">
        <v>30</v>
      </c>
      <c r="N974" s="22" t="s">
        <v>31</v>
      </c>
      <c r="O974" s="22" t="s">
        <v>32</v>
      </c>
      <c r="P974" s="3"/>
    </row>
    <row r="975" spans="1:19" x14ac:dyDescent="0.25">
      <c r="A975" s="12" t="s">
        <v>22</v>
      </c>
      <c r="B975" s="48">
        <v>500</v>
      </c>
      <c r="C975" s="17">
        <v>-25.475877772998118</v>
      </c>
      <c r="D975" s="63">
        <v>-0.6237106012813346</v>
      </c>
      <c r="E975" s="63">
        <v>0</v>
      </c>
      <c r="F975" s="63">
        <v>49.30219277355264</v>
      </c>
      <c r="G975" s="54">
        <v>0</v>
      </c>
      <c r="H975" s="6">
        <v>175</v>
      </c>
      <c r="I975" s="56"/>
      <c r="J975" s="57"/>
      <c r="K975" s="58"/>
      <c r="L975" s="92" t="s">
        <v>1</v>
      </c>
      <c r="M975" s="93"/>
      <c r="N975" s="22" t="s">
        <v>35</v>
      </c>
      <c r="O975" s="22" t="s">
        <v>9</v>
      </c>
    </row>
    <row r="976" spans="1:19" x14ac:dyDescent="0.25">
      <c r="A976" s="20" t="s">
        <v>24</v>
      </c>
      <c r="B976" s="13"/>
      <c r="C976" s="17">
        <v>25.4758918372487</v>
      </c>
      <c r="D976" s="18">
        <v>0</v>
      </c>
      <c r="E976" s="18">
        <v>-20.231146837114462</v>
      </c>
      <c r="F976" s="18">
        <v>0</v>
      </c>
      <c r="G976" s="19">
        <v>1.9008851879842102E-14</v>
      </c>
      <c r="H976" s="6">
        <v>200</v>
      </c>
      <c r="I976" s="59" t="s">
        <v>70</v>
      </c>
      <c r="J976" s="60"/>
      <c r="K976" s="61"/>
      <c r="L976" s="25">
        <f>MAX(ABS(E979),ABS(E980))*1000/(B977*B974)</f>
        <v>1.1607279898954153</v>
      </c>
      <c r="M976" s="25">
        <f>L976-phiVc</f>
        <v>0.49821855600031961</v>
      </c>
      <c r="N976" s="26">
        <f>M976*O976*B974/(phiV*fys*0.25*PI()*(J974^2))</f>
        <v>0.92269318897521024</v>
      </c>
      <c r="O976" s="15">
        <v>100</v>
      </c>
    </row>
    <row r="977" spans="1:19" x14ac:dyDescent="0.25">
      <c r="A977" s="12" t="s">
        <v>26</v>
      </c>
      <c r="B977" s="49">
        <f>B975-clrCover-J974-(IF(M981&gt;1,1.5*J980,0.5*J980))</f>
        <v>420</v>
      </c>
      <c r="C977" s="64">
        <v>-0.10764520274493654</v>
      </c>
      <c r="D977" s="17">
        <v>-15.728560569466696</v>
      </c>
      <c r="E977" s="18">
        <v>17.344138433184138</v>
      </c>
      <c r="F977" s="18">
        <v>31.176358245873974</v>
      </c>
      <c r="G977" s="19">
        <v>-6.4410493211483857</v>
      </c>
      <c r="H977" s="6">
        <v>250</v>
      </c>
      <c r="I977" s="59" t="s">
        <v>71</v>
      </c>
      <c r="J977" s="60"/>
      <c r="K977" s="61"/>
      <c r="L977" s="25">
        <f>MAX(ABS(E979),ABS(E980))*1000/(B982*B974)</f>
        <v>1.1607279898954153</v>
      </c>
      <c r="M977" s="25">
        <f>L977-phiVc</f>
        <v>0.49821855600031961</v>
      </c>
      <c r="N977" s="26">
        <f>M977*O977*B974/(phiV*fys*0.25*PI()*(J974^2))</f>
        <v>0.92269318897521024</v>
      </c>
      <c r="O977" s="15">
        <v>100</v>
      </c>
    </row>
    <row r="978" spans="1:19" x14ac:dyDescent="0.25">
      <c r="A978" s="12" t="s">
        <v>27</v>
      </c>
      <c r="B978" s="50">
        <f>K981*R980</f>
        <v>1884</v>
      </c>
      <c r="C978" s="64">
        <v>0.10795409706561397</v>
      </c>
      <c r="D978" s="17">
        <v>15.728563382942271</v>
      </c>
      <c r="E978" s="18">
        <v>16.898047767363185</v>
      </c>
      <c r="F978" s="18">
        <v>12.420712738922898</v>
      </c>
      <c r="G978" s="19">
        <v>6.4410545726596808</v>
      </c>
      <c r="H978" s="6">
        <v>300</v>
      </c>
    </row>
    <row r="979" spans="1:19" x14ac:dyDescent="0.25">
      <c r="A979" s="12" t="s">
        <v>28</v>
      </c>
      <c r="B979" s="51">
        <f>-phi*B974*(B977^2)*J981*fy*(1-(0.588*J981*fy/fc))/1000000</f>
        <v>-255.08457404236799</v>
      </c>
      <c r="C979" s="64">
        <v>5.4515654708512162</v>
      </c>
      <c r="D979" s="18">
        <v>0.22977026958719132</v>
      </c>
      <c r="E979" s="17">
        <v>-146.25172672682231</v>
      </c>
      <c r="F979" s="18">
        <v>-228.83100704972142</v>
      </c>
      <c r="G979" s="19">
        <v>-0.31618292329180386</v>
      </c>
      <c r="I979" s="90" t="s">
        <v>68</v>
      </c>
      <c r="J979" s="91"/>
      <c r="K979" s="94" t="s">
        <v>35</v>
      </c>
      <c r="L979" s="78" t="s">
        <v>36</v>
      </c>
      <c r="M979" s="96" t="s">
        <v>37</v>
      </c>
      <c r="N979" s="98" t="s">
        <v>38</v>
      </c>
      <c r="O979" s="96" t="s">
        <v>72</v>
      </c>
      <c r="Q979" s="34" t="s">
        <v>73</v>
      </c>
    </row>
    <row r="980" spans="1:19" x14ac:dyDescent="0.25">
      <c r="A980" s="23" t="s">
        <v>33</v>
      </c>
      <c r="B980" s="13"/>
      <c r="C980" s="64">
        <v>1.0301711154170332E-8</v>
      </c>
      <c r="D980" s="18">
        <v>7.3594183724878805E-10</v>
      </c>
      <c r="E980" s="17">
        <v>129.8118619658525</v>
      </c>
      <c r="F980" s="18">
        <v>-163.32931786973322</v>
      </c>
      <c r="G980" s="19">
        <v>1.083069437868289E-9</v>
      </c>
      <c r="I980" s="14" t="s">
        <v>23</v>
      </c>
      <c r="J980" s="41">
        <v>20</v>
      </c>
      <c r="K980" s="95"/>
      <c r="L980" s="40" t="s">
        <v>9</v>
      </c>
      <c r="M980" s="97"/>
      <c r="N980" s="99"/>
      <c r="O980" s="97"/>
      <c r="Q980" s="14" t="s">
        <v>75</v>
      </c>
      <c r="R980" s="21">
        <f>IF(J980=16,201,IF(J980=20,314,IF(J980=25,490,"Err")))</f>
        <v>314</v>
      </c>
      <c r="S980" s="16" t="s">
        <v>25</v>
      </c>
    </row>
    <row r="981" spans="1:19" x14ac:dyDescent="0.25">
      <c r="A981" s="20" t="s">
        <v>39</v>
      </c>
      <c r="B981" s="13"/>
      <c r="C981" s="64">
        <v>5.4515654708512162</v>
      </c>
      <c r="D981" s="18">
        <v>0.22977026958719132</v>
      </c>
      <c r="E981" s="18">
        <v>-146.25172672682231</v>
      </c>
      <c r="F981" s="17">
        <v>-228.83100704972142</v>
      </c>
      <c r="G981" s="19">
        <v>-0.31618292329180386</v>
      </c>
      <c r="I981" s="14" t="s">
        <v>40</v>
      </c>
      <c r="J981" s="24">
        <f>MAX(rhoMin,(K981*R980/(B974*B977)))</f>
        <v>1.4952380952380953E-2</v>
      </c>
      <c r="K981" s="15">
        <v>6</v>
      </c>
      <c r="L981" s="39">
        <f>IF(M981&lt;2,(B974-(2*(J974+clrCover))-(K981*J980))/(K981-1),(B974-(2*(J974+clrCover))-(N981*J980))/((N981)-1))</f>
        <v>70</v>
      </c>
      <c r="M981" s="15">
        <v>2</v>
      </c>
      <c r="N981" s="22">
        <f>IF(M981&lt;2,K981,CEILING(K981/2,1))</f>
        <v>3</v>
      </c>
      <c r="O981" s="22">
        <f>K981-N981</f>
        <v>3</v>
      </c>
      <c r="Q981" s="37" t="s">
        <v>74</v>
      </c>
      <c r="R981" s="38">
        <f>rhoMin*B974*B977</f>
        <v>415.8</v>
      </c>
      <c r="S981" s="22">
        <f>ROUNDUP(R981/R980,0)</f>
        <v>2</v>
      </c>
    </row>
    <row r="982" spans="1:19" x14ac:dyDescent="0.25">
      <c r="A982" s="12" t="s">
        <v>26</v>
      </c>
      <c r="B982" s="49">
        <f>B975-clrCover-J974-(IF(M984&gt;1,1.5*J983,0.5*J983))</f>
        <v>420</v>
      </c>
      <c r="C982" s="64">
        <v>5.1934991076122957E-4</v>
      </c>
      <c r="D982" s="18">
        <v>-2.2531469861127106E-5</v>
      </c>
      <c r="E982" s="18">
        <v>-61.442530066576147</v>
      </c>
      <c r="F982" s="17">
        <v>128.53990479780538</v>
      </c>
      <c r="G982" s="19">
        <v>-2.695112348165587E-5</v>
      </c>
      <c r="I982" s="90" t="s">
        <v>69</v>
      </c>
      <c r="J982" s="91"/>
      <c r="K982" s="96" t="s">
        <v>35</v>
      </c>
      <c r="L982" s="78" t="s">
        <v>36</v>
      </c>
      <c r="M982" s="96" t="s">
        <v>37</v>
      </c>
      <c r="N982" s="98" t="s">
        <v>38</v>
      </c>
      <c r="O982" s="96" t="s">
        <v>72</v>
      </c>
      <c r="R982" s="36"/>
    </row>
    <row r="983" spans="1:19" x14ac:dyDescent="0.25">
      <c r="A983" s="12" t="s">
        <v>27</v>
      </c>
      <c r="B983" s="50">
        <f>K984*R983</f>
        <v>942</v>
      </c>
      <c r="C983" s="64">
        <v>-0.10997785768611468</v>
      </c>
      <c r="D983" s="18">
        <v>12.545966745807739</v>
      </c>
      <c r="E983" s="18">
        <v>-51.209578128955087</v>
      </c>
      <c r="F983" s="18">
        <v>-49.669686866146144</v>
      </c>
      <c r="G983" s="17">
        <v>-9.5347472858252065</v>
      </c>
      <c r="I983" s="14" t="s">
        <v>23</v>
      </c>
      <c r="J983" s="41">
        <v>20</v>
      </c>
      <c r="K983" s="97"/>
      <c r="L983" s="40" t="s">
        <v>9</v>
      </c>
      <c r="M983" s="97"/>
      <c r="N983" s="99"/>
      <c r="O983" s="97"/>
      <c r="Q983" s="14" t="s">
        <v>75</v>
      </c>
      <c r="R983" s="21">
        <f>IF(J983=16,201,IF(J983=20,314,IF(J983=25,490,"Err")))</f>
        <v>314</v>
      </c>
      <c r="S983" s="16" t="s">
        <v>25</v>
      </c>
    </row>
    <row r="984" spans="1:19" x14ac:dyDescent="0.25">
      <c r="A984" s="27" t="s">
        <v>28</v>
      </c>
      <c r="B984" s="52">
        <f>phi*B974*(B982^2)*J984*fy*(1-(0.588*J984*fy/fc))/1000000</f>
        <v>137.47887551059202</v>
      </c>
      <c r="C984" s="53">
        <v>0.1102867520067921</v>
      </c>
      <c r="D984" s="28">
        <v>-12.545963932332162</v>
      </c>
      <c r="E984" s="28">
        <v>-76.759606557672058</v>
      </c>
      <c r="F984" s="28">
        <v>-65.307856572048038</v>
      </c>
      <c r="G984" s="17">
        <v>9.5347430172235814</v>
      </c>
      <c r="I984" s="14" t="s">
        <v>40</v>
      </c>
      <c r="J984" s="24">
        <f>MAX(rhoMin,(K984*R983/(B974*B982)))</f>
        <v>7.4761904761904766E-3</v>
      </c>
      <c r="K984" s="15">
        <v>3</v>
      </c>
      <c r="L984" s="21">
        <f>IF(M984&lt;2,(B974-(2*(J974+clrCover))-(K984*J983))/(K984-1),(B974-(2*(J974+clrCover))-(N984*J983))/((N984)-1))</f>
        <v>160</v>
      </c>
      <c r="M984" s="15">
        <v>2</v>
      </c>
      <c r="N984" s="22">
        <f>IF(M984&lt;2,K984,CEILING(K984/2,1))</f>
        <v>2</v>
      </c>
      <c r="O984" s="22">
        <f>K984-N984</f>
        <v>1</v>
      </c>
      <c r="Q984" s="37" t="s">
        <v>74</v>
      </c>
      <c r="R984" s="38">
        <f>rhoMin*B974*B982</f>
        <v>415.8</v>
      </c>
      <c r="S984" s="22">
        <f>ROUNDUP(R984/R983,0)</f>
        <v>2</v>
      </c>
    </row>
    <row r="985" spans="1:19" x14ac:dyDescent="0.25">
      <c r="A985" s="65" t="s">
        <v>76</v>
      </c>
    </row>
    <row r="986" spans="1:19" x14ac:dyDescent="0.25">
      <c r="A986" s="69" t="s">
        <v>164</v>
      </c>
      <c r="B986" s="11" t="s">
        <v>11</v>
      </c>
      <c r="C986" s="10" t="s">
        <v>12</v>
      </c>
      <c r="D986" s="10" t="s">
        <v>13</v>
      </c>
      <c r="E986" s="10" t="s">
        <v>14</v>
      </c>
      <c r="F986" s="10" t="s">
        <v>15</v>
      </c>
      <c r="G986" s="11" t="s">
        <v>16</v>
      </c>
      <c r="H986" s="6">
        <v>125</v>
      </c>
      <c r="I986" s="90" t="s">
        <v>34</v>
      </c>
      <c r="J986" s="91"/>
      <c r="K986" s="71" t="s">
        <v>128</v>
      </c>
    </row>
    <row r="987" spans="1:19" x14ac:dyDescent="0.25">
      <c r="A987" s="12" t="s">
        <v>17</v>
      </c>
      <c r="B987" s="48">
        <v>400</v>
      </c>
      <c r="C987" s="44" t="s">
        <v>18</v>
      </c>
      <c r="D987" s="44" t="s">
        <v>18</v>
      </c>
      <c r="E987" s="44" t="s">
        <v>18</v>
      </c>
      <c r="F987" s="44" t="s">
        <v>19</v>
      </c>
      <c r="G987" s="45" t="s">
        <v>19</v>
      </c>
      <c r="H987" s="6">
        <v>150</v>
      </c>
      <c r="I987" s="14" t="s">
        <v>20</v>
      </c>
      <c r="J987" s="15">
        <v>10</v>
      </c>
      <c r="K987" s="16" t="s">
        <v>9</v>
      </c>
      <c r="L987" s="22" t="s">
        <v>29</v>
      </c>
      <c r="M987" s="22" t="s">
        <v>30</v>
      </c>
      <c r="N987" s="22" t="s">
        <v>31</v>
      </c>
      <c r="O987" s="22" t="s">
        <v>32</v>
      </c>
      <c r="P987" s="3"/>
    </row>
    <row r="988" spans="1:19" x14ac:dyDescent="0.25">
      <c r="A988" s="12" t="s">
        <v>22</v>
      </c>
      <c r="B988" s="48">
        <v>700</v>
      </c>
      <c r="C988" s="17">
        <v>-68.882554749696794</v>
      </c>
      <c r="D988" s="63">
        <v>5.4747615853757718</v>
      </c>
      <c r="E988" s="63">
        <v>0</v>
      </c>
      <c r="F988" s="63">
        <v>194.69445164486808</v>
      </c>
      <c r="G988" s="54">
        <v>0</v>
      </c>
      <c r="H988" s="6">
        <v>175</v>
      </c>
      <c r="I988" s="56"/>
      <c r="J988" s="57"/>
      <c r="K988" s="58"/>
      <c r="L988" s="92" t="s">
        <v>1</v>
      </c>
      <c r="M988" s="93"/>
      <c r="N988" s="22" t="s">
        <v>35</v>
      </c>
      <c r="O988" s="22" t="s">
        <v>9</v>
      </c>
    </row>
    <row r="989" spans="1:19" x14ac:dyDescent="0.25">
      <c r="A989" s="20" t="s">
        <v>24</v>
      </c>
      <c r="B989" s="13"/>
      <c r="C989" s="17">
        <v>126.43864818957564</v>
      </c>
      <c r="D989" s="18">
        <v>0</v>
      </c>
      <c r="E989" s="18">
        <v>317.20612994405946</v>
      </c>
      <c r="F989" s="18">
        <v>0</v>
      </c>
      <c r="G989" s="19">
        <v>-2.7841606285096168</v>
      </c>
      <c r="H989" s="6">
        <v>200</v>
      </c>
      <c r="I989" s="59" t="s">
        <v>70</v>
      </c>
      <c r="J989" s="60"/>
      <c r="K989" s="61"/>
      <c r="L989" s="25">
        <f>MAX(ABS(E992),ABS(E993))*1000/(B990*B987)</f>
        <v>1.6972014409207006</v>
      </c>
      <c r="M989" s="25">
        <f>L989-phiVc</f>
        <v>1.0346920070256049</v>
      </c>
      <c r="N989" s="26">
        <f>M989*O989*B987/(phiV*fys*0.25*PI()*(J987^2))</f>
        <v>2.5549784823590653</v>
      </c>
      <c r="O989" s="15">
        <v>100</v>
      </c>
    </row>
    <row r="990" spans="1:19" x14ac:dyDescent="0.25">
      <c r="A990" s="12" t="s">
        <v>26</v>
      </c>
      <c r="B990" s="49">
        <f>B988-clrCover-J987-(IF(M994&gt;1,1.5*J993,0.5*J993))</f>
        <v>612.5</v>
      </c>
      <c r="C990" s="64">
        <v>-1.0639631287359717</v>
      </c>
      <c r="D990" s="17">
        <v>-16.808076074330163</v>
      </c>
      <c r="E990" s="18">
        <v>-52.128419585314127</v>
      </c>
      <c r="F990" s="18">
        <v>56.82797326754438</v>
      </c>
      <c r="G990" s="19">
        <v>10.690877265907977</v>
      </c>
      <c r="H990" s="6">
        <v>250</v>
      </c>
      <c r="I990" s="59" t="s">
        <v>71</v>
      </c>
      <c r="J990" s="60"/>
      <c r="K990" s="61"/>
      <c r="L990" s="25">
        <f>MAX(ABS(E992),ABS(E993))*1000/(B995*B987)</f>
        <v>1.6306445216689083</v>
      </c>
      <c r="M990" s="25">
        <f>L990-phiVc</f>
        <v>0.96813508777381263</v>
      </c>
      <c r="N990" s="26">
        <f>M990*O990*B987/(phiV*fys*0.25*PI()*(J987^2))</f>
        <v>2.390628612653122</v>
      </c>
      <c r="O990" s="15">
        <v>100</v>
      </c>
    </row>
    <row r="991" spans="1:19" x14ac:dyDescent="0.25">
      <c r="A991" s="12" t="s">
        <v>27</v>
      </c>
      <c r="B991" s="50">
        <f>K994*R993</f>
        <v>3430</v>
      </c>
      <c r="C991" s="64">
        <v>32.139457952543182</v>
      </c>
      <c r="D991" s="17">
        <v>17.526076867251682</v>
      </c>
      <c r="E991" s="18">
        <v>-321.94392603121776</v>
      </c>
      <c r="F991" s="18">
        <v>-432.30069661460686</v>
      </c>
      <c r="G991" s="19">
        <v>-11.139515546030236</v>
      </c>
      <c r="H991" s="6">
        <v>300</v>
      </c>
    </row>
    <row r="992" spans="1:19" x14ac:dyDescent="0.25">
      <c r="A992" s="12" t="s">
        <v>28</v>
      </c>
      <c r="B992" s="51">
        <f>-phi*B987*(B990^2)*J994*fy*(1-(0.588*J994*fy/fc))/1000000</f>
        <v>-683.97964178040002</v>
      </c>
      <c r="C992" s="64">
        <v>31.781146894953984</v>
      </c>
      <c r="D992" s="18">
        <v>0.55479573935223825</v>
      </c>
      <c r="E992" s="17">
        <v>-383.0254718217098</v>
      </c>
      <c r="F992" s="18">
        <v>-381.21533708851558</v>
      </c>
      <c r="G992" s="19">
        <v>-0.3508346051450919</v>
      </c>
      <c r="I992" s="90" t="s">
        <v>68</v>
      </c>
      <c r="J992" s="91"/>
      <c r="K992" s="94" t="s">
        <v>35</v>
      </c>
      <c r="L992" s="78" t="s">
        <v>36</v>
      </c>
      <c r="M992" s="96" t="s">
        <v>37</v>
      </c>
      <c r="N992" s="98" t="s">
        <v>38</v>
      </c>
      <c r="O992" s="96" t="s">
        <v>72</v>
      </c>
      <c r="Q992" s="34" t="s">
        <v>73</v>
      </c>
    </row>
    <row r="993" spans="1:19" x14ac:dyDescent="0.25">
      <c r="A993" s="23" t="s">
        <v>33</v>
      </c>
      <c r="B993" s="13"/>
      <c r="C993" s="64">
        <v>84.817676692878877</v>
      </c>
      <c r="D993" s="18">
        <v>0.95477222623408498</v>
      </c>
      <c r="E993" s="17">
        <v>415.81435302557162</v>
      </c>
      <c r="F993" s="18">
        <v>-347.70522330891242</v>
      </c>
      <c r="G993" s="19">
        <v>0.41566424543862585</v>
      </c>
      <c r="I993" s="14" t="s">
        <v>23</v>
      </c>
      <c r="J993" s="41">
        <v>25</v>
      </c>
      <c r="K993" s="95"/>
      <c r="L993" s="40" t="s">
        <v>9</v>
      </c>
      <c r="M993" s="97"/>
      <c r="N993" s="99"/>
      <c r="O993" s="97"/>
      <c r="Q993" s="14" t="s">
        <v>75</v>
      </c>
      <c r="R993" s="21">
        <f>IF(J993=16,201,IF(J993=20,314,IF(J993=25,490,"Err")))</f>
        <v>490</v>
      </c>
      <c r="S993" s="16" t="s">
        <v>25</v>
      </c>
    </row>
    <row r="994" spans="1:19" x14ac:dyDescent="0.25">
      <c r="A994" s="20" t="s">
        <v>39</v>
      </c>
      <c r="B994" s="13"/>
      <c r="C994" s="64">
        <v>126.43864818957564</v>
      </c>
      <c r="D994" s="18">
        <v>5.3264998579644889</v>
      </c>
      <c r="E994" s="18">
        <v>403.22249140424219</v>
      </c>
      <c r="F994" s="17">
        <v>-650.4465595859815</v>
      </c>
      <c r="G994" s="19">
        <v>2.8091997108076212</v>
      </c>
      <c r="I994" s="14" t="s">
        <v>40</v>
      </c>
      <c r="J994" s="24">
        <f>MAX(rhoMin,(K994*R993/(B987*B990)))</f>
        <v>1.4E-2</v>
      </c>
      <c r="K994" s="15">
        <v>7</v>
      </c>
      <c r="L994" s="39">
        <f>IF(M994&lt;2,(B987-(2*(J987+clrCover))-(K994*J993))/(K994-1),(B987-(2*(J987+clrCover))-(N994*J993))/((N994)-1))</f>
        <v>66.666666666666671</v>
      </c>
      <c r="M994" s="15">
        <v>2</v>
      </c>
      <c r="N994" s="22">
        <f>IF(M994&lt;2,K994,CEILING(K994/2,1))</f>
        <v>4</v>
      </c>
      <c r="O994" s="22">
        <f>K994-N994</f>
        <v>3</v>
      </c>
      <c r="Q994" s="37" t="s">
        <v>74</v>
      </c>
      <c r="R994" s="38">
        <f>rhoMin*B987*B990</f>
        <v>808.5</v>
      </c>
      <c r="S994" s="22">
        <f>ROUNDUP(R994/R993,0)</f>
        <v>2</v>
      </c>
    </row>
    <row r="995" spans="1:19" x14ac:dyDescent="0.25">
      <c r="A995" s="12" t="s">
        <v>26</v>
      </c>
      <c r="B995" s="49">
        <f>B988-clrCover-J987-(IF(M997&gt;1,1.5*J996,0.5*J996))</f>
        <v>637.5</v>
      </c>
      <c r="C995" s="64">
        <v>6.6199083437859514</v>
      </c>
      <c r="D995" s="18">
        <v>-1.1150463684202687</v>
      </c>
      <c r="E995" s="18">
        <v>2.6661923221176695</v>
      </c>
      <c r="F995" s="17">
        <v>311.83409099395828</v>
      </c>
      <c r="G995" s="19">
        <v>-0.27489886927972351</v>
      </c>
      <c r="I995" s="90" t="s">
        <v>69</v>
      </c>
      <c r="J995" s="91"/>
      <c r="K995" s="96" t="s">
        <v>35</v>
      </c>
      <c r="L995" s="78" t="s">
        <v>36</v>
      </c>
      <c r="M995" s="96" t="s">
        <v>37</v>
      </c>
      <c r="N995" s="98" t="s">
        <v>38</v>
      </c>
      <c r="O995" s="96" t="s">
        <v>72</v>
      </c>
      <c r="R995" s="36"/>
    </row>
    <row r="996" spans="1:19" x14ac:dyDescent="0.25">
      <c r="A996" s="12" t="s">
        <v>27</v>
      </c>
      <c r="B996" s="50">
        <f>K997*R996</f>
        <v>1470</v>
      </c>
      <c r="C996" s="64">
        <v>32.139457952543182</v>
      </c>
      <c r="D996" s="18">
        <v>17.526076867251682</v>
      </c>
      <c r="E996" s="18">
        <v>-321.94392603121776</v>
      </c>
      <c r="F996" s="18">
        <v>-432.30069661460686</v>
      </c>
      <c r="G996" s="17">
        <v>-11.139515546030236</v>
      </c>
      <c r="I996" s="14" t="s">
        <v>23</v>
      </c>
      <c r="J996" s="41">
        <v>25</v>
      </c>
      <c r="K996" s="97"/>
      <c r="L996" s="40" t="s">
        <v>9</v>
      </c>
      <c r="M996" s="97"/>
      <c r="N996" s="99"/>
      <c r="O996" s="97"/>
      <c r="Q996" s="14" t="s">
        <v>75</v>
      </c>
      <c r="R996" s="21">
        <f>IF(J996=16,201,IF(J996=20,314,IF(J996=25,490,"Err")))</f>
        <v>490</v>
      </c>
      <c r="S996" s="16" t="s">
        <v>25</v>
      </c>
    </row>
    <row r="997" spans="1:19" x14ac:dyDescent="0.25">
      <c r="A997" s="27" t="s">
        <v>28</v>
      </c>
      <c r="B997" s="52">
        <f>phi*B987*(B995^2)*J997*fy*(1-(0.588*J997*fy/fc))/1000000</f>
        <v>331.02466379640003</v>
      </c>
      <c r="C997" s="53">
        <v>-1.0639631287359717</v>
      </c>
      <c r="D997" s="28">
        <v>-16.808076074330163</v>
      </c>
      <c r="E997" s="28">
        <v>-52.128419585314127</v>
      </c>
      <c r="F997" s="28">
        <v>56.82797326754438</v>
      </c>
      <c r="G997" s="17">
        <v>10.690877265907977</v>
      </c>
      <c r="I997" s="14" t="s">
        <v>40</v>
      </c>
      <c r="J997" s="24">
        <f>MAX(rhoMin,(K997*R996/(B987*B995)))</f>
        <v>5.7647058823529409E-3</v>
      </c>
      <c r="K997" s="15">
        <v>3</v>
      </c>
      <c r="L997" s="21">
        <f>IF(M997&lt;2,(B987-(2*(J987+clrCover))-(K997*J996))/(K997-1),(B987-(2*(J987+clrCover))-(N997*J996))/((N997)-1))</f>
        <v>112.5</v>
      </c>
      <c r="M997" s="15">
        <v>1</v>
      </c>
      <c r="N997" s="22">
        <f>IF(M997&lt;2,K997,CEILING(K997/2,1))</f>
        <v>3</v>
      </c>
      <c r="O997" s="22">
        <f>K997-N997</f>
        <v>0</v>
      </c>
      <c r="Q997" s="37" t="s">
        <v>74</v>
      </c>
      <c r="R997" s="38">
        <f>rhoMin*B987*B995</f>
        <v>841.5</v>
      </c>
      <c r="S997" s="22">
        <f>ROUNDUP(R997/R996,0)</f>
        <v>2</v>
      </c>
    </row>
    <row r="998" spans="1:19" x14ac:dyDescent="0.25">
      <c r="A998" s="65" t="s">
        <v>76</v>
      </c>
    </row>
    <row r="999" spans="1:19" x14ac:dyDescent="0.25">
      <c r="A999" s="69" t="s">
        <v>165</v>
      </c>
      <c r="B999" s="11" t="s">
        <v>11</v>
      </c>
      <c r="C999" s="10" t="s">
        <v>12</v>
      </c>
      <c r="D999" s="10" t="s">
        <v>13</v>
      </c>
      <c r="E999" s="10" t="s">
        <v>14</v>
      </c>
      <c r="F999" s="10" t="s">
        <v>15</v>
      </c>
      <c r="G999" s="11" t="s">
        <v>16</v>
      </c>
      <c r="H999" s="6">
        <v>125</v>
      </c>
      <c r="I999" s="90" t="s">
        <v>34</v>
      </c>
      <c r="J999" s="91"/>
      <c r="K999" s="71" t="s">
        <v>128</v>
      </c>
    </row>
    <row r="1000" spans="1:19" x14ac:dyDescent="0.25">
      <c r="A1000" s="12" t="s">
        <v>17</v>
      </c>
      <c r="B1000" s="48">
        <v>300</v>
      </c>
      <c r="C1000" s="44" t="s">
        <v>18</v>
      </c>
      <c r="D1000" s="44" t="s">
        <v>18</v>
      </c>
      <c r="E1000" s="44" t="s">
        <v>18</v>
      </c>
      <c r="F1000" s="44" t="s">
        <v>19</v>
      </c>
      <c r="G1000" s="45" t="s">
        <v>19</v>
      </c>
      <c r="H1000" s="6">
        <v>150</v>
      </c>
      <c r="I1000" s="14" t="s">
        <v>20</v>
      </c>
      <c r="J1000" s="15">
        <v>10</v>
      </c>
      <c r="K1000" s="16" t="s">
        <v>9</v>
      </c>
      <c r="L1000" s="22" t="s">
        <v>29</v>
      </c>
      <c r="M1000" s="22" t="s">
        <v>30</v>
      </c>
      <c r="N1000" s="22" t="s">
        <v>31</v>
      </c>
      <c r="O1000" s="22" t="s">
        <v>32</v>
      </c>
      <c r="P1000" s="3"/>
    </row>
    <row r="1001" spans="1:19" x14ac:dyDescent="0.25">
      <c r="A1001" s="12" t="s">
        <v>22</v>
      </c>
      <c r="B1001" s="48">
        <v>600</v>
      </c>
      <c r="C1001" s="17">
        <v>-116.37054028630426</v>
      </c>
      <c r="D1001" s="63">
        <v>-9.5849068487738336</v>
      </c>
      <c r="E1001" s="63">
        <v>0</v>
      </c>
      <c r="F1001" s="63">
        <v>-126.69299701576443</v>
      </c>
      <c r="G1001" s="54">
        <v>0</v>
      </c>
      <c r="H1001" s="6">
        <v>175</v>
      </c>
      <c r="I1001" s="56"/>
      <c r="J1001" s="57"/>
      <c r="K1001" s="58"/>
      <c r="L1001" s="92" t="s">
        <v>1</v>
      </c>
      <c r="M1001" s="93"/>
      <c r="N1001" s="22" t="s">
        <v>35</v>
      </c>
      <c r="O1001" s="22" t="s">
        <v>9</v>
      </c>
    </row>
    <row r="1002" spans="1:19" x14ac:dyDescent="0.25">
      <c r="A1002" s="20" t="s">
        <v>24</v>
      </c>
      <c r="B1002" s="13"/>
      <c r="C1002" s="17">
        <v>114.67763794841798</v>
      </c>
      <c r="D1002" s="18">
        <v>0</v>
      </c>
      <c r="E1002" s="18">
        <v>-4.5531442857473738</v>
      </c>
      <c r="F1002" s="18">
        <v>0</v>
      </c>
      <c r="G1002" s="19">
        <v>-5.0628186765917489</v>
      </c>
      <c r="H1002" s="6">
        <v>200</v>
      </c>
      <c r="I1002" s="59" t="s">
        <v>70</v>
      </c>
      <c r="J1002" s="60"/>
      <c r="K1002" s="61"/>
      <c r="L1002" s="25">
        <f>MAX(ABS(E1005),ABS(E1006))*1000/(B1003*B1000)</f>
        <v>1.6078883233654437</v>
      </c>
      <c r="M1002" s="25">
        <f>L1002-phiVc</f>
        <v>0.94537888947034809</v>
      </c>
      <c r="N1002" s="26">
        <f>M1002*O1002*B1000/(phiV*fys*0.25*PI()*(J1000^2))</f>
        <v>1.7508273263003051</v>
      </c>
      <c r="O1002" s="15">
        <v>100</v>
      </c>
    </row>
    <row r="1003" spans="1:19" x14ac:dyDescent="0.25">
      <c r="A1003" s="12" t="s">
        <v>26</v>
      </c>
      <c r="B1003" s="49">
        <f>B1001-clrCover-J1000-(IF(M1007&gt;1,1.5*J1006,0.5*J1006))</f>
        <v>512.5</v>
      </c>
      <c r="C1003" s="64">
        <v>-45.493878386173087</v>
      </c>
      <c r="D1003" s="17">
        <v>-46.289821029082894</v>
      </c>
      <c r="E1003" s="18">
        <v>-124.49561265191795</v>
      </c>
      <c r="F1003" s="18">
        <v>-193.01735446669704</v>
      </c>
      <c r="G1003" s="19">
        <v>20.29676864283234</v>
      </c>
      <c r="H1003" s="6">
        <v>250</v>
      </c>
      <c r="I1003" s="59" t="s">
        <v>71</v>
      </c>
      <c r="J1003" s="60"/>
      <c r="K1003" s="61"/>
      <c r="L1003" s="25">
        <f>MAX(ABS(E1005),ABS(E1006))*1000/(B1008*B1000)</f>
        <v>1.5260051217125739</v>
      </c>
      <c r="M1003" s="25">
        <f>L1003-phiVc</f>
        <v>0.86349568781747821</v>
      </c>
      <c r="N1003" s="26">
        <f>M1003*O1003*B1000/(phiV*fys*0.25*PI()*(J1000^2))</f>
        <v>1.5991808820909119</v>
      </c>
      <c r="O1003" s="15">
        <v>100</v>
      </c>
    </row>
    <row r="1004" spans="1:19" x14ac:dyDescent="0.25">
      <c r="A1004" s="12" t="s">
        <v>27</v>
      </c>
      <c r="B1004" s="50">
        <f>K1007*R1006</f>
        <v>2450</v>
      </c>
      <c r="C1004" s="64">
        <v>47.129256484231227</v>
      </c>
      <c r="D1004" s="17">
        <v>46.929114809960083</v>
      </c>
      <c r="E1004" s="18">
        <v>-48.474555388572206</v>
      </c>
      <c r="F1004" s="18">
        <v>-24.495286608108028</v>
      </c>
      <c r="G1004" s="19">
        <v>-20.716355043277829</v>
      </c>
      <c r="H1004" s="6">
        <v>300</v>
      </c>
    </row>
    <row r="1005" spans="1:19" x14ac:dyDescent="0.25">
      <c r="A1005" s="12" t="s">
        <v>28</v>
      </c>
      <c r="B1005" s="51">
        <f>-phi*B1000*(B1003^2)*J1007*fy*(1-(0.588*J1007*fy/fc))/1000000</f>
        <v>-400.63064832000003</v>
      </c>
      <c r="C1005" s="64">
        <v>5.0193037836434088E-4</v>
      </c>
      <c r="D1005" s="18">
        <v>-3.2822360388202296E-6</v>
      </c>
      <c r="E1005" s="17">
        <v>-196.87330600739614</v>
      </c>
      <c r="F1005" s="18">
        <v>-212.60531440728963</v>
      </c>
      <c r="G1005" s="19">
        <v>4.3509314812562955E-6</v>
      </c>
      <c r="I1005" s="90" t="s">
        <v>68</v>
      </c>
      <c r="J1005" s="91"/>
      <c r="K1005" s="94" t="s">
        <v>35</v>
      </c>
      <c r="L1005" s="78" t="s">
        <v>36</v>
      </c>
      <c r="M1005" s="96" t="s">
        <v>37</v>
      </c>
      <c r="N1005" s="98" t="s">
        <v>38</v>
      </c>
      <c r="O1005" s="96" t="s">
        <v>72</v>
      </c>
      <c r="Q1005" s="34" t="s">
        <v>73</v>
      </c>
    </row>
    <row r="1006" spans="1:19" x14ac:dyDescent="0.25">
      <c r="A1006" s="23" t="s">
        <v>33</v>
      </c>
      <c r="B1006" s="13"/>
      <c r="C1006" s="64">
        <v>5.0194146459834883E-4</v>
      </c>
      <c r="D1006" s="18">
        <v>5.0490348162426812E-6</v>
      </c>
      <c r="E1006" s="17">
        <v>247.21282971743699</v>
      </c>
      <c r="F1006" s="18">
        <v>-341.50956594194889</v>
      </c>
      <c r="G1006" s="19">
        <v>8.6791902160499029E-6</v>
      </c>
      <c r="I1006" s="14" t="s">
        <v>23</v>
      </c>
      <c r="J1006" s="41">
        <v>25</v>
      </c>
      <c r="K1006" s="95"/>
      <c r="L1006" s="40" t="s">
        <v>9</v>
      </c>
      <c r="M1006" s="97"/>
      <c r="N1006" s="99"/>
      <c r="O1006" s="97"/>
      <c r="Q1006" s="14" t="s">
        <v>75</v>
      </c>
      <c r="R1006" s="21">
        <f>IF(J1006=16,201,IF(J1006=20,314,IF(J1006=25,490,"Err")))</f>
        <v>490</v>
      </c>
      <c r="S1006" s="16" t="s">
        <v>25</v>
      </c>
    </row>
    <row r="1007" spans="1:19" x14ac:dyDescent="0.25">
      <c r="A1007" s="20" t="s">
        <v>39</v>
      </c>
      <c r="B1007" s="13"/>
      <c r="C1007" s="64">
        <v>5.0194146459834883E-4</v>
      </c>
      <c r="D1007" s="18">
        <v>5.0490348162426812E-6</v>
      </c>
      <c r="E1007" s="18">
        <v>247.21282971743699</v>
      </c>
      <c r="F1007" s="17">
        <v>-341.50956594194889</v>
      </c>
      <c r="G1007" s="19">
        <v>8.6791902160499029E-6</v>
      </c>
      <c r="I1007" s="14" t="s">
        <v>40</v>
      </c>
      <c r="J1007" s="24">
        <f>MAX(rhoMin,(K1007*R1006/(B1000*B1003)))</f>
        <v>1.5934959349593495E-2</v>
      </c>
      <c r="K1007" s="15">
        <v>5</v>
      </c>
      <c r="L1007" s="39">
        <f>IF(M1007&lt;2,(B1000-(2*(J1000+clrCover))-(K1007*J1006))/(K1007-1),(B1000-(2*(J1000+clrCover))-(N1007*J1006))/((N1007)-1))</f>
        <v>62.5</v>
      </c>
      <c r="M1007" s="15">
        <v>2</v>
      </c>
      <c r="N1007" s="22">
        <f>IF(M1007&lt;2,K1007,CEILING(K1007/2,1))</f>
        <v>3</v>
      </c>
      <c r="O1007" s="22">
        <f>K1007-N1007</f>
        <v>2</v>
      </c>
      <c r="Q1007" s="37" t="s">
        <v>74</v>
      </c>
      <c r="R1007" s="38">
        <f>rhoMin*B1000*B1003</f>
        <v>507.375</v>
      </c>
      <c r="S1007" s="22">
        <f>ROUNDUP(R1007/R1006,0)</f>
        <v>2</v>
      </c>
    </row>
    <row r="1008" spans="1:19" x14ac:dyDescent="0.25">
      <c r="A1008" s="12" t="s">
        <v>26</v>
      </c>
      <c r="B1008" s="49">
        <f>B1001-clrCover-J1000-(IF(M1010&gt;1,1.5*J1009,0.5*J1009))</f>
        <v>540</v>
      </c>
      <c r="C1008" s="64">
        <v>2.7888854502612958E-3</v>
      </c>
      <c r="D1008" s="18">
        <v>-2.0448195747535974E-3</v>
      </c>
      <c r="E1008" s="18">
        <v>102.36329244387592</v>
      </c>
      <c r="F1008" s="17">
        <v>192.74954844788292</v>
      </c>
      <c r="G1008" s="19">
        <v>1.0104458294319931E-3</v>
      </c>
      <c r="I1008" s="90" t="s">
        <v>69</v>
      </c>
      <c r="J1008" s="91"/>
      <c r="K1008" s="96" t="s">
        <v>35</v>
      </c>
      <c r="L1008" s="78" t="s">
        <v>36</v>
      </c>
      <c r="M1008" s="96" t="s">
        <v>37</v>
      </c>
      <c r="N1008" s="98" t="s">
        <v>38</v>
      </c>
      <c r="O1008" s="96" t="s">
        <v>72</v>
      </c>
      <c r="R1008" s="36"/>
    </row>
    <row r="1009" spans="1:19" x14ac:dyDescent="0.25">
      <c r="A1009" s="12" t="s">
        <v>27</v>
      </c>
      <c r="B1009" s="50">
        <f>K1010*R1009</f>
        <v>1256</v>
      </c>
      <c r="C1009" s="64">
        <v>47.129256484231227</v>
      </c>
      <c r="D1009" s="18">
        <v>46.929114809960083</v>
      </c>
      <c r="E1009" s="18">
        <v>-48.474555388572206</v>
      </c>
      <c r="F1009" s="18">
        <v>-24.495286608108028</v>
      </c>
      <c r="G1009" s="17">
        <v>-20.716355043277829</v>
      </c>
      <c r="I1009" s="14" t="s">
        <v>23</v>
      </c>
      <c r="J1009" s="41">
        <v>20</v>
      </c>
      <c r="K1009" s="97"/>
      <c r="L1009" s="40" t="s">
        <v>9</v>
      </c>
      <c r="M1009" s="97"/>
      <c r="N1009" s="99"/>
      <c r="O1009" s="97"/>
      <c r="Q1009" s="14" t="s">
        <v>75</v>
      </c>
      <c r="R1009" s="21">
        <f>IF(J1009=16,201,IF(J1009=20,314,IF(J1009=25,490,"Err")))</f>
        <v>314</v>
      </c>
      <c r="S1009" s="16" t="s">
        <v>25</v>
      </c>
    </row>
    <row r="1010" spans="1:19" x14ac:dyDescent="0.25">
      <c r="A1010" s="27" t="s">
        <v>28</v>
      </c>
      <c r="B1010" s="52">
        <f>phi*B1000*(B1008^2)*J1010*fy*(1-(0.588*J1010*fy/fc))/1000000</f>
        <v>235.047177796608</v>
      </c>
      <c r="C1010" s="53">
        <v>-45.493878386173087</v>
      </c>
      <c r="D1010" s="28">
        <v>-46.289821029082894</v>
      </c>
      <c r="E1010" s="28">
        <v>-124.49561265191795</v>
      </c>
      <c r="F1010" s="28">
        <v>-193.01735446669704</v>
      </c>
      <c r="G1010" s="17">
        <v>20.29676864283234</v>
      </c>
      <c r="I1010" s="14" t="s">
        <v>40</v>
      </c>
      <c r="J1010" s="24">
        <f>MAX(rhoMin,(K1010*R1009/(B1000*B1008)))</f>
        <v>7.7530864197530866E-3</v>
      </c>
      <c r="K1010" s="15">
        <v>4</v>
      </c>
      <c r="L1010" s="21">
        <f>IF(M1010&lt;2,(B1000-(2*(J1000+clrCover))-(K1010*J1009))/(K1010-1),(B1000-(2*(J1000+clrCover))-(N1010*J1009))/((N1010)-1))</f>
        <v>40</v>
      </c>
      <c r="M1010" s="15">
        <v>1</v>
      </c>
      <c r="N1010" s="22">
        <f>IF(M1010&lt;2,K1010,CEILING(K1010/2,1))</f>
        <v>4</v>
      </c>
      <c r="O1010" s="22">
        <f>K1010-N1010</f>
        <v>0</v>
      </c>
      <c r="Q1010" s="37" t="s">
        <v>74</v>
      </c>
      <c r="R1010" s="38">
        <f>rhoMin*B1000*B1008</f>
        <v>534.6</v>
      </c>
      <c r="S1010" s="22">
        <f>ROUNDUP(R1010/R1009,0)</f>
        <v>2</v>
      </c>
    </row>
    <row r="1011" spans="1:19" x14ac:dyDescent="0.25">
      <c r="A1011" s="65" t="s">
        <v>76</v>
      </c>
    </row>
    <row r="1012" spans="1:19" x14ac:dyDescent="0.25">
      <c r="A1012" s="69" t="s">
        <v>166</v>
      </c>
      <c r="B1012" s="11" t="s">
        <v>11</v>
      </c>
      <c r="C1012" s="10" t="s">
        <v>12</v>
      </c>
      <c r="D1012" s="10" t="s">
        <v>13</v>
      </c>
      <c r="E1012" s="10" t="s">
        <v>14</v>
      </c>
      <c r="F1012" s="10" t="s">
        <v>15</v>
      </c>
      <c r="G1012" s="11" t="s">
        <v>16</v>
      </c>
      <c r="H1012" s="6">
        <v>125</v>
      </c>
      <c r="I1012" s="90" t="s">
        <v>34</v>
      </c>
      <c r="J1012" s="91"/>
      <c r="K1012" s="71"/>
    </row>
    <row r="1013" spans="1:19" x14ac:dyDescent="0.25">
      <c r="A1013" s="12" t="s">
        <v>17</v>
      </c>
      <c r="B1013" s="48">
        <v>300</v>
      </c>
      <c r="C1013" s="44" t="s">
        <v>18</v>
      </c>
      <c r="D1013" s="44" t="s">
        <v>18</v>
      </c>
      <c r="E1013" s="44" t="s">
        <v>18</v>
      </c>
      <c r="F1013" s="44" t="s">
        <v>19</v>
      </c>
      <c r="G1013" s="45" t="s">
        <v>19</v>
      </c>
      <c r="H1013" s="6">
        <v>150</v>
      </c>
      <c r="I1013" s="14" t="s">
        <v>20</v>
      </c>
      <c r="J1013" s="15">
        <v>10</v>
      </c>
      <c r="K1013" s="16" t="s">
        <v>9</v>
      </c>
      <c r="L1013" s="22" t="s">
        <v>29</v>
      </c>
      <c r="M1013" s="22" t="s">
        <v>30</v>
      </c>
      <c r="N1013" s="22" t="s">
        <v>31</v>
      </c>
      <c r="O1013" s="22" t="s">
        <v>32</v>
      </c>
      <c r="P1013" s="3"/>
    </row>
    <row r="1014" spans="1:19" x14ac:dyDescent="0.25">
      <c r="A1014" s="12" t="s">
        <v>22</v>
      </c>
      <c r="B1014" s="48">
        <v>600</v>
      </c>
      <c r="C1014" s="17">
        <v>-1.0155036057071992E-2</v>
      </c>
      <c r="D1014" s="63">
        <v>1.3791029933063329E-4</v>
      </c>
      <c r="E1014" s="63">
        <v>0</v>
      </c>
      <c r="F1014" s="63">
        <v>-71.939532937187735</v>
      </c>
      <c r="G1014" s="54">
        <v>0</v>
      </c>
      <c r="H1014" s="6">
        <v>175</v>
      </c>
      <c r="I1014" s="56"/>
      <c r="J1014" s="57"/>
      <c r="K1014" s="58"/>
      <c r="L1014" s="92" t="s">
        <v>1</v>
      </c>
      <c r="M1014" s="93"/>
      <c r="N1014" s="22" t="s">
        <v>35</v>
      </c>
      <c r="O1014" s="22" t="s">
        <v>9</v>
      </c>
    </row>
    <row r="1015" spans="1:19" x14ac:dyDescent="0.25">
      <c r="A1015" s="20" t="s">
        <v>24</v>
      </c>
      <c r="B1015" s="13"/>
      <c r="C1015" s="17">
        <v>9.6933634879154858E-3</v>
      </c>
      <c r="D1015" s="18">
        <v>0</v>
      </c>
      <c r="E1015" s="18">
        <v>-11.904260551907308</v>
      </c>
      <c r="F1015" s="18">
        <v>0</v>
      </c>
      <c r="G1015" s="19">
        <v>1.0240794702298671E-4</v>
      </c>
      <c r="H1015" s="6">
        <v>200</v>
      </c>
      <c r="I1015" s="59" t="s">
        <v>70</v>
      </c>
      <c r="J1015" s="60"/>
      <c r="K1015" s="61"/>
      <c r="L1015" s="25">
        <f>MAX(ABS(E1018),ABS(E1019))*1000/(B1016*B1013)</f>
        <v>1.3954941879889677</v>
      </c>
      <c r="M1015" s="25">
        <f>L1015-phiVc</f>
        <v>0.73298475409387209</v>
      </c>
      <c r="N1015" s="26">
        <f>M1015*O1015*B1013/(phiV*fys*0.25*PI()*(J1013^2))</f>
        <v>1.3574766176004318</v>
      </c>
      <c r="O1015" s="15">
        <v>100</v>
      </c>
    </row>
    <row r="1016" spans="1:19" x14ac:dyDescent="0.25">
      <c r="A1016" s="12" t="s">
        <v>26</v>
      </c>
      <c r="B1016" s="49">
        <f>B1014-clrCover-J1013-(IF(M1020&gt;1,1.5*J1019,0.5*J1019))</f>
        <v>520</v>
      </c>
      <c r="C1016" s="64">
        <v>3.7108597990346406E-5</v>
      </c>
      <c r="D1016" s="17">
        <v>-1.2593847682089554</v>
      </c>
      <c r="E1016" s="18">
        <v>-4.5704092102256153</v>
      </c>
      <c r="F1016" s="18">
        <v>39.602407937420118</v>
      </c>
      <c r="G1016" s="19">
        <v>-0.49735046650519682</v>
      </c>
      <c r="H1016" s="6">
        <v>250</v>
      </c>
      <c r="I1016" s="59" t="s">
        <v>71</v>
      </c>
      <c r="J1016" s="60"/>
      <c r="K1016" s="61"/>
      <c r="L1016" s="25">
        <f>MAX(ABS(E1018),ABS(E1019))*1000/(B1021*B1013)</f>
        <v>1.3954941879889677</v>
      </c>
      <c r="M1016" s="25">
        <f>L1016-phiVc</f>
        <v>0.73298475409387209</v>
      </c>
      <c r="N1016" s="26">
        <f>M1016*O1016*B1013/(phiV*fys*0.25*PI()*(J1013^2))</f>
        <v>1.3574766176004318</v>
      </c>
      <c r="O1016" s="15">
        <v>100</v>
      </c>
    </row>
    <row r="1017" spans="1:19" x14ac:dyDescent="0.25">
      <c r="A1017" s="12" t="s">
        <v>27</v>
      </c>
      <c r="B1017" s="50">
        <f>K1020*R1019</f>
        <v>2198</v>
      </c>
      <c r="C1017" s="64">
        <v>-1.6245551676035449E-5</v>
      </c>
      <c r="D1017" s="17">
        <v>1.2593855025899372</v>
      </c>
      <c r="E1017" s="18">
        <v>12.954101097748229</v>
      </c>
      <c r="F1017" s="18">
        <v>-11.069882684641332</v>
      </c>
      <c r="G1017" s="19">
        <v>0.49735191658425965</v>
      </c>
      <c r="H1017" s="6">
        <v>300</v>
      </c>
    </row>
    <row r="1018" spans="1:19" x14ac:dyDescent="0.25">
      <c r="A1018" s="12" t="s">
        <v>28</v>
      </c>
      <c r="B1018" s="51">
        <f>-phi*B1013*(B1016^2)*J1020*fy*(1-(0.588*J1020*fy/fc))/1000000</f>
        <v>-371.76769200211197</v>
      </c>
      <c r="C1018" s="64">
        <v>3.2730694789041078E-3</v>
      </c>
      <c r="D1018" s="18">
        <v>-4.9416827364393254E-5</v>
      </c>
      <c r="E1018" s="17">
        <v>-201.94996833275508</v>
      </c>
      <c r="F1018" s="18">
        <v>-360.65389399001094</v>
      </c>
      <c r="G1018" s="19">
        <v>1.2781512707257182E-4</v>
      </c>
      <c r="I1018" s="90" t="s">
        <v>68</v>
      </c>
      <c r="J1018" s="91"/>
      <c r="K1018" s="94" t="s">
        <v>35</v>
      </c>
      <c r="L1018" s="78" t="s">
        <v>36</v>
      </c>
      <c r="M1018" s="96" t="s">
        <v>37</v>
      </c>
      <c r="N1018" s="98" t="s">
        <v>38</v>
      </c>
      <c r="O1018" s="96" t="s">
        <v>72</v>
      </c>
      <c r="Q1018" s="34" t="s">
        <v>73</v>
      </c>
    </row>
    <row r="1019" spans="1:19" x14ac:dyDescent="0.25">
      <c r="A1019" s="23" t="s">
        <v>33</v>
      </c>
      <c r="B1019" s="13"/>
      <c r="C1019" s="64">
        <v>-2.9024194103132689E-3</v>
      </c>
      <c r="D1019" s="18">
        <v>4.8621553518103511E-5</v>
      </c>
      <c r="E1019" s="17">
        <v>217.69709332627897</v>
      </c>
      <c r="F1019" s="18">
        <v>-370.80805090864209</v>
      </c>
      <c r="G1019" s="19">
        <v>7.3675850357680879E-5</v>
      </c>
      <c r="I1019" s="14" t="s">
        <v>23</v>
      </c>
      <c r="J1019" s="41">
        <v>20</v>
      </c>
      <c r="K1019" s="95"/>
      <c r="L1019" s="40" t="s">
        <v>9</v>
      </c>
      <c r="M1019" s="97"/>
      <c r="N1019" s="99"/>
      <c r="O1019" s="97"/>
      <c r="Q1019" s="14" t="s">
        <v>75</v>
      </c>
      <c r="R1019" s="21">
        <f>IF(J1019=16,201,IF(J1019=20,314,IF(J1019=25,490,"Err")))</f>
        <v>314</v>
      </c>
      <c r="S1019" s="16" t="s">
        <v>25</v>
      </c>
    </row>
    <row r="1020" spans="1:19" x14ac:dyDescent="0.25">
      <c r="A1020" s="20" t="s">
        <v>39</v>
      </c>
      <c r="B1020" s="13"/>
      <c r="C1020" s="64">
        <v>-2.9024194103132689E-3</v>
      </c>
      <c r="D1020" s="18">
        <v>4.8621553518103511E-5</v>
      </c>
      <c r="E1020" s="18">
        <v>217.69709332627897</v>
      </c>
      <c r="F1020" s="17">
        <v>-370.80805090864209</v>
      </c>
      <c r="G1020" s="19">
        <v>7.3675850357680879E-5</v>
      </c>
      <c r="I1020" s="14" t="s">
        <v>40</v>
      </c>
      <c r="J1020" s="24">
        <f>MAX(rhoMin,(K1020*R1019/(B1013*B1016)))</f>
        <v>1.4089743589743589E-2</v>
      </c>
      <c r="K1020" s="15">
        <v>7</v>
      </c>
      <c r="L1020" s="39">
        <f>IF(M1020&lt;2,(B1013-(2*(J1013+clrCover))-(K1020*J1019))/(K1020-1),(B1013-(2*(J1013+clrCover))-(N1020*J1019))/((N1020)-1))</f>
        <v>40</v>
      </c>
      <c r="M1020" s="15">
        <v>2</v>
      </c>
      <c r="N1020" s="22">
        <f>IF(M1020&lt;2,K1020,CEILING(K1020/2,1))</f>
        <v>4</v>
      </c>
      <c r="O1020" s="22">
        <f>K1020-N1020</f>
        <v>3</v>
      </c>
      <c r="Q1020" s="37" t="s">
        <v>74</v>
      </c>
      <c r="R1020" s="38">
        <f>rhoMin*B1013*B1016</f>
        <v>514.79999999999995</v>
      </c>
      <c r="S1020" s="22">
        <f>ROUNDUP(R1020/R1019,0)</f>
        <v>2</v>
      </c>
    </row>
    <row r="1021" spans="1:19" x14ac:dyDescent="0.25">
      <c r="A1021" s="12" t="s">
        <v>26</v>
      </c>
      <c r="B1021" s="49">
        <f>B1014-clrCover-J1013-(IF(M1023&gt;1,1.5*J1022,0.5*J1022))</f>
        <v>520</v>
      </c>
      <c r="C1021" s="64">
        <v>-2.9769537008090992E-3</v>
      </c>
      <c r="D1021" s="18">
        <v>4.8375032632474912E-5</v>
      </c>
      <c r="E1021" s="18">
        <v>133.10873685162269</v>
      </c>
      <c r="F1021" s="17">
        <v>306.41793851440985</v>
      </c>
      <c r="G1021" s="19">
        <v>-1.2577099968033475E-4</v>
      </c>
      <c r="I1021" s="90" t="s">
        <v>69</v>
      </c>
      <c r="J1021" s="91"/>
      <c r="K1021" s="96" t="s">
        <v>35</v>
      </c>
      <c r="L1021" s="78" t="s">
        <v>36</v>
      </c>
      <c r="M1021" s="96" t="s">
        <v>37</v>
      </c>
      <c r="N1021" s="98" t="s">
        <v>38</v>
      </c>
      <c r="O1021" s="96" t="s">
        <v>72</v>
      </c>
      <c r="R1021" s="36"/>
    </row>
    <row r="1022" spans="1:19" x14ac:dyDescent="0.25">
      <c r="A1022" s="12" t="s">
        <v>27</v>
      </c>
      <c r="B1022" s="50">
        <f>K1023*R1022</f>
        <v>1884</v>
      </c>
      <c r="C1022" s="64">
        <v>3.7108597990346406E-5</v>
      </c>
      <c r="D1022" s="18">
        <v>-1.2593847682089554</v>
      </c>
      <c r="E1022" s="18">
        <v>-4.5704092102256153</v>
      </c>
      <c r="F1022" s="18">
        <v>39.602407937420118</v>
      </c>
      <c r="G1022" s="17">
        <v>-0.49735046650519682</v>
      </c>
      <c r="I1022" s="14" t="s">
        <v>23</v>
      </c>
      <c r="J1022" s="41">
        <v>20</v>
      </c>
      <c r="K1022" s="97"/>
      <c r="L1022" s="40" t="s">
        <v>9</v>
      </c>
      <c r="M1022" s="97"/>
      <c r="N1022" s="99"/>
      <c r="O1022" s="97"/>
      <c r="Q1022" s="14" t="s">
        <v>75</v>
      </c>
      <c r="R1022" s="21">
        <f>IF(J1022=16,201,IF(J1022=20,314,IF(J1022=25,490,"Err")))</f>
        <v>314</v>
      </c>
      <c r="S1022" s="16" t="s">
        <v>25</v>
      </c>
    </row>
    <row r="1023" spans="1:19" x14ac:dyDescent="0.25">
      <c r="A1023" s="27" t="s">
        <v>28</v>
      </c>
      <c r="B1023" s="52">
        <f>phi*B1013*(B1021^2)*J1023*fy*(1-(0.588*J1023*fy/fc))/1000000</f>
        <v>325.28241404236798</v>
      </c>
      <c r="C1023" s="53">
        <v>-1.6245551676035449E-5</v>
      </c>
      <c r="D1023" s="28">
        <v>1.2593855025899372</v>
      </c>
      <c r="E1023" s="28">
        <v>12.954101097748229</v>
      </c>
      <c r="F1023" s="28">
        <v>-11.069882684641332</v>
      </c>
      <c r="G1023" s="17">
        <v>0.49735191658425965</v>
      </c>
      <c r="I1023" s="14" t="s">
        <v>40</v>
      </c>
      <c r="J1023" s="24">
        <f>MAX(rhoMin,(K1023*R1022/(B1013*B1021)))</f>
        <v>1.2076923076923077E-2</v>
      </c>
      <c r="K1023" s="15">
        <v>6</v>
      </c>
      <c r="L1023" s="21">
        <f>IF(M1023&lt;2,(B1013-(2*(J1013+clrCover))-(K1023*J1022))/(K1023-1),(B1013-(2*(J1013+clrCover))-(N1023*J1022))/((N1023)-1))</f>
        <v>70</v>
      </c>
      <c r="M1023" s="15">
        <v>2</v>
      </c>
      <c r="N1023" s="22">
        <f>IF(M1023&lt;2,K1023,CEILING(K1023/2,1))</f>
        <v>3</v>
      </c>
      <c r="O1023" s="22">
        <f>K1023-N1023</f>
        <v>3</v>
      </c>
      <c r="Q1023" s="37" t="s">
        <v>74</v>
      </c>
      <c r="R1023" s="38">
        <f>rhoMin*B1013*B1021</f>
        <v>514.79999999999995</v>
      </c>
      <c r="S1023" s="22">
        <f>ROUNDUP(R1023/R1022,0)</f>
        <v>2</v>
      </c>
    </row>
    <row r="1024" spans="1:19" x14ac:dyDescent="0.25">
      <c r="A1024" s="65" t="s">
        <v>76</v>
      </c>
    </row>
    <row r="1025" spans="1:19" x14ac:dyDescent="0.25">
      <c r="A1025" s="69" t="s">
        <v>167</v>
      </c>
      <c r="B1025" s="11" t="s">
        <v>11</v>
      </c>
      <c r="C1025" s="10" t="s">
        <v>12</v>
      </c>
      <c r="D1025" s="10" t="s">
        <v>13</v>
      </c>
      <c r="E1025" s="10" t="s">
        <v>14</v>
      </c>
      <c r="F1025" s="10" t="s">
        <v>15</v>
      </c>
      <c r="G1025" s="11" t="s">
        <v>16</v>
      </c>
      <c r="H1025" s="6">
        <v>125</v>
      </c>
      <c r="I1025" s="90" t="s">
        <v>34</v>
      </c>
      <c r="J1025" s="91"/>
      <c r="K1025" s="71"/>
    </row>
    <row r="1026" spans="1:19" x14ac:dyDescent="0.25">
      <c r="A1026" s="12" t="s">
        <v>17</v>
      </c>
      <c r="B1026" s="48">
        <v>250</v>
      </c>
      <c r="C1026" s="44" t="s">
        <v>18</v>
      </c>
      <c r="D1026" s="44" t="s">
        <v>18</v>
      </c>
      <c r="E1026" s="44" t="s">
        <v>18</v>
      </c>
      <c r="F1026" s="44" t="s">
        <v>19</v>
      </c>
      <c r="G1026" s="45" t="s">
        <v>19</v>
      </c>
      <c r="H1026" s="6">
        <v>150</v>
      </c>
      <c r="I1026" s="14" t="s">
        <v>20</v>
      </c>
      <c r="J1026" s="15">
        <v>10</v>
      </c>
      <c r="K1026" s="16" t="s">
        <v>9</v>
      </c>
      <c r="L1026" s="22" t="s">
        <v>29</v>
      </c>
      <c r="M1026" s="22" t="s">
        <v>30</v>
      </c>
      <c r="N1026" s="22" t="s">
        <v>31</v>
      </c>
      <c r="O1026" s="22" t="s">
        <v>32</v>
      </c>
      <c r="P1026" s="3"/>
    </row>
    <row r="1027" spans="1:19" x14ac:dyDescent="0.25">
      <c r="A1027" s="12" t="s">
        <v>22</v>
      </c>
      <c r="B1027" s="48">
        <v>500</v>
      </c>
      <c r="C1027" s="17">
        <v>-217.85816914705359</v>
      </c>
      <c r="D1027" s="63">
        <v>2.4896309471657512</v>
      </c>
      <c r="E1027" s="63">
        <v>0</v>
      </c>
      <c r="F1027" s="63">
        <v>-55.357837478630884</v>
      </c>
      <c r="G1027" s="54">
        <v>0</v>
      </c>
      <c r="H1027" s="6">
        <v>175</v>
      </c>
      <c r="I1027" s="56"/>
      <c r="J1027" s="57"/>
      <c r="K1027" s="58"/>
      <c r="L1027" s="92" t="s">
        <v>1</v>
      </c>
      <c r="M1027" s="93"/>
      <c r="N1027" s="22" t="s">
        <v>35</v>
      </c>
      <c r="O1027" s="22" t="s">
        <v>9</v>
      </c>
    </row>
    <row r="1028" spans="1:19" x14ac:dyDescent="0.25">
      <c r="A1028" s="20" t="s">
        <v>24</v>
      </c>
      <c r="B1028" s="13"/>
      <c r="C1028" s="17">
        <v>214.66180060886538</v>
      </c>
      <c r="D1028" s="18">
        <v>0</v>
      </c>
      <c r="E1028" s="18">
        <v>-38.115650286417988</v>
      </c>
      <c r="F1028" s="18">
        <v>0</v>
      </c>
      <c r="G1028" s="19">
        <v>1.9264926717799136</v>
      </c>
      <c r="H1028" s="6">
        <v>200</v>
      </c>
      <c r="I1028" s="59" t="s">
        <v>70</v>
      </c>
      <c r="J1028" s="60"/>
      <c r="K1028" s="61"/>
      <c r="L1028" s="25">
        <f>MAX(ABS(E1031),ABS(E1032))*1000/(B1029*B1026)</f>
        <v>1.5695560154966262</v>
      </c>
      <c r="M1028" s="25">
        <f>L1028-phiVc</f>
        <v>0.90704658160153051</v>
      </c>
      <c r="N1028" s="26">
        <f>M1028*O1028*B1026/(phiV*fys*0.25*PI()*(J1026^2))</f>
        <v>1.3998637292265674</v>
      </c>
      <c r="O1028" s="15">
        <v>100</v>
      </c>
    </row>
    <row r="1029" spans="1:19" x14ac:dyDescent="0.25">
      <c r="A1029" s="12" t="s">
        <v>26</v>
      </c>
      <c r="B1029" s="49">
        <f>B1027-clrCover-J1026-(IF(M1033&gt;1,1.5*J1032,0.5*J1032))</f>
        <v>420</v>
      </c>
      <c r="C1029" s="64">
        <v>-20.045980848302868</v>
      </c>
      <c r="D1029" s="17">
        <v>-2.9717169883518908</v>
      </c>
      <c r="E1029" s="18">
        <v>77.652125215464039</v>
      </c>
      <c r="F1029" s="18">
        <v>-19.197413697778895</v>
      </c>
      <c r="G1029" s="19">
        <v>1.2056971884345187</v>
      </c>
      <c r="H1029" s="6">
        <v>250</v>
      </c>
      <c r="I1029" s="59" t="s">
        <v>71</v>
      </c>
      <c r="J1029" s="60"/>
      <c r="K1029" s="61"/>
      <c r="L1029" s="25">
        <f>MAX(ABS(E1031),ABS(E1032))*1000/(B1034*B1026)</f>
        <v>1.4982125602467795</v>
      </c>
      <c r="M1029" s="25">
        <f>L1029-phiVc</f>
        <v>0.83570312635168387</v>
      </c>
      <c r="N1029" s="26">
        <f>M1029*O1029*B1026/(phiV*fys*0.25*PI()*(J1026^2))</f>
        <v>1.2897579007633577</v>
      </c>
      <c r="O1029" s="15">
        <v>100</v>
      </c>
    </row>
    <row r="1030" spans="1:19" x14ac:dyDescent="0.25">
      <c r="A1030" s="12" t="s">
        <v>27</v>
      </c>
      <c r="B1030" s="50">
        <f>K1033*R1032</f>
        <v>1256</v>
      </c>
      <c r="C1030" s="64">
        <v>18.937517461323811</v>
      </c>
      <c r="D1030" s="17">
        <v>2.9445657672866665</v>
      </c>
      <c r="E1030" s="18">
        <v>22.176013619819873</v>
      </c>
      <c r="F1030" s="18">
        <v>-5.3161053397222533</v>
      </c>
      <c r="G1030" s="19">
        <v>-1.1881242074223752</v>
      </c>
      <c r="H1030" s="6">
        <v>300</v>
      </c>
    </row>
    <row r="1031" spans="1:19" x14ac:dyDescent="0.25">
      <c r="A1031" s="12" t="s">
        <v>28</v>
      </c>
      <c r="B1031" s="51">
        <f>-phi*B1026*(B1029^2)*J1033*fy*(1-(0.588*J1033*fy/fc))/1000000</f>
        <v>-175.3558965559296</v>
      </c>
      <c r="C1031" s="64">
        <v>-0.75840808456033804</v>
      </c>
      <c r="D1031" s="18">
        <v>-0.19269693547752584</v>
      </c>
      <c r="E1031" s="17">
        <v>-63.745704317580689</v>
      </c>
      <c r="F1031" s="18">
        <v>-104.18266601816605</v>
      </c>
      <c r="G1031" s="19">
        <v>0.12046075027162495</v>
      </c>
      <c r="I1031" s="90" t="s">
        <v>68</v>
      </c>
      <c r="J1031" s="91"/>
      <c r="K1031" s="94" t="s">
        <v>35</v>
      </c>
      <c r="L1031" s="78" t="s">
        <v>36</v>
      </c>
      <c r="M1031" s="96" t="s">
        <v>37</v>
      </c>
      <c r="N1031" s="98" t="s">
        <v>38</v>
      </c>
      <c r="O1031" s="96" t="s">
        <v>72</v>
      </c>
      <c r="Q1031" s="34" t="s">
        <v>73</v>
      </c>
    </row>
    <row r="1032" spans="1:19" x14ac:dyDescent="0.25">
      <c r="A1032" s="23" t="s">
        <v>33</v>
      </c>
      <c r="B1032" s="13"/>
      <c r="C1032" s="64">
        <v>-2.0729600619811466</v>
      </c>
      <c r="D1032" s="18">
        <v>-5.9435907955215549E-2</v>
      </c>
      <c r="E1032" s="17">
        <v>164.80338162714574</v>
      </c>
      <c r="F1032" s="18">
        <v>-174.50264975865659</v>
      </c>
      <c r="G1032" s="19">
        <v>-3.7901850472997739E-2</v>
      </c>
      <c r="I1032" s="14" t="s">
        <v>23</v>
      </c>
      <c r="J1032" s="41">
        <v>20</v>
      </c>
      <c r="K1032" s="95"/>
      <c r="L1032" s="40" t="s">
        <v>9</v>
      </c>
      <c r="M1032" s="97"/>
      <c r="N1032" s="99"/>
      <c r="O1032" s="97"/>
      <c r="Q1032" s="14" t="s">
        <v>75</v>
      </c>
      <c r="R1032" s="21">
        <f>IF(J1032=16,201,IF(J1032=20,314,IF(J1032=25,490,"Err")))</f>
        <v>314</v>
      </c>
      <c r="S1032" s="16" t="s">
        <v>25</v>
      </c>
    </row>
    <row r="1033" spans="1:19" x14ac:dyDescent="0.25">
      <c r="A1033" s="20" t="s">
        <v>39</v>
      </c>
      <c r="B1033" s="13"/>
      <c r="C1033" s="64">
        <v>-2.0729600619811466</v>
      </c>
      <c r="D1033" s="18">
        <v>-5.9435907955215549E-2</v>
      </c>
      <c r="E1033" s="18">
        <v>164.80338162714574</v>
      </c>
      <c r="F1033" s="17">
        <v>-174.50264975865659</v>
      </c>
      <c r="G1033" s="19">
        <v>-3.7901850472997739E-2</v>
      </c>
      <c r="I1033" s="14" t="s">
        <v>40</v>
      </c>
      <c r="J1033" s="24">
        <f>MAX(rhoMin,(K1033*R1032/(B1026*B1029)))</f>
        <v>1.1961904761904762E-2</v>
      </c>
      <c r="K1033" s="15">
        <v>4</v>
      </c>
      <c r="L1033" s="39">
        <f>IF(M1033&lt;2,(B1026-(2*(J1026+clrCover))-(K1033*J1032))/(K1033-1),(B1026-(2*(J1026+clrCover))-(N1033*J1032))/((N1033)-1))</f>
        <v>110</v>
      </c>
      <c r="M1033" s="15">
        <v>2</v>
      </c>
      <c r="N1033" s="22">
        <f>IF(M1033&lt;2,K1033,CEILING(K1033/2,1))</f>
        <v>2</v>
      </c>
      <c r="O1033" s="22">
        <f>K1033-N1033</f>
        <v>2</v>
      </c>
      <c r="Q1033" s="37" t="s">
        <v>74</v>
      </c>
      <c r="R1033" s="38">
        <f>rhoMin*B1026*B1029</f>
        <v>346.5</v>
      </c>
      <c r="S1033" s="22">
        <f>ROUNDUP(R1033/R1032,0)</f>
        <v>2</v>
      </c>
    </row>
    <row r="1034" spans="1:19" x14ac:dyDescent="0.25">
      <c r="A1034" s="12" t="s">
        <v>26</v>
      </c>
      <c r="B1034" s="49">
        <f>B1027-clrCover-J1026-(IF(M1036&gt;1,1.5*J1035,0.5*J1035))</f>
        <v>440</v>
      </c>
      <c r="C1034" s="64">
        <v>-0.57304985160558686</v>
      </c>
      <c r="D1034" s="18">
        <v>-1.0561488718866774E-4</v>
      </c>
      <c r="E1034" s="18">
        <v>-0.40500055371653831</v>
      </c>
      <c r="F1034" s="17">
        <v>46.503694187983598</v>
      </c>
      <c r="G1034" s="19">
        <v>4.2191875012464247E-3</v>
      </c>
      <c r="I1034" s="90" t="s">
        <v>69</v>
      </c>
      <c r="J1034" s="91"/>
      <c r="K1034" s="96" t="s">
        <v>35</v>
      </c>
      <c r="L1034" s="78" t="s">
        <v>36</v>
      </c>
      <c r="M1034" s="96" t="s">
        <v>37</v>
      </c>
      <c r="N1034" s="98" t="s">
        <v>38</v>
      </c>
      <c r="O1034" s="96" t="s">
        <v>72</v>
      </c>
      <c r="R1034" s="36"/>
    </row>
    <row r="1035" spans="1:19" x14ac:dyDescent="0.25">
      <c r="A1035" s="12" t="s">
        <v>27</v>
      </c>
      <c r="B1035" s="50">
        <f>K1036*R1035</f>
        <v>628</v>
      </c>
      <c r="C1035" s="64">
        <v>-20.045980848302868</v>
      </c>
      <c r="D1035" s="18">
        <v>-2.9717169883518908</v>
      </c>
      <c r="E1035" s="18">
        <v>120.8236766310762</v>
      </c>
      <c r="F1035" s="18">
        <v>-132.32857251161258</v>
      </c>
      <c r="G1035" s="17">
        <v>-2.1820425364044316</v>
      </c>
      <c r="I1035" s="14" t="s">
        <v>23</v>
      </c>
      <c r="J1035" s="41">
        <v>20</v>
      </c>
      <c r="K1035" s="97"/>
      <c r="L1035" s="40" t="s">
        <v>9</v>
      </c>
      <c r="M1035" s="97"/>
      <c r="N1035" s="99"/>
      <c r="O1035" s="97"/>
      <c r="Q1035" s="14" t="s">
        <v>75</v>
      </c>
      <c r="R1035" s="21">
        <f>IF(J1035=16,201,IF(J1035=20,314,IF(J1035=25,490,"Err")))</f>
        <v>314</v>
      </c>
      <c r="S1035" s="16" t="s">
        <v>25</v>
      </c>
    </row>
    <row r="1036" spans="1:19" x14ac:dyDescent="0.25">
      <c r="A1036" s="27" t="s">
        <v>28</v>
      </c>
      <c r="B1036" s="52">
        <f>phi*B1026*(B1034^2)*J1036*fy*(1-(0.588*J1036*fy/fc))/1000000</f>
        <v>97.657318138982404</v>
      </c>
      <c r="C1036" s="53">
        <v>18.937517461323811</v>
      </c>
      <c r="D1036" s="28">
        <v>2.9445657672866665</v>
      </c>
      <c r="E1036" s="28">
        <v>45.6751416510442</v>
      </c>
      <c r="F1036" s="28">
        <v>-43.991316765471204</v>
      </c>
      <c r="G1036" s="17">
        <v>2.1686632865880409</v>
      </c>
      <c r="I1036" s="14" t="s">
        <v>40</v>
      </c>
      <c r="J1036" s="24">
        <f>MAX(rhoMin,(K1036*R1035/(B1026*B1034)))</f>
        <v>5.7090909090909093E-3</v>
      </c>
      <c r="K1036" s="15">
        <v>2</v>
      </c>
      <c r="L1036" s="21">
        <f>IF(M1036&lt;2,(B1026-(2*(J1026+clrCover))-(K1036*J1035))/(K1036-1),(B1026-(2*(J1026+clrCover))-(N1036*J1035))/((N1036)-1))</f>
        <v>110</v>
      </c>
      <c r="M1036" s="15">
        <v>1</v>
      </c>
      <c r="N1036" s="22">
        <f>IF(M1036&lt;2,K1036,CEILING(K1036/2,1))</f>
        <v>2</v>
      </c>
      <c r="O1036" s="22">
        <f>K1036-N1036</f>
        <v>0</v>
      </c>
      <c r="Q1036" s="37" t="s">
        <v>74</v>
      </c>
      <c r="R1036" s="38">
        <f>rhoMin*B1026*B1034</f>
        <v>363</v>
      </c>
      <c r="S1036" s="22">
        <f>ROUNDUP(R1036/R1035,0)</f>
        <v>2</v>
      </c>
    </row>
    <row r="1037" spans="1:19" x14ac:dyDescent="0.25">
      <c r="A1037" s="65" t="s">
        <v>76</v>
      </c>
    </row>
    <row r="1038" spans="1:19" x14ac:dyDescent="0.25">
      <c r="A1038" s="69" t="s">
        <v>170</v>
      </c>
      <c r="B1038" s="11" t="s">
        <v>11</v>
      </c>
      <c r="C1038" s="10" t="s">
        <v>12</v>
      </c>
      <c r="D1038" s="10" t="s">
        <v>13</v>
      </c>
      <c r="E1038" s="10" t="s">
        <v>14</v>
      </c>
      <c r="F1038" s="10" t="s">
        <v>15</v>
      </c>
      <c r="G1038" s="11" t="s">
        <v>16</v>
      </c>
      <c r="H1038" s="6">
        <v>125</v>
      </c>
      <c r="I1038" s="90" t="s">
        <v>34</v>
      </c>
      <c r="J1038" s="91"/>
      <c r="K1038" s="71"/>
    </row>
    <row r="1039" spans="1:19" x14ac:dyDescent="0.25">
      <c r="A1039" s="12" t="s">
        <v>17</v>
      </c>
      <c r="B1039" s="48">
        <v>400</v>
      </c>
      <c r="C1039" s="44" t="s">
        <v>18</v>
      </c>
      <c r="D1039" s="44" t="s">
        <v>18</v>
      </c>
      <c r="E1039" s="44" t="s">
        <v>18</v>
      </c>
      <c r="F1039" s="44" t="s">
        <v>19</v>
      </c>
      <c r="G1039" s="45" t="s">
        <v>19</v>
      </c>
      <c r="H1039" s="6">
        <v>150</v>
      </c>
      <c r="I1039" s="14" t="s">
        <v>20</v>
      </c>
      <c r="J1039" s="15">
        <v>10</v>
      </c>
      <c r="K1039" s="16" t="s">
        <v>9</v>
      </c>
      <c r="L1039" s="22" t="s">
        <v>29</v>
      </c>
      <c r="M1039" s="22" t="s">
        <v>30</v>
      </c>
      <c r="N1039" s="22" t="s">
        <v>31</v>
      </c>
      <c r="O1039" s="22" t="s">
        <v>32</v>
      </c>
      <c r="P1039" s="3"/>
    </row>
    <row r="1040" spans="1:19" x14ac:dyDescent="0.25">
      <c r="A1040" s="12" t="s">
        <v>22</v>
      </c>
      <c r="B1040" s="48">
        <v>700</v>
      </c>
      <c r="C1040" s="17">
        <v>-5.3430833101097957E-3</v>
      </c>
      <c r="D1040" s="63">
        <v>1.119971362924474E-4</v>
      </c>
      <c r="E1040" s="63">
        <v>0</v>
      </c>
      <c r="F1040" s="63">
        <v>64.55717886498465</v>
      </c>
      <c r="G1040" s="54">
        <v>0</v>
      </c>
      <c r="H1040" s="6">
        <v>175</v>
      </c>
      <c r="I1040" s="56"/>
      <c r="J1040" s="57"/>
      <c r="K1040" s="58"/>
      <c r="L1040" s="92" t="s">
        <v>1</v>
      </c>
      <c r="M1040" s="93"/>
      <c r="N1040" s="22" t="s">
        <v>35</v>
      </c>
      <c r="O1040" s="22" t="s">
        <v>9</v>
      </c>
    </row>
    <row r="1041" spans="1:19" x14ac:dyDescent="0.25">
      <c r="A1041" s="20" t="s">
        <v>24</v>
      </c>
      <c r="B1041" s="13"/>
      <c r="C1041" s="17">
        <v>5.7270106818064961E-3</v>
      </c>
      <c r="D1041" s="18">
        <v>0</v>
      </c>
      <c r="E1041" s="18">
        <v>139.95620172883076</v>
      </c>
      <c r="F1041" s="18">
        <v>0</v>
      </c>
      <c r="G1041" s="19">
        <v>9.228023187761851E-5</v>
      </c>
      <c r="H1041" s="6">
        <v>200</v>
      </c>
      <c r="I1041" s="59" t="s">
        <v>70</v>
      </c>
      <c r="J1041" s="60"/>
      <c r="K1041" s="61"/>
      <c r="L1041" s="25">
        <f>MAX(ABS(E1044),ABS(E1045))*1000/(B1042*B1039)</f>
        <v>1.0110269818145157</v>
      </c>
      <c r="M1041" s="25">
        <f>L1041-phiVc</f>
        <v>0.34851754791942002</v>
      </c>
      <c r="N1041" s="26">
        <f>M1041*O1041*B1039/(phiV*fys*0.25*PI()*(J1039^2))</f>
        <v>0.86059893148147881</v>
      </c>
      <c r="O1041" s="15">
        <v>100</v>
      </c>
    </row>
    <row r="1042" spans="1:19" x14ac:dyDescent="0.25">
      <c r="A1042" s="12" t="s">
        <v>26</v>
      </c>
      <c r="B1042" s="49">
        <f>B1040-clrCover-J1039-(IF(M1046&gt;1,1.5*J1045,0.5*J1045))</f>
        <v>620</v>
      </c>
      <c r="C1042" s="64">
        <v>-1.0197209716342557E-3</v>
      </c>
      <c r="D1042" s="17">
        <v>-20.617625068739507</v>
      </c>
      <c r="E1042" s="18">
        <v>70.793608467890934</v>
      </c>
      <c r="F1042" s="18">
        <v>-70.620624578047966</v>
      </c>
      <c r="G1042" s="19">
        <v>-24.608321080878703</v>
      </c>
      <c r="H1042" s="6">
        <v>250</v>
      </c>
      <c r="I1042" s="59" t="s">
        <v>71</v>
      </c>
      <c r="J1042" s="60"/>
      <c r="K1042" s="61"/>
      <c r="L1042" s="25">
        <f>MAX(ABS(E1044),ABS(E1045))*1000/(B1047*B1039)</f>
        <v>1.0110269818145157</v>
      </c>
      <c r="M1042" s="25">
        <f>L1042-phiVc</f>
        <v>0.34851754791942002</v>
      </c>
      <c r="N1042" s="26">
        <f>M1042*O1042*B1039/(phiV*fys*0.25*PI()*(J1039^2))</f>
        <v>0.86059893148147881</v>
      </c>
      <c r="O1042" s="15">
        <v>100</v>
      </c>
    </row>
    <row r="1043" spans="1:19" x14ac:dyDescent="0.25">
      <c r="A1043" s="12" t="s">
        <v>27</v>
      </c>
      <c r="B1043" s="50">
        <f>K1046*R1045</f>
        <v>2512</v>
      </c>
      <c r="C1043" s="64">
        <v>8.3378576773002785E-4</v>
      </c>
      <c r="D1043" s="17">
        <v>20.617619575619987</v>
      </c>
      <c r="E1043" s="18">
        <v>51.542366104269718</v>
      </c>
      <c r="F1043" s="18">
        <v>-64.579641870318369</v>
      </c>
      <c r="G1043" s="19">
        <v>24.608304257230138</v>
      </c>
      <c r="H1043" s="6">
        <v>300</v>
      </c>
    </row>
    <row r="1044" spans="1:19" x14ac:dyDescent="0.25">
      <c r="A1044" s="12" t="s">
        <v>28</v>
      </c>
      <c r="B1044" s="51">
        <f>-phi*B1039*(B1042^2)*J1046*fy*(1-(0.588*J1046*fy/fc))/1000000</f>
        <v>-527.30700538982398</v>
      </c>
      <c r="C1044" s="64">
        <v>-1.4841055537208377E-3</v>
      </c>
      <c r="D1044" s="18">
        <v>-1.0730228164011636E-5</v>
      </c>
      <c r="E1044" s="17">
        <v>-209.40760609017249</v>
      </c>
      <c r="F1044" s="18">
        <v>-453.06553247820182</v>
      </c>
      <c r="G1044" s="19">
        <v>1.5713938470931043E-5</v>
      </c>
      <c r="I1044" s="90" t="s">
        <v>68</v>
      </c>
      <c r="J1044" s="91"/>
      <c r="K1044" s="94" t="s">
        <v>35</v>
      </c>
      <c r="L1044" s="78" t="s">
        <v>36</v>
      </c>
      <c r="M1044" s="96" t="s">
        <v>37</v>
      </c>
      <c r="N1044" s="98" t="s">
        <v>38</v>
      </c>
      <c r="O1044" s="96" t="s">
        <v>72</v>
      </c>
      <c r="Q1044" s="34" t="s">
        <v>73</v>
      </c>
    </row>
    <row r="1045" spans="1:19" x14ac:dyDescent="0.25">
      <c r="A1045" s="23" t="s">
        <v>33</v>
      </c>
      <c r="B1045" s="13"/>
      <c r="C1045" s="64">
        <v>3.7886588512956219E-4</v>
      </c>
      <c r="D1045" s="18">
        <v>2.6942754687965474E-6</v>
      </c>
      <c r="E1045" s="17">
        <v>250.73469148999988</v>
      </c>
      <c r="F1045" s="18">
        <v>-366.96527617543921</v>
      </c>
      <c r="G1045" s="19">
        <v>3.4450099529038885E-6</v>
      </c>
      <c r="I1045" s="14" t="s">
        <v>23</v>
      </c>
      <c r="J1045" s="41">
        <v>20</v>
      </c>
      <c r="K1045" s="95"/>
      <c r="L1045" s="40" t="s">
        <v>9</v>
      </c>
      <c r="M1045" s="97"/>
      <c r="N1045" s="99"/>
      <c r="O1045" s="97"/>
      <c r="Q1045" s="14" t="s">
        <v>75</v>
      </c>
      <c r="R1045" s="21">
        <f>IF(J1045=16,201,IF(J1045=20,314,IF(J1045=25,490,"Err")))</f>
        <v>314</v>
      </c>
      <c r="S1045" s="16" t="s">
        <v>25</v>
      </c>
    </row>
    <row r="1046" spans="1:19" x14ac:dyDescent="0.25">
      <c r="A1046" s="20" t="s">
        <v>39</v>
      </c>
      <c r="B1046" s="13"/>
      <c r="C1046" s="64">
        <v>5.7270106818064961E-3</v>
      </c>
      <c r="D1046" s="18">
        <v>-1.1184373815606391E-4</v>
      </c>
      <c r="E1046" s="18">
        <v>236.77488240867311</v>
      </c>
      <c r="F1046" s="17">
        <v>-530.91052756288457</v>
      </c>
      <c r="G1046" s="19">
        <v>-2.7963304902503121E-4</v>
      </c>
      <c r="I1046" s="14" t="s">
        <v>40</v>
      </c>
      <c r="J1046" s="24">
        <f>MAX(rhoMin,(K1046*R1045/(B1039*B1042)))</f>
        <v>1.0129032258064516E-2</v>
      </c>
      <c r="K1046" s="15">
        <v>8</v>
      </c>
      <c r="L1046" s="39">
        <f>IF(M1046&lt;2,(B1039-(2*(J1039+clrCover))-(K1046*J1045))/(K1046-1),(B1039-(2*(J1039+clrCover))-(N1046*J1045))/((N1046)-1))</f>
        <v>73.333333333333329</v>
      </c>
      <c r="M1046" s="15">
        <v>2</v>
      </c>
      <c r="N1046" s="22">
        <f>IF(M1046&lt;2,K1046,CEILING(K1046/2,1))</f>
        <v>4</v>
      </c>
      <c r="O1046" s="22">
        <f>K1046-N1046</f>
        <v>4</v>
      </c>
      <c r="Q1046" s="37" t="s">
        <v>74</v>
      </c>
      <c r="R1046" s="38">
        <f>rhoMin*B1039*B1042</f>
        <v>818.40000000000009</v>
      </c>
      <c r="S1046" s="22">
        <f>ROUNDUP(R1046/R1045,0)</f>
        <v>3</v>
      </c>
    </row>
    <row r="1047" spans="1:19" x14ac:dyDescent="0.25">
      <c r="A1047" s="12" t="s">
        <v>26</v>
      </c>
      <c r="B1047" s="49">
        <f>B1040-clrCover-J1039-(IF(M1049&gt;1,1.5*J1048,0.5*J1048))</f>
        <v>620</v>
      </c>
      <c r="C1047" s="64">
        <v>4.4555752721789756E-4</v>
      </c>
      <c r="D1047" s="18">
        <v>-1.3763500890176062E-5</v>
      </c>
      <c r="E1047" s="18">
        <v>53.975723739735471</v>
      </c>
      <c r="F1047" s="17">
        <v>261.08725495199133</v>
      </c>
      <c r="G1047" s="19">
        <v>4.2309289288085197E-5</v>
      </c>
      <c r="I1047" s="90" t="s">
        <v>69</v>
      </c>
      <c r="J1047" s="91"/>
      <c r="K1047" s="96" t="s">
        <v>35</v>
      </c>
      <c r="L1047" s="78" t="s">
        <v>36</v>
      </c>
      <c r="M1047" s="96" t="s">
        <v>37</v>
      </c>
      <c r="N1047" s="98" t="s">
        <v>38</v>
      </c>
      <c r="O1047" s="96" t="s">
        <v>72</v>
      </c>
      <c r="R1047" s="36"/>
    </row>
    <row r="1048" spans="1:19" x14ac:dyDescent="0.25">
      <c r="A1048" s="12" t="s">
        <v>27</v>
      </c>
      <c r="B1048" s="50">
        <f>K1049*R1048</f>
        <v>1570</v>
      </c>
      <c r="C1048" s="64">
        <v>-1.0197209716342557E-3</v>
      </c>
      <c r="D1048" s="18">
        <v>-20.617625068739507</v>
      </c>
      <c r="E1048" s="18">
        <v>70.793608467890934</v>
      </c>
      <c r="F1048" s="18">
        <v>-70.620624578047966</v>
      </c>
      <c r="G1048" s="17">
        <v>-24.608321080878703</v>
      </c>
      <c r="I1048" s="14" t="s">
        <v>23</v>
      </c>
      <c r="J1048" s="41">
        <v>20</v>
      </c>
      <c r="K1048" s="97"/>
      <c r="L1048" s="40" t="s">
        <v>9</v>
      </c>
      <c r="M1048" s="97"/>
      <c r="N1048" s="99"/>
      <c r="O1048" s="97"/>
      <c r="Q1048" s="14" t="s">
        <v>75</v>
      </c>
      <c r="R1048" s="21">
        <f>IF(J1048=16,201,IF(J1048=20,314,IF(J1048=25,490,"Err")))</f>
        <v>314</v>
      </c>
      <c r="S1048" s="16" t="s">
        <v>25</v>
      </c>
    </row>
    <row r="1049" spans="1:19" x14ac:dyDescent="0.25">
      <c r="A1049" s="27" t="s">
        <v>28</v>
      </c>
      <c r="B1049" s="52">
        <f>phi*B1039*(B1047^2)*J1049*fy*(1-(0.588*J1049*fy/fc))/1000000</f>
        <v>341.98761398039994</v>
      </c>
      <c r="C1049" s="53">
        <v>8.3378576773002785E-4</v>
      </c>
      <c r="D1049" s="28">
        <v>20.617619575619987</v>
      </c>
      <c r="E1049" s="28">
        <v>51.542366104269718</v>
      </c>
      <c r="F1049" s="28">
        <v>-64.579641870318369</v>
      </c>
      <c r="G1049" s="17">
        <v>24.608304257230138</v>
      </c>
      <c r="I1049" s="14" t="s">
        <v>40</v>
      </c>
      <c r="J1049" s="24">
        <f>MAX(rhoMin,(K1049*R1048/(B1039*B1047)))</f>
        <v>6.3306451612903224E-3</v>
      </c>
      <c r="K1049" s="15">
        <v>5</v>
      </c>
      <c r="L1049" s="21">
        <f>IF(M1049&lt;2,(B1039-(2*(J1039+clrCover))-(K1049*J1048))/(K1049-1),(B1039-(2*(J1039+clrCover))-(N1049*J1048))/((N1049)-1))</f>
        <v>120</v>
      </c>
      <c r="M1049" s="15">
        <v>2</v>
      </c>
      <c r="N1049" s="22">
        <f>IF(M1049&lt;2,K1049,CEILING(K1049/2,1))</f>
        <v>3</v>
      </c>
      <c r="O1049" s="22">
        <f>K1049-N1049</f>
        <v>2</v>
      </c>
      <c r="Q1049" s="37" t="s">
        <v>74</v>
      </c>
      <c r="R1049" s="38">
        <f>rhoMin*B1039*B1047</f>
        <v>818.40000000000009</v>
      </c>
      <c r="S1049" s="22">
        <f>ROUNDUP(R1049/R1048,0)</f>
        <v>3</v>
      </c>
    </row>
    <row r="1050" spans="1:19" x14ac:dyDescent="0.25">
      <c r="A1050" s="65" t="s">
        <v>76</v>
      </c>
    </row>
    <row r="1051" spans="1:19" x14ac:dyDescent="0.25">
      <c r="A1051" s="69" t="s">
        <v>168</v>
      </c>
      <c r="B1051" s="11" t="s">
        <v>11</v>
      </c>
      <c r="C1051" s="10" t="s">
        <v>12</v>
      </c>
      <c r="D1051" s="10" t="s">
        <v>13</v>
      </c>
      <c r="E1051" s="10" t="s">
        <v>14</v>
      </c>
      <c r="F1051" s="10" t="s">
        <v>15</v>
      </c>
      <c r="G1051" s="11" t="s">
        <v>16</v>
      </c>
      <c r="H1051" s="6">
        <v>125</v>
      </c>
      <c r="I1051" s="90" t="s">
        <v>34</v>
      </c>
      <c r="J1051" s="91"/>
      <c r="K1051" s="71"/>
    </row>
    <row r="1052" spans="1:19" x14ac:dyDescent="0.25">
      <c r="A1052" s="12" t="s">
        <v>17</v>
      </c>
      <c r="B1052" s="48">
        <v>400</v>
      </c>
      <c r="C1052" s="44" t="s">
        <v>18</v>
      </c>
      <c r="D1052" s="44" t="s">
        <v>18</v>
      </c>
      <c r="E1052" s="44" t="s">
        <v>18</v>
      </c>
      <c r="F1052" s="44" t="s">
        <v>19</v>
      </c>
      <c r="G1052" s="45" t="s">
        <v>19</v>
      </c>
      <c r="H1052" s="6">
        <v>150</v>
      </c>
      <c r="I1052" s="14" t="s">
        <v>20</v>
      </c>
      <c r="J1052" s="15">
        <v>10</v>
      </c>
      <c r="K1052" s="16" t="s">
        <v>9</v>
      </c>
      <c r="L1052" s="22" t="s">
        <v>29</v>
      </c>
      <c r="M1052" s="22" t="s">
        <v>30</v>
      </c>
      <c r="N1052" s="22" t="s">
        <v>31</v>
      </c>
      <c r="O1052" s="22" t="s">
        <v>32</v>
      </c>
      <c r="P1052" s="3"/>
    </row>
    <row r="1053" spans="1:19" x14ac:dyDescent="0.25">
      <c r="A1053" s="12" t="s">
        <v>22</v>
      </c>
      <c r="B1053" s="48">
        <v>800</v>
      </c>
      <c r="C1053" s="17">
        <v>-701.82313685842939</v>
      </c>
      <c r="D1053" s="63">
        <v>17.302180478182159</v>
      </c>
      <c r="E1053" s="63">
        <v>0</v>
      </c>
      <c r="F1053" s="63">
        <v>103.31598134136817</v>
      </c>
      <c r="G1053" s="54">
        <v>0</v>
      </c>
      <c r="H1053" s="6">
        <v>175</v>
      </c>
      <c r="I1053" s="56"/>
      <c r="J1053" s="57"/>
      <c r="K1053" s="58"/>
      <c r="L1053" s="92" t="s">
        <v>1</v>
      </c>
      <c r="M1053" s="93"/>
      <c r="N1053" s="22" t="s">
        <v>35</v>
      </c>
      <c r="O1053" s="22" t="s">
        <v>9</v>
      </c>
    </row>
    <row r="1054" spans="1:19" x14ac:dyDescent="0.25">
      <c r="A1054" s="20" t="s">
        <v>24</v>
      </c>
      <c r="B1054" s="13"/>
      <c r="C1054" s="17">
        <v>674.15755445729599</v>
      </c>
      <c r="D1054" s="18">
        <v>0</v>
      </c>
      <c r="E1054" s="18">
        <v>312.44997327775616</v>
      </c>
      <c r="F1054" s="18">
        <v>0</v>
      </c>
      <c r="G1054" s="19">
        <v>7.5550205247414786</v>
      </c>
      <c r="H1054" s="6">
        <v>200</v>
      </c>
      <c r="I1054" s="59" t="s">
        <v>70</v>
      </c>
      <c r="J1054" s="60"/>
      <c r="K1054" s="61"/>
      <c r="L1054" s="25">
        <f>MAX(ABS(E1057),ABS(E1058))*1000/(B1055*B1052)</f>
        <v>2.1108856009934418</v>
      </c>
      <c r="M1054" s="25">
        <f>L1054-phiVc</f>
        <v>1.4483761670983462</v>
      </c>
      <c r="N1054" s="26">
        <f>M1054*O1054*B1052/(phiV*fys*0.25*PI()*(J1052^2))</f>
        <v>3.5764941800757488</v>
      </c>
      <c r="O1054" s="15">
        <v>100</v>
      </c>
    </row>
    <row r="1055" spans="1:19" x14ac:dyDescent="0.25">
      <c r="A1055" s="12" t="s">
        <v>26</v>
      </c>
      <c r="B1055" s="49">
        <f>B1053-clrCover-J1052-(IF(M1059&gt;1,1.5*J1058,0.5*J1058))</f>
        <v>712.5</v>
      </c>
      <c r="C1055" s="64">
        <v>184.63946206451166</v>
      </c>
      <c r="D1055" s="17">
        <v>-40.369004773245393</v>
      </c>
      <c r="E1055" s="18">
        <v>276.10482715152762</v>
      </c>
      <c r="F1055" s="18">
        <v>-195.15055315491867</v>
      </c>
      <c r="G1055" s="19">
        <v>17.655831199588416</v>
      </c>
      <c r="H1055" s="6">
        <v>250</v>
      </c>
      <c r="I1055" s="59" t="s">
        <v>71</v>
      </c>
      <c r="J1055" s="60"/>
      <c r="K1055" s="61"/>
      <c r="L1055" s="25">
        <f>MAX(ABS(E1057),ABS(E1058))*1000/(B1060*B1052)</f>
        <v>2.0324405279835505</v>
      </c>
      <c r="M1055" s="25">
        <f>L1055-phiVc</f>
        <v>1.3699310940884548</v>
      </c>
      <c r="N1055" s="26">
        <f>M1055*O1055*B1052/(phiV*fys*0.25*PI()*(J1052^2))</f>
        <v>3.3827887370777741</v>
      </c>
      <c r="O1055" s="15">
        <v>100</v>
      </c>
    </row>
    <row r="1056" spans="1:19" x14ac:dyDescent="0.25">
      <c r="A1056" s="12" t="s">
        <v>27</v>
      </c>
      <c r="B1056" s="50">
        <f>K1059*R1058</f>
        <v>3920</v>
      </c>
      <c r="C1056" s="64">
        <v>-212.30504446564512</v>
      </c>
      <c r="D1056" s="17">
        <v>41.529196790057561</v>
      </c>
      <c r="E1056" s="18">
        <v>172.52216403288404</v>
      </c>
      <c r="F1056" s="18">
        <v>1.54801447593153</v>
      </c>
      <c r="G1056" s="19">
        <v>-18.216910709506383</v>
      </c>
      <c r="H1056" s="6">
        <v>300</v>
      </c>
    </row>
    <row r="1057" spans="1:19" x14ac:dyDescent="0.25">
      <c r="A1057" s="12" t="s">
        <v>28</v>
      </c>
      <c r="B1057" s="51">
        <f>-phi*B1052*(B1055^2)*J1059*fy*(1-(0.588*J1059*fy/fc))/1000000</f>
        <v>-911.61856477439994</v>
      </c>
      <c r="C1057" s="64">
        <v>-9.0452387813478197</v>
      </c>
      <c r="D1057" s="18">
        <v>-7.6261054988582655E-2</v>
      </c>
      <c r="E1057" s="17">
        <v>-536.36263611867787</v>
      </c>
      <c r="F1057" s="18">
        <v>-683.9124699978014</v>
      </c>
      <c r="G1057" s="19">
        <v>6.6716433760803773E-2</v>
      </c>
      <c r="I1057" s="90" t="s">
        <v>68</v>
      </c>
      <c r="J1057" s="91"/>
      <c r="K1057" s="94" t="s">
        <v>35</v>
      </c>
      <c r="L1057" s="78" t="s">
        <v>36</v>
      </c>
      <c r="M1057" s="96" t="s">
        <v>37</v>
      </c>
      <c r="N1057" s="98" t="s">
        <v>38</v>
      </c>
      <c r="O1057" s="96" t="s">
        <v>72</v>
      </c>
      <c r="Q1057" s="34" t="s">
        <v>73</v>
      </c>
    </row>
    <row r="1058" spans="1:19" x14ac:dyDescent="0.25">
      <c r="A1058" s="23" t="s">
        <v>33</v>
      </c>
      <c r="B1058" s="13"/>
      <c r="C1058" s="64">
        <v>-24.281495769085456</v>
      </c>
      <c r="D1058" s="18">
        <v>0.70599657952407524</v>
      </c>
      <c r="E1058" s="17">
        <v>601.60239628313093</v>
      </c>
      <c r="F1058" s="18">
        <v>-772.32456756028012</v>
      </c>
      <c r="G1058" s="19">
        <v>0.42762387397816071</v>
      </c>
      <c r="I1058" s="14" t="s">
        <v>23</v>
      </c>
      <c r="J1058" s="41">
        <v>25</v>
      </c>
      <c r="K1058" s="95"/>
      <c r="L1058" s="40" t="s">
        <v>9</v>
      </c>
      <c r="M1058" s="97"/>
      <c r="N1058" s="99"/>
      <c r="O1058" s="97"/>
      <c r="Q1058" s="14" t="s">
        <v>75</v>
      </c>
      <c r="R1058" s="21">
        <f>IF(J1058=16,201,IF(J1058=20,314,IF(J1058=25,490,"Err")))</f>
        <v>490</v>
      </c>
      <c r="S1058" s="16" t="s">
        <v>25</v>
      </c>
    </row>
    <row r="1059" spans="1:19" x14ac:dyDescent="0.25">
      <c r="A1059" s="20" t="s">
        <v>39</v>
      </c>
      <c r="B1059" s="13"/>
      <c r="C1059" s="64">
        <v>666.22954112988509</v>
      </c>
      <c r="D1059" s="18">
        <v>-15.957824374597728</v>
      </c>
      <c r="E1059" s="18">
        <v>489.99611860568638</v>
      </c>
      <c r="F1059" s="17">
        <v>-827.22149879768426</v>
      </c>
      <c r="G1059" s="19">
        <v>-10.491867963012639</v>
      </c>
      <c r="I1059" s="14" t="s">
        <v>40</v>
      </c>
      <c r="J1059" s="24">
        <f>MAX(rhoMin,(K1059*R1058/(B1052*B1055)))</f>
        <v>1.3754385964912281E-2</v>
      </c>
      <c r="K1059" s="15">
        <v>8</v>
      </c>
      <c r="L1059" s="39">
        <f>IF(M1059&lt;2,(B1052-(2*(J1052+clrCover))-(K1059*J1058))/(K1059-1),(B1052-(2*(J1052+clrCover))-(N1059*J1058))/((N1059)-1))</f>
        <v>66.666666666666671</v>
      </c>
      <c r="M1059" s="15">
        <v>2</v>
      </c>
      <c r="N1059" s="22">
        <f>IF(M1059&lt;2,K1059,CEILING(K1059/2,1))</f>
        <v>4</v>
      </c>
      <c r="O1059" s="22">
        <f>K1059-N1059</f>
        <v>4</v>
      </c>
      <c r="Q1059" s="37" t="s">
        <v>74</v>
      </c>
      <c r="R1059" s="38">
        <f>rhoMin*B1052*B1055</f>
        <v>940.5</v>
      </c>
      <c r="S1059" s="22">
        <f>ROUNDUP(R1059/R1058,0)</f>
        <v>2</v>
      </c>
    </row>
    <row r="1060" spans="1:19" x14ac:dyDescent="0.25">
      <c r="A1060" s="12" t="s">
        <v>26</v>
      </c>
      <c r="B1060" s="49">
        <f>B1053-clrCover-J1052-(IF(M1062&gt;1,1.5*J1061,0.5*J1061))</f>
        <v>740</v>
      </c>
      <c r="C1060" s="64">
        <v>-18.749371608490261</v>
      </c>
      <c r="D1060" s="18">
        <v>0.26518711882221202</v>
      </c>
      <c r="E1060" s="18">
        <v>-28.274636934227345</v>
      </c>
      <c r="F1060" s="17">
        <v>326.46087516684821</v>
      </c>
      <c r="G1060" s="19">
        <v>4.0640532505480907E-2</v>
      </c>
      <c r="I1060" s="90" t="s">
        <v>69</v>
      </c>
      <c r="J1060" s="91"/>
      <c r="K1060" s="96" t="s">
        <v>35</v>
      </c>
      <c r="L1060" s="78" t="s">
        <v>36</v>
      </c>
      <c r="M1060" s="96" t="s">
        <v>37</v>
      </c>
      <c r="N1060" s="98" t="s">
        <v>38</v>
      </c>
      <c r="O1060" s="96" t="s">
        <v>72</v>
      </c>
      <c r="R1060" s="36"/>
    </row>
    <row r="1061" spans="1:19" x14ac:dyDescent="0.25">
      <c r="A1061" s="12" t="s">
        <v>27</v>
      </c>
      <c r="B1061" s="50">
        <f>K1062*R1061</f>
        <v>1256</v>
      </c>
      <c r="C1061" s="64">
        <v>184.63946206451166</v>
      </c>
      <c r="D1061" s="18">
        <v>-40.369004773245393</v>
      </c>
      <c r="E1061" s="18">
        <v>345.29647248335255</v>
      </c>
      <c r="F1061" s="18">
        <v>-544.67004014643715</v>
      </c>
      <c r="G1061" s="17">
        <v>-27.756863775441182</v>
      </c>
      <c r="I1061" s="14" t="s">
        <v>23</v>
      </c>
      <c r="J1061" s="41">
        <v>20</v>
      </c>
      <c r="K1061" s="97"/>
      <c r="L1061" s="40" t="s">
        <v>9</v>
      </c>
      <c r="M1061" s="97"/>
      <c r="N1061" s="99"/>
      <c r="O1061" s="97"/>
      <c r="Q1061" s="14" t="s">
        <v>75</v>
      </c>
      <c r="R1061" s="21">
        <f>IF(J1061=16,201,IF(J1061=20,314,IF(J1061=25,490,"Err")))</f>
        <v>314</v>
      </c>
      <c r="S1061" s="16" t="s">
        <v>25</v>
      </c>
    </row>
    <row r="1062" spans="1:19" x14ac:dyDescent="0.25">
      <c r="A1062" s="27" t="s">
        <v>28</v>
      </c>
      <c r="B1062" s="52">
        <f>phi*B1052*(B1060^2)*J1062*fy*(1-(0.588*J1062*fy/fc))/1000000</f>
        <v>333.06055934745604</v>
      </c>
      <c r="C1062" s="53">
        <v>-212.30504446564512</v>
      </c>
      <c r="D1062" s="28">
        <v>41.529196790057561</v>
      </c>
      <c r="E1062" s="28">
        <v>271.27967523651643</v>
      </c>
      <c r="F1062" s="28">
        <v>-248.07713319993638</v>
      </c>
      <c r="G1062" s="17">
        <v>28.500930291983448</v>
      </c>
      <c r="I1062" s="14" t="s">
        <v>40</v>
      </c>
      <c r="J1062" s="24">
        <f>MAX(rhoMin,(K1062*R1061/(B1052*B1060)))</f>
        <v>4.2432432432432431E-3</v>
      </c>
      <c r="K1062" s="15">
        <v>4</v>
      </c>
      <c r="L1062" s="21">
        <f>IF(M1062&lt;2,(B1052-(2*(J1052+clrCover))-(K1062*J1061))/(K1062-1),(B1052-(2*(J1052+clrCover))-(N1062*J1061))/((N1062)-1))</f>
        <v>73.333333333333329</v>
      </c>
      <c r="M1062" s="15">
        <v>1</v>
      </c>
      <c r="N1062" s="22">
        <f>IF(M1062&lt;2,K1062,CEILING(K1062/2,1))</f>
        <v>4</v>
      </c>
      <c r="O1062" s="22">
        <f>K1062-N1062</f>
        <v>0</v>
      </c>
      <c r="Q1062" s="37" t="s">
        <v>74</v>
      </c>
      <c r="R1062" s="38">
        <f>rhoMin*B1052*B1060</f>
        <v>976.80000000000007</v>
      </c>
      <c r="S1062" s="22">
        <f>ROUNDUP(R1062/R1061,0)</f>
        <v>4</v>
      </c>
    </row>
    <row r="1063" spans="1:19" x14ac:dyDescent="0.25">
      <c r="A1063" s="65" t="s">
        <v>76</v>
      </c>
    </row>
    <row r="1064" spans="1:19" x14ac:dyDescent="0.25">
      <c r="A1064" s="69" t="s">
        <v>169</v>
      </c>
      <c r="B1064" s="11" t="s">
        <v>11</v>
      </c>
      <c r="C1064" s="10" t="s">
        <v>12</v>
      </c>
      <c r="D1064" s="10" t="s">
        <v>13</v>
      </c>
      <c r="E1064" s="10" t="s">
        <v>14</v>
      </c>
      <c r="F1064" s="10" t="s">
        <v>15</v>
      </c>
      <c r="G1064" s="11" t="s">
        <v>16</v>
      </c>
      <c r="H1064" s="6">
        <v>125</v>
      </c>
      <c r="I1064" s="90" t="s">
        <v>34</v>
      </c>
      <c r="J1064" s="91"/>
      <c r="K1064" s="71"/>
    </row>
    <row r="1065" spans="1:19" x14ac:dyDescent="0.25">
      <c r="A1065" s="12" t="s">
        <v>17</v>
      </c>
      <c r="B1065" s="48">
        <v>400</v>
      </c>
      <c r="C1065" s="44" t="s">
        <v>18</v>
      </c>
      <c r="D1065" s="44" t="s">
        <v>18</v>
      </c>
      <c r="E1065" s="44" t="s">
        <v>18</v>
      </c>
      <c r="F1065" s="44" t="s">
        <v>19</v>
      </c>
      <c r="G1065" s="45" t="s">
        <v>19</v>
      </c>
      <c r="H1065" s="6">
        <v>150</v>
      </c>
      <c r="I1065" s="14" t="s">
        <v>20</v>
      </c>
      <c r="J1065" s="15">
        <v>10</v>
      </c>
      <c r="K1065" s="16" t="s">
        <v>9</v>
      </c>
      <c r="L1065" s="22" t="s">
        <v>29</v>
      </c>
      <c r="M1065" s="22" t="s">
        <v>30</v>
      </c>
      <c r="N1065" s="22" t="s">
        <v>31</v>
      </c>
      <c r="O1065" s="22" t="s">
        <v>32</v>
      </c>
      <c r="P1065" s="3"/>
    </row>
    <row r="1066" spans="1:19" x14ac:dyDescent="0.25">
      <c r="A1066" s="12" t="s">
        <v>22</v>
      </c>
      <c r="B1066" s="48">
        <v>800</v>
      </c>
      <c r="C1066" s="17">
        <v>-1223.4078713134854</v>
      </c>
      <c r="D1066" s="63">
        <v>-28.781548107683783</v>
      </c>
      <c r="E1066" s="63">
        <v>0</v>
      </c>
      <c r="F1066" s="63">
        <v>247.15258829363202</v>
      </c>
      <c r="G1066" s="54">
        <v>0</v>
      </c>
      <c r="H1066" s="6">
        <v>175</v>
      </c>
      <c r="I1066" s="56"/>
      <c r="J1066" s="57"/>
      <c r="K1066" s="58"/>
      <c r="L1066" s="92" t="s">
        <v>1</v>
      </c>
      <c r="M1066" s="93"/>
      <c r="N1066" s="22" t="s">
        <v>35</v>
      </c>
      <c r="O1066" s="22" t="s">
        <v>9</v>
      </c>
    </row>
    <row r="1067" spans="1:19" x14ac:dyDescent="0.25">
      <c r="A1067" s="20" t="s">
        <v>24</v>
      </c>
      <c r="B1067" s="13"/>
      <c r="C1067" s="17">
        <v>1299.3249966619653</v>
      </c>
      <c r="D1067" s="18">
        <v>0</v>
      </c>
      <c r="E1067" s="18">
        <v>341.28652575844967</v>
      </c>
      <c r="F1067" s="18">
        <v>0</v>
      </c>
      <c r="G1067" s="19">
        <v>-13.093990467915576</v>
      </c>
      <c r="H1067" s="6">
        <v>200</v>
      </c>
      <c r="I1067" s="59" t="s">
        <v>70</v>
      </c>
      <c r="J1067" s="60"/>
      <c r="K1067" s="61"/>
      <c r="L1067" s="25">
        <f>MAX(ABS(E1070),ABS(E1071))*1000/(B1068*B1065)</f>
        <v>1.5490702012675499</v>
      </c>
      <c r="M1067" s="25">
        <f>L1067-phiVc</f>
        <v>0.88656076737245426</v>
      </c>
      <c r="N1067" s="26">
        <f>M1067*O1067*B1065/(phiV*fys*0.25*PI()*(J1065^2))</f>
        <v>2.1891960782145166</v>
      </c>
      <c r="O1067" s="15">
        <v>100</v>
      </c>
    </row>
    <row r="1068" spans="1:19" x14ac:dyDescent="0.25">
      <c r="A1068" s="12" t="s">
        <v>26</v>
      </c>
      <c r="B1068" s="49">
        <f>B1066-clrCover-J1065-(IF(M1072&gt;1,1.5*J1071,0.5*J1071))</f>
        <v>712.5</v>
      </c>
      <c r="C1068" s="64">
        <v>-1223.4078713134854</v>
      </c>
      <c r="D1068" s="17">
        <v>-28.781548107683783</v>
      </c>
      <c r="E1068" s="18">
        <v>-22.72712938190525</v>
      </c>
      <c r="F1068" s="18">
        <v>247.15258829363202</v>
      </c>
      <c r="G1068" s="19">
        <v>12.001175745997992</v>
      </c>
      <c r="H1068" s="6">
        <v>250</v>
      </c>
      <c r="I1068" s="59" t="s">
        <v>71</v>
      </c>
      <c r="J1068" s="60"/>
      <c r="K1068" s="61"/>
      <c r="L1068" s="25">
        <f>MAX(ABS(E1070),ABS(E1071))*1000/(B1073*B1065)</f>
        <v>1.4915034032474721</v>
      </c>
      <c r="M1068" s="25">
        <f>L1068-phiVc</f>
        <v>0.82899396935237646</v>
      </c>
      <c r="N1068" s="26">
        <f>M1068*O1068*B1065/(phiV*fys*0.25*PI()*(J1065^2))</f>
        <v>2.0470456322451689</v>
      </c>
      <c r="O1068" s="15">
        <v>100</v>
      </c>
    </row>
    <row r="1069" spans="1:19" x14ac:dyDescent="0.25">
      <c r="A1069" s="12" t="s">
        <v>27</v>
      </c>
      <c r="B1069" s="50">
        <f>K1072*R1071</f>
        <v>3430</v>
      </c>
      <c r="C1069" s="64">
        <v>1299.3249966619653</v>
      </c>
      <c r="D1069" s="17">
        <v>32.469554216484923</v>
      </c>
      <c r="E1069" s="18">
        <v>341.28652575844967</v>
      </c>
      <c r="F1069" s="18">
        <v>-390.61954935533436</v>
      </c>
      <c r="G1069" s="19">
        <v>-13.093990467915576</v>
      </c>
      <c r="H1069" s="6">
        <v>300</v>
      </c>
    </row>
    <row r="1070" spans="1:19" x14ac:dyDescent="0.25">
      <c r="A1070" s="12" t="s">
        <v>28</v>
      </c>
      <c r="B1070" s="51">
        <f>-phi*B1065*(B1068^2)*J1072*fy*(1-(0.588*J1072*fy/fc))/1000000</f>
        <v>-811.78144178039997</v>
      </c>
      <c r="C1070" s="64">
        <v>-302.17863643806595</v>
      </c>
      <c r="D1070" s="18">
        <v>-1.9016558964708796</v>
      </c>
      <c r="E1070" s="17">
        <v>-438.13041059425024</v>
      </c>
      <c r="F1070" s="18">
        <v>-782.26838614222595</v>
      </c>
      <c r="G1070" s="19">
        <v>1.2912973785081818</v>
      </c>
      <c r="I1070" s="90" t="s">
        <v>68</v>
      </c>
      <c r="J1070" s="91"/>
      <c r="K1070" s="94" t="s">
        <v>35</v>
      </c>
      <c r="L1070" s="78" t="s">
        <v>36</v>
      </c>
      <c r="M1070" s="96" t="s">
        <v>37</v>
      </c>
      <c r="N1070" s="98" t="s">
        <v>38</v>
      </c>
      <c r="O1070" s="96" t="s">
        <v>72</v>
      </c>
      <c r="Q1070" s="34" t="s">
        <v>73</v>
      </c>
    </row>
    <row r="1071" spans="1:19" x14ac:dyDescent="0.25">
      <c r="A1071" s="23" t="s">
        <v>33</v>
      </c>
      <c r="B1071" s="13"/>
      <c r="C1071" s="64">
        <v>70.215638483950329</v>
      </c>
      <c r="D1071" s="18">
        <v>3.3030320652243095</v>
      </c>
      <c r="E1071" s="17">
        <v>441.48500736125175</v>
      </c>
      <c r="F1071" s="18">
        <v>-511.95382542426108</v>
      </c>
      <c r="G1071" s="19">
        <v>2.4596648565765937</v>
      </c>
      <c r="I1071" s="14" t="s">
        <v>23</v>
      </c>
      <c r="J1071" s="41">
        <v>25</v>
      </c>
      <c r="K1071" s="95"/>
      <c r="L1071" s="40" t="s">
        <v>9</v>
      </c>
      <c r="M1071" s="97"/>
      <c r="N1071" s="99"/>
      <c r="O1071" s="97"/>
      <c r="Q1071" s="14" t="s">
        <v>75</v>
      </c>
      <c r="R1071" s="21">
        <f>IF(J1071=16,201,IF(J1071=20,314,IF(J1071=25,490,"Err")))</f>
        <v>490</v>
      </c>
      <c r="S1071" s="16" t="s">
        <v>25</v>
      </c>
    </row>
    <row r="1072" spans="1:19" x14ac:dyDescent="0.25">
      <c r="A1072" s="20" t="s">
        <v>39</v>
      </c>
      <c r="B1072" s="13"/>
      <c r="C1072" s="64">
        <v>-302.17863643806595</v>
      </c>
      <c r="D1072" s="18">
        <v>-1.9016558964708796</v>
      </c>
      <c r="E1072" s="18">
        <v>-438.13041059425024</v>
      </c>
      <c r="F1072" s="17">
        <v>-782.26838614222595</v>
      </c>
      <c r="G1072" s="19">
        <v>1.2912973785081818</v>
      </c>
      <c r="I1072" s="14" t="s">
        <v>40</v>
      </c>
      <c r="J1072" s="24">
        <f>MAX(rhoMin,(K1072*R1071/(B1065*B1068)))</f>
        <v>1.2035087719298246E-2</v>
      </c>
      <c r="K1072" s="15">
        <v>7</v>
      </c>
      <c r="L1072" s="39">
        <f>IF(M1072&lt;2,(B1065-(2*(J1065+clrCover))-(K1072*J1071))/(K1072-1),(B1065-(2*(J1065+clrCover))-(N1072*J1071))/((N1072)-1))</f>
        <v>66.666666666666671</v>
      </c>
      <c r="M1072" s="15">
        <v>2</v>
      </c>
      <c r="N1072" s="22">
        <f>IF(M1072&lt;2,K1072,CEILING(K1072/2,1))</f>
        <v>4</v>
      </c>
      <c r="O1072" s="22">
        <f>K1072-N1072</f>
        <v>3</v>
      </c>
      <c r="Q1072" s="37" t="s">
        <v>74</v>
      </c>
      <c r="R1072" s="38">
        <f>rhoMin*B1065*B1068</f>
        <v>940.5</v>
      </c>
      <c r="S1072" s="22">
        <f>ROUNDUP(R1072/R1071,0)</f>
        <v>2</v>
      </c>
    </row>
    <row r="1073" spans="1:19" x14ac:dyDescent="0.25">
      <c r="A1073" s="12" t="s">
        <v>26</v>
      </c>
      <c r="B1073" s="49">
        <f>B1066-clrCover-J1065-(IF(M1075&gt;1,1.5*J1074,0.5*J1074))</f>
        <v>740</v>
      </c>
      <c r="C1073" s="64">
        <v>301.70090255318803</v>
      </c>
      <c r="D1073" s="18">
        <v>10.349633630317744</v>
      </c>
      <c r="E1073" s="18">
        <v>-34.684211948001206</v>
      </c>
      <c r="F1073" s="17">
        <v>325.61400091337146</v>
      </c>
      <c r="G1073" s="19">
        <v>6.8822348469381325</v>
      </c>
      <c r="I1073" s="90" t="s">
        <v>69</v>
      </c>
      <c r="J1073" s="91"/>
      <c r="K1073" s="96" t="s">
        <v>35</v>
      </c>
      <c r="L1073" s="78" t="s">
        <v>36</v>
      </c>
      <c r="M1073" s="96" t="s">
        <v>37</v>
      </c>
      <c r="N1073" s="98" t="s">
        <v>38</v>
      </c>
      <c r="O1073" s="96" t="s">
        <v>72</v>
      </c>
      <c r="R1073" s="36"/>
    </row>
    <row r="1074" spans="1:19" x14ac:dyDescent="0.25">
      <c r="A1074" s="12" t="s">
        <v>27</v>
      </c>
      <c r="B1074" s="50">
        <f>K1075*R1074</f>
        <v>1256</v>
      </c>
      <c r="C1074" s="64">
        <v>-745.37890469899025</v>
      </c>
      <c r="D1074" s="18">
        <v>-25.865552400756645</v>
      </c>
      <c r="E1074" s="18">
        <v>267.1088510285515</v>
      </c>
      <c r="F1074" s="18">
        <v>-330.28541539912004</v>
      </c>
      <c r="G1074" s="17">
        <v>-17.799498696801571</v>
      </c>
      <c r="I1074" s="14" t="s">
        <v>23</v>
      </c>
      <c r="J1074" s="41">
        <v>20</v>
      </c>
      <c r="K1074" s="97"/>
      <c r="L1074" s="40" t="s">
        <v>9</v>
      </c>
      <c r="M1074" s="97"/>
      <c r="N1074" s="99"/>
      <c r="O1074" s="97"/>
      <c r="Q1074" s="14" t="s">
        <v>75</v>
      </c>
      <c r="R1074" s="21">
        <f>IF(J1074=16,201,IF(J1074=20,314,IF(J1074=25,490,"Err")))</f>
        <v>314</v>
      </c>
      <c r="S1074" s="16" t="s">
        <v>25</v>
      </c>
    </row>
    <row r="1075" spans="1:19" x14ac:dyDescent="0.25">
      <c r="A1075" s="27" t="s">
        <v>28</v>
      </c>
      <c r="B1075" s="52">
        <f>phi*B1065*(B1073^2)*J1075*fy*(1-(0.588*J1075*fy/fc))/1000000</f>
        <v>333.06055934745604</v>
      </c>
      <c r="C1075" s="53">
        <v>1299.3249966619653</v>
      </c>
      <c r="D1075" s="28">
        <v>32.469554216484923</v>
      </c>
      <c r="E1075" s="28">
        <v>421.94081490397554</v>
      </c>
      <c r="F1075" s="28">
        <v>-771.98559313872693</v>
      </c>
      <c r="G1075" s="17">
        <v>19.375564002237734</v>
      </c>
      <c r="I1075" s="14" t="s">
        <v>40</v>
      </c>
      <c r="J1075" s="24">
        <f>MAX(rhoMin,(K1075*R1074/(B1065*B1073)))</f>
        <v>4.2432432432432431E-3</v>
      </c>
      <c r="K1075" s="15">
        <v>4</v>
      </c>
      <c r="L1075" s="21">
        <f>IF(M1075&lt;2,(B1065-(2*(J1065+clrCover))-(K1075*J1074))/(K1075-1),(B1065-(2*(J1065+clrCover))-(N1075*J1074))/((N1075)-1))</f>
        <v>73.333333333333329</v>
      </c>
      <c r="M1075" s="15">
        <v>1</v>
      </c>
      <c r="N1075" s="22">
        <f>IF(M1075&lt;2,K1075,CEILING(K1075/2,1))</f>
        <v>4</v>
      </c>
      <c r="O1075" s="22">
        <f>K1075-N1075</f>
        <v>0</v>
      </c>
      <c r="Q1075" s="37" t="s">
        <v>74</v>
      </c>
      <c r="R1075" s="38">
        <f>rhoMin*B1065*B1073</f>
        <v>976.80000000000007</v>
      </c>
      <c r="S1075" s="22">
        <f>ROUNDUP(R1075/R1074,0)</f>
        <v>4</v>
      </c>
    </row>
    <row r="1076" spans="1:19" x14ac:dyDescent="0.25">
      <c r="A1076" s="65" t="s">
        <v>76</v>
      </c>
    </row>
    <row r="1077" spans="1:19" x14ac:dyDescent="0.25">
      <c r="A1077" s="69" t="s">
        <v>172</v>
      </c>
      <c r="B1077" s="11" t="s">
        <v>11</v>
      </c>
      <c r="C1077" s="10" t="s">
        <v>12</v>
      </c>
      <c r="D1077" s="10" t="s">
        <v>13</v>
      </c>
      <c r="E1077" s="10" t="s">
        <v>14</v>
      </c>
      <c r="F1077" s="10" t="s">
        <v>15</v>
      </c>
      <c r="G1077" s="11" t="s">
        <v>16</v>
      </c>
      <c r="H1077" s="6">
        <v>125</v>
      </c>
      <c r="I1077" s="90" t="s">
        <v>34</v>
      </c>
      <c r="J1077" s="91"/>
      <c r="K1077" s="71"/>
    </row>
    <row r="1078" spans="1:19" x14ac:dyDescent="0.25">
      <c r="A1078" s="12" t="s">
        <v>17</v>
      </c>
      <c r="B1078" s="48">
        <v>400</v>
      </c>
      <c r="C1078" s="44" t="s">
        <v>18</v>
      </c>
      <c r="D1078" s="44" t="s">
        <v>18</v>
      </c>
      <c r="E1078" s="44" t="s">
        <v>18</v>
      </c>
      <c r="F1078" s="44" t="s">
        <v>19</v>
      </c>
      <c r="G1078" s="45" t="s">
        <v>19</v>
      </c>
      <c r="H1078" s="6">
        <v>150</v>
      </c>
      <c r="I1078" s="14" t="s">
        <v>20</v>
      </c>
      <c r="J1078" s="15">
        <v>10</v>
      </c>
      <c r="K1078" s="16" t="s">
        <v>9</v>
      </c>
      <c r="L1078" s="22" t="s">
        <v>29</v>
      </c>
      <c r="M1078" s="22" t="s">
        <v>30</v>
      </c>
      <c r="N1078" s="22" t="s">
        <v>31</v>
      </c>
      <c r="O1078" s="22" t="s">
        <v>32</v>
      </c>
      <c r="P1078" s="3"/>
    </row>
    <row r="1079" spans="1:19" x14ac:dyDescent="0.25">
      <c r="A1079" s="12" t="s">
        <v>22</v>
      </c>
      <c r="B1079" s="48">
        <v>700</v>
      </c>
      <c r="C1079" s="17">
        <v>-3.6118892830887487E-3</v>
      </c>
      <c r="D1079" s="63">
        <v>6.1872576548935854E-7</v>
      </c>
      <c r="E1079" s="63">
        <v>0</v>
      </c>
      <c r="F1079" s="63">
        <v>107.11771899940969</v>
      </c>
      <c r="G1079" s="54">
        <v>0</v>
      </c>
      <c r="H1079" s="6">
        <v>175</v>
      </c>
      <c r="I1079" s="56"/>
      <c r="J1079" s="57"/>
      <c r="K1079" s="58"/>
      <c r="L1079" s="92" t="s">
        <v>1</v>
      </c>
      <c r="M1079" s="93"/>
      <c r="N1079" s="22" t="s">
        <v>35</v>
      </c>
      <c r="O1079" s="22" t="s">
        <v>9</v>
      </c>
    </row>
    <row r="1080" spans="1:19" x14ac:dyDescent="0.25">
      <c r="A1080" s="20" t="s">
        <v>24</v>
      </c>
      <c r="B1080" s="13"/>
      <c r="C1080" s="17">
        <v>3.6547441689668628E-3</v>
      </c>
      <c r="D1080" s="18">
        <v>0</v>
      </c>
      <c r="E1080" s="18">
        <v>-32.573536100487544</v>
      </c>
      <c r="F1080" s="18">
        <v>0</v>
      </c>
      <c r="G1080" s="19">
        <v>8.9565277289801818E-6</v>
      </c>
      <c r="H1080" s="6">
        <v>200</v>
      </c>
      <c r="I1080" s="59" t="s">
        <v>70</v>
      </c>
      <c r="J1080" s="60"/>
      <c r="K1080" s="61"/>
      <c r="L1080" s="25">
        <f>MAX(ABS(E1083),ABS(E1084))*1000/(B1081*B1078)</f>
        <v>0.84464057004116333</v>
      </c>
      <c r="M1080" s="25">
        <f>L1080-phiVc</f>
        <v>0.18213113614606768</v>
      </c>
      <c r="N1080" s="26">
        <f>M1080*O1080*B1078/(phiV*fys*0.25*PI()*(J1078^2))</f>
        <v>0.44973879247266352</v>
      </c>
      <c r="O1080" s="15">
        <v>100</v>
      </c>
    </row>
    <row r="1081" spans="1:19" x14ac:dyDescent="0.25">
      <c r="A1081" s="12" t="s">
        <v>26</v>
      </c>
      <c r="B1081" s="49">
        <f>B1079-clrCover-J1078-(IF(M1085&gt;1,1.5*J1084,0.5*J1084))</f>
        <v>620</v>
      </c>
      <c r="C1081" s="64">
        <v>2.6911432412161956E-4</v>
      </c>
      <c r="D1081" s="17">
        <v>-1.243888057088185</v>
      </c>
      <c r="E1081" s="18">
        <v>-65.370853097272104</v>
      </c>
      <c r="F1081" s="18">
        <v>-94.085133479783252</v>
      </c>
      <c r="G1081" s="19">
        <v>0.53968281739996715</v>
      </c>
      <c r="H1081" s="6">
        <v>250</v>
      </c>
      <c r="I1081" s="59" t="s">
        <v>71</v>
      </c>
      <c r="J1081" s="60"/>
      <c r="K1081" s="61"/>
      <c r="L1081" s="25">
        <f>MAX(ABS(E1083),ABS(E1084))*1000/(B1086*B1078)</f>
        <v>0.81824555222737694</v>
      </c>
      <c r="M1081" s="25">
        <f>L1081-phiVc</f>
        <v>0.15573611833228129</v>
      </c>
      <c r="N1081" s="26">
        <f>M1081*O1081*B1078/(phiV*fys*0.25*PI()*(J1078^2))</f>
        <v>0.3845612303596902</v>
      </c>
      <c r="O1081" s="15">
        <v>100</v>
      </c>
    </row>
    <row r="1082" spans="1:19" x14ac:dyDescent="0.25">
      <c r="A1082" s="12" t="s">
        <v>27</v>
      </c>
      <c r="B1082" s="50">
        <f>K1085*R1084</f>
        <v>2198</v>
      </c>
      <c r="C1082" s="64">
        <v>-2.7107651695323508E-4</v>
      </c>
      <c r="D1082" s="17">
        <v>1.2438880685541271</v>
      </c>
      <c r="E1082" s="18">
        <v>-88.503603066007088</v>
      </c>
      <c r="F1082" s="18">
        <v>-96.944243414436386</v>
      </c>
      <c r="G1082" s="19">
        <v>-0.53968283041218035</v>
      </c>
      <c r="H1082" s="6">
        <v>300</v>
      </c>
    </row>
    <row r="1083" spans="1:19" x14ac:dyDescent="0.25">
      <c r="A1083" s="12" t="s">
        <v>28</v>
      </c>
      <c r="B1083" s="51">
        <f>-phi*B1078*(B1081^2)*J1085*fy*(1-(0.588*J1085*fy/fc))/1000000</f>
        <v>-467.18997300158401</v>
      </c>
      <c r="C1083" s="64">
        <v>1.6227808227734385E-3</v>
      </c>
      <c r="D1083" s="18">
        <v>5.3176610196601361E-6</v>
      </c>
      <c r="E1083" s="17">
        <v>-209.4708613702085</v>
      </c>
      <c r="F1083" s="18">
        <v>-414.61829858306805</v>
      </c>
      <c r="G1083" s="19">
        <v>-7.0777720536335387E-6</v>
      </c>
      <c r="I1083" s="90" t="s">
        <v>68</v>
      </c>
      <c r="J1083" s="91"/>
      <c r="K1083" s="94" t="s">
        <v>35</v>
      </c>
      <c r="L1083" s="78" t="s">
        <v>36</v>
      </c>
      <c r="M1083" s="96" t="s">
        <v>37</v>
      </c>
      <c r="N1083" s="98" t="s">
        <v>38</v>
      </c>
      <c r="O1083" s="96" t="s">
        <v>72</v>
      </c>
      <c r="Q1083" s="34" t="s">
        <v>73</v>
      </c>
    </row>
    <row r="1084" spans="1:19" x14ac:dyDescent="0.25">
      <c r="A1084" s="23" t="s">
        <v>33</v>
      </c>
      <c r="B1084" s="13"/>
      <c r="C1084" s="64">
        <v>-1.8276350720437221E-3</v>
      </c>
      <c r="D1084" s="18">
        <v>-1.6467861306750819E-5</v>
      </c>
      <c r="E1084" s="17">
        <v>198.97808710151048</v>
      </c>
      <c r="F1084" s="18">
        <v>-359.64887345810502</v>
      </c>
      <c r="G1084" s="19">
        <v>-2.6942433566119917E-5</v>
      </c>
      <c r="I1084" s="14" t="s">
        <v>23</v>
      </c>
      <c r="J1084" s="41">
        <v>20</v>
      </c>
      <c r="K1084" s="95"/>
      <c r="L1084" s="40" t="s">
        <v>9</v>
      </c>
      <c r="M1084" s="97"/>
      <c r="N1084" s="99"/>
      <c r="O1084" s="97"/>
      <c r="Q1084" s="14" t="s">
        <v>75</v>
      </c>
      <c r="R1084" s="21">
        <f>IF(J1084=16,201,IF(J1084=20,314,IF(J1084=25,490,"Err")))</f>
        <v>314</v>
      </c>
      <c r="S1084" s="16" t="s">
        <v>25</v>
      </c>
    </row>
    <row r="1085" spans="1:19" x14ac:dyDescent="0.25">
      <c r="A1085" s="20" t="s">
        <v>39</v>
      </c>
      <c r="B1085" s="13"/>
      <c r="C1085" s="64">
        <v>1.6227808227734385E-3</v>
      </c>
      <c r="D1085" s="18">
        <v>5.3176610196601361E-6</v>
      </c>
      <c r="E1085" s="18">
        <v>-209.4708613702085</v>
      </c>
      <c r="F1085" s="17">
        <v>-414.61829858306805</v>
      </c>
      <c r="G1085" s="19">
        <v>-7.0777720536335387E-6</v>
      </c>
      <c r="I1085" s="14" t="s">
        <v>40</v>
      </c>
      <c r="J1085" s="24">
        <f>MAX(rhoMin,(K1085*R1084/(B1078*B1081)))</f>
        <v>8.8629032258064518E-3</v>
      </c>
      <c r="K1085" s="15">
        <v>7</v>
      </c>
      <c r="L1085" s="39">
        <f>IF(M1085&lt;2,(B1078-(2*(J1078+clrCover))-(K1085*J1084))/(K1085-1),(B1078-(2*(J1078+clrCover))-(N1085*J1084))/((N1085)-1))</f>
        <v>73.333333333333329</v>
      </c>
      <c r="M1085" s="15">
        <v>2</v>
      </c>
      <c r="N1085" s="22">
        <f>IF(M1085&lt;2,K1085,CEILING(K1085/2,1))</f>
        <v>4</v>
      </c>
      <c r="O1085" s="22">
        <f>K1085-N1085</f>
        <v>3</v>
      </c>
      <c r="Q1085" s="37" t="s">
        <v>74</v>
      </c>
      <c r="R1085" s="38">
        <f>rhoMin*B1078*B1081</f>
        <v>818.40000000000009</v>
      </c>
      <c r="S1085" s="22">
        <f>ROUNDUP(R1085/R1084,0)</f>
        <v>3</v>
      </c>
    </row>
    <row r="1086" spans="1:19" x14ac:dyDescent="0.25">
      <c r="A1086" s="12" t="s">
        <v>26</v>
      </c>
      <c r="B1086" s="49">
        <f>B1079-clrCover-J1078-(IF(M1088&gt;1,1.5*J1087,0.5*J1087))</f>
        <v>640</v>
      </c>
      <c r="C1086" s="64">
        <v>2.0384038009418873E-3</v>
      </c>
      <c r="D1086" s="18">
        <v>-7.0741882545974038E-6</v>
      </c>
      <c r="E1086" s="18">
        <v>-61.452771253503919</v>
      </c>
      <c r="F1086" s="17">
        <v>244.21356092308821</v>
      </c>
      <c r="G1086" s="19">
        <v>-7.0245354206122104E-6</v>
      </c>
      <c r="I1086" s="90" t="s">
        <v>69</v>
      </c>
      <c r="J1086" s="91"/>
      <c r="K1086" s="96" t="s">
        <v>35</v>
      </c>
      <c r="L1086" s="78" t="s">
        <v>36</v>
      </c>
      <c r="M1086" s="96" t="s">
        <v>37</v>
      </c>
      <c r="N1086" s="98" t="s">
        <v>38</v>
      </c>
      <c r="O1086" s="96" t="s">
        <v>72</v>
      </c>
      <c r="R1086" s="36"/>
    </row>
    <row r="1087" spans="1:19" x14ac:dyDescent="0.25">
      <c r="A1087" s="12" t="s">
        <v>27</v>
      </c>
      <c r="B1087" s="50">
        <f>K1088*R1087</f>
        <v>1256</v>
      </c>
      <c r="C1087" s="64">
        <v>-2.7068208414420951E-4</v>
      </c>
      <c r="D1087" s="18">
        <v>1.2438880680221034</v>
      </c>
      <c r="E1087" s="18">
        <v>-45.094133383641314</v>
      </c>
      <c r="F1087" s="18">
        <v>-41.004504048759813</v>
      </c>
      <c r="G1087" s="17">
        <v>-0.53968283214066137</v>
      </c>
      <c r="I1087" s="14" t="s">
        <v>23</v>
      </c>
      <c r="J1087" s="41">
        <v>20</v>
      </c>
      <c r="K1087" s="97"/>
      <c r="L1087" s="40" t="s">
        <v>9</v>
      </c>
      <c r="M1087" s="97"/>
      <c r="N1087" s="99"/>
      <c r="O1087" s="97"/>
      <c r="Q1087" s="14" t="s">
        <v>75</v>
      </c>
      <c r="R1087" s="21">
        <f>IF(J1087=16,201,IF(J1087=20,314,IF(J1087=25,490,"Err")))</f>
        <v>314</v>
      </c>
      <c r="S1087" s="16" t="s">
        <v>25</v>
      </c>
    </row>
    <row r="1088" spans="1:19" x14ac:dyDescent="0.25">
      <c r="A1088" s="27" t="s">
        <v>28</v>
      </c>
      <c r="B1088" s="52">
        <f>phi*B1078*(B1086^2)*J1088*fy*(1-(0.588*J1088*fy/fc))/1000000</f>
        <v>286.26199934745597</v>
      </c>
      <c r="C1088" s="53">
        <v>2.6871989131259399E-4</v>
      </c>
      <c r="D1088" s="28">
        <v>-1.2438880565561612</v>
      </c>
      <c r="E1088" s="28">
        <v>-108.78032277963788</v>
      </c>
      <c r="F1088" s="28">
        <v>-150.02487284545981</v>
      </c>
      <c r="G1088" s="17">
        <v>0.53968281912844818</v>
      </c>
      <c r="I1088" s="14" t="s">
        <v>40</v>
      </c>
      <c r="J1088" s="24">
        <f>MAX(rhoMin,(K1088*R1087/(B1078*B1086)))</f>
        <v>4.90625E-3</v>
      </c>
      <c r="K1088" s="15">
        <v>4</v>
      </c>
      <c r="L1088" s="21">
        <f>IF(M1088&lt;2,(B1078-(2*(J1078+clrCover))-(K1088*J1087))/(K1088-1),(B1078-(2*(J1078+clrCover))-(N1088*J1087))/((N1088)-1))</f>
        <v>73.333333333333329</v>
      </c>
      <c r="M1088" s="15">
        <v>1</v>
      </c>
      <c r="N1088" s="22">
        <f>IF(M1088&lt;2,K1088,CEILING(K1088/2,1))</f>
        <v>4</v>
      </c>
      <c r="O1088" s="22">
        <f>K1088-N1088</f>
        <v>0</v>
      </c>
      <c r="Q1088" s="37" t="s">
        <v>74</v>
      </c>
      <c r="R1088" s="38">
        <f>rhoMin*B1078*B1086</f>
        <v>844.80000000000007</v>
      </c>
      <c r="S1088" s="22">
        <f>ROUNDUP(R1088/R1087,0)</f>
        <v>3</v>
      </c>
    </row>
    <row r="1089" spans="1:19" x14ac:dyDescent="0.25">
      <c r="A1089" s="65" t="s">
        <v>76</v>
      </c>
    </row>
    <row r="1090" spans="1:19" x14ac:dyDescent="0.25">
      <c r="A1090" s="69" t="s">
        <v>171</v>
      </c>
      <c r="B1090" s="11" t="s">
        <v>11</v>
      </c>
      <c r="C1090" s="10" t="s">
        <v>12</v>
      </c>
      <c r="D1090" s="10" t="s">
        <v>13</v>
      </c>
      <c r="E1090" s="10" t="s">
        <v>14</v>
      </c>
      <c r="F1090" s="10" t="s">
        <v>15</v>
      </c>
      <c r="G1090" s="11" t="s">
        <v>16</v>
      </c>
      <c r="H1090" s="6">
        <v>125</v>
      </c>
      <c r="I1090" s="90" t="s">
        <v>34</v>
      </c>
      <c r="J1090" s="91"/>
      <c r="K1090" s="71" t="s">
        <v>128</v>
      </c>
    </row>
    <row r="1091" spans="1:19" x14ac:dyDescent="0.25">
      <c r="A1091" s="12" t="s">
        <v>17</v>
      </c>
      <c r="B1091" s="48">
        <v>600</v>
      </c>
      <c r="C1091" s="44" t="s">
        <v>18</v>
      </c>
      <c r="D1091" s="44" t="s">
        <v>18</v>
      </c>
      <c r="E1091" s="44" t="s">
        <v>18</v>
      </c>
      <c r="F1091" s="44" t="s">
        <v>19</v>
      </c>
      <c r="G1091" s="45" t="s">
        <v>19</v>
      </c>
      <c r="H1091" s="6">
        <v>150</v>
      </c>
      <c r="I1091" s="14" t="s">
        <v>20</v>
      </c>
      <c r="J1091" s="15">
        <v>10</v>
      </c>
      <c r="K1091" s="16" t="s">
        <v>9</v>
      </c>
      <c r="L1091" s="22" t="s">
        <v>29</v>
      </c>
      <c r="M1091" s="22" t="s">
        <v>30</v>
      </c>
      <c r="N1091" s="22" t="s">
        <v>31</v>
      </c>
      <c r="O1091" s="22" t="s">
        <v>32</v>
      </c>
      <c r="P1091" s="3"/>
    </row>
    <row r="1092" spans="1:19" x14ac:dyDescent="0.25">
      <c r="A1092" s="12" t="s">
        <v>22</v>
      </c>
      <c r="B1092" s="48">
        <v>800</v>
      </c>
      <c r="C1092" s="17">
        <v>-96.486481294312625</v>
      </c>
      <c r="D1092" s="63">
        <v>-10.047259247566821</v>
      </c>
      <c r="E1092" s="63">
        <v>0</v>
      </c>
      <c r="F1092" s="63">
        <v>-114.43954313178899</v>
      </c>
      <c r="G1092" s="54">
        <v>0</v>
      </c>
      <c r="H1092" s="6">
        <v>175</v>
      </c>
      <c r="I1092" s="56"/>
      <c r="J1092" s="57"/>
      <c r="K1092" s="58"/>
      <c r="L1092" s="92" t="s">
        <v>1</v>
      </c>
      <c r="M1092" s="93"/>
      <c r="N1092" s="22" t="s">
        <v>35</v>
      </c>
      <c r="O1092" s="22" t="s">
        <v>9</v>
      </c>
    </row>
    <row r="1093" spans="1:19" x14ac:dyDescent="0.25">
      <c r="A1093" s="20" t="s">
        <v>24</v>
      </c>
      <c r="B1093" s="13"/>
      <c r="C1093" s="17">
        <v>112.04148926518801</v>
      </c>
      <c r="D1093" s="18">
        <v>0</v>
      </c>
      <c r="E1093" s="18">
        <v>-316.85944039987959</v>
      </c>
      <c r="F1093" s="18">
        <v>0</v>
      </c>
      <c r="G1093" s="19">
        <v>-6.1603630971008663</v>
      </c>
      <c r="H1093" s="6">
        <v>200</v>
      </c>
      <c r="I1093" s="59" t="s">
        <v>70</v>
      </c>
      <c r="J1093" s="60"/>
      <c r="K1093" s="61"/>
      <c r="L1093" s="25">
        <f>MAX(ABS(E1096),ABS(E1097))*1000/(B1094*B1091)</f>
        <v>1.2362759074324687</v>
      </c>
      <c r="M1093" s="25">
        <f>L1093-phiVc</f>
        <v>0.57376647353737309</v>
      </c>
      <c r="N1093" s="26">
        <f>M1093*O1093*B1091/(phiV*fys*0.25*PI()*(J1091^2))</f>
        <v>2.1252135666938901</v>
      </c>
      <c r="O1093" s="15">
        <v>100</v>
      </c>
    </row>
    <row r="1094" spans="1:19" x14ac:dyDescent="0.25">
      <c r="A1094" s="12" t="s">
        <v>26</v>
      </c>
      <c r="B1094" s="49">
        <f>B1092-clrCover-J1091-(IF(M1098&gt;1,1.5*J1097,0.5*J1097))</f>
        <v>712.5</v>
      </c>
      <c r="C1094" s="64">
        <v>-96.486481294312625</v>
      </c>
      <c r="D1094" s="17">
        <v>-10.047259247566821</v>
      </c>
      <c r="E1094" s="18">
        <v>-135.87158951797858</v>
      </c>
      <c r="F1094" s="18">
        <v>-114.43954313178899</v>
      </c>
      <c r="G1094" s="19">
        <v>6.2843352101487309</v>
      </c>
      <c r="H1094" s="6">
        <v>250</v>
      </c>
      <c r="I1094" s="59" t="s">
        <v>71</v>
      </c>
      <c r="J1094" s="60"/>
      <c r="K1094" s="61"/>
      <c r="L1094" s="25">
        <f>MAX(ABS(E1096),ABS(E1097))*1000/(B1099*B1091)</f>
        <v>1.194368249553402</v>
      </c>
      <c r="M1094" s="25">
        <f>L1094-phiVc</f>
        <v>0.53185881565830639</v>
      </c>
      <c r="N1094" s="26">
        <f>M1094*O1094*B1091/(phiV*fys*0.25*PI()*(J1091^2))</f>
        <v>1.9699888765444795</v>
      </c>
      <c r="O1094" s="15">
        <v>100</v>
      </c>
    </row>
    <row r="1095" spans="1:19" x14ac:dyDescent="0.25">
      <c r="A1095" s="12" t="s">
        <v>27</v>
      </c>
      <c r="B1095" s="50">
        <f>K1098*R1097</f>
        <v>3430</v>
      </c>
      <c r="C1095" s="64">
        <v>112.04148926518801</v>
      </c>
      <c r="D1095" s="17">
        <v>9.9030054185878011</v>
      </c>
      <c r="E1095" s="18">
        <v>-316.85944039987959</v>
      </c>
      <c r="F1095" s="18">
        <v>-537.31169227699331</v>
      </c>
      <c r="G1095" s="19">
        <v>-6.1603630971008663</v>
      </c>
      <c r="H1095" s="6">
        <v>300</v>
      </c>
    </row>
    <row r="1096" spans="1:19" x14ac:dyDescent="0.25">
      <c r="A1096" s="12" t="s">
        <v>28</v>
      </c>
      <c r="B1096" s="51">
        <f>-phi*B1091*(B1094^2)*J1098*fy*(1-(0.588*J1098*fy/fc))/1000000</f>
        <v>-844.7169028536</v>
      </c>
      <c r="C1096" s="64">
        <v>16.127305340785711</v>
      </c>
      <c r="D1096" s="18">
        <v>-6.8267444304980759E-2</v>
      </c>
      <c r="E1096" s="17">
        <v>-442.79347299814498</v>
      </c>
      <c r="F1096" s="18">
        <v>-642.69248425067735</v>
      </c>
      <c r="G1096" s="19">
        <v>8.3425798202635515E-2</v>
      </c>
      <c r="I1096" s="90" t="s">
        <v>68</v>
      </c>
      <c r="J1096" s="91"/>
      <c r="K1096" s="94" t="s">
        <v>35</v>
      </c>
      <c r="L1096" s="78" t="s">
        <v>36</v>
      </c>
      <c r="M1096" s="96" t="s">
        <v>37</v>
      </c>
      <c r="N1096" s="98" t="s">
        <v>38</v>
      </c>
      <c r="O1096" s="96" t="s">
        <v>72</v>
      </c>
      <c r="Q1096" s="34" t="s">
        <v>73</v>
      </c>
    </row>
    <row r="1097" spans="1:19" x14ac:dyDescent="0.25">
      <c r="A1097" s="23" t="s">
        <v>33</v>
      </c>
      <c r="B1097" s="13"/>
      <c r="C1097" s="64">
        <v>1.6455384987525148</v>
      </c>
      <c r="D1097" s="18">
        <v>3.1046665946367118</v>
      </c>
      <c r="E1097" s="17">
        <v>528.50795042738036</v>
      </c>
      <c r="F1097" s="18">
        <v>-666.32784858966579</v>
      </c>
      <c r="G1097" s="19">
        <v>1.8098334776634519</v>
      </c>
      <c r="I1097" s="14" t="s">
        <v>23</v>
      </c>
      <c r="J1097" s="41">
        <v>25</v>
      </c>
      <c r="K1097" s="95"/>
      <c r="L1097" s="40" t="s">
        <v>9</v>
      </c>
      <c r="M1097" s="97"/>
      <c r="N1097" s="99"/>
      <c r="O1097" s="97"/>
      <c r="Q1097" s="14" t="s">
        <v>75</v>
      </c>
      <c r="R1097" s="21">
        <f>IF(J1097=16,201,IF(J1097=20,314,IF(J1097=25,490,"Err")))</f>
        <v>490</v>
      </c>
      <c r="S1097" s="16" t="s">
        <v>25</v>
      </c>
    </row>
    <row r="1098" spans="1:19" x14ac:dyDescent="0.25">
      <c r="A1098" s="20" t="s">
        <v>39</v>
      </c>
      <c r="B1098" s="13"/>
      <c r="C1098" s="64">
        <v>-51.135824086164732</v>
      </c>
      <c r="D1098" s="18">
        <v>3.0939433051898879</v>
      </c>
      <c r="E1098" s="18">
        <v>498.06410497889806</v>
      </c>
      <c r="F1098" s="17">
        <v>-795.53283242102736</v>
      </c>
      <c r="G1098" s="19">
        <v>1.5698525285421243</v>
      </c>
      <c r="I1098" s="14" t="s">
        <v>40</v>
      </c>
      <c r="J1098" s="24">
        <f>MAX(rhoMin,(K1098*R1097/(B1091*B1094)))</f>
        <v>8.0233918128654966E-3</v>
      </c>
      <c r="K1098" s="15">
        <v>7</v>
      </c>
      <c r="L1098" s="39">
        <f>IF(M1098&lt;2,(B1091-(2*(J1091+clrCover))-(K1098*J1097))/(K1098-1),(B1091-(2*(J1091+clrCover))-(N1098*J1097))/((N1098)-1))</f>
        <v>133.33333333333334</v>
      </c>
      <c r="M1098" s="15">
        <v>2</v>
      </c>
      <c r="N1098" s="22">
        <f>IF(M1098&lt;2,K1098,CEILING(K1098/2,1))</f>
        <v>4</v>
      </c>
      <c r="O1098" s="22">
        <f>K1098-N1098</f>
        <v>3</v>
      </c>
      <c r="Q1098" s="37" t="s">
        <v>74</v>
      </c>
      <c r="R1098" s="38">
        <f>rhoMin*B1091*B1094</f>
        <v>1410.75</v>
      </c>
      <c r="S1098" s="22">
        <f>ROUNDUP(R1098/R1097,0)</f>
        <v>3</v>
      </c>
    </row>
    <row r="1099" spans="1:19" x14ac:dyDescent="0.25">
      <c r="A1099" s="12" t="s">
        <v>26</v>
      </c>
      <c r="B1099" s="49">
        <f>B1092-clrCover-J1091-(IF(M1101&gt;1,1.5*J1100,0.5*J1100))</f>
        <v>737.5</v>
      </c>
      <c r="C1099" s="64">
        <v>7.1409045321896869</v>
      </c>
      <c r="D1099" s="18">
        <v>0.18225266205714319</v>
      </c>
      <c r="E1099" s="18">
        <v>17.33972627014197</v>
      </c>
      <c r="F1099" s="17">
        <v>273.19930029532588</v>
      </c>
      <c r="G1099" s="19">
        <v>2.2184762347561893E-2</v>
      </c>
      <c r="I1099" s="90" t="s">
        <v>69</v>
      </c>
      <c r="J1099" s="91"/>
      <c r="K1099" s="96" t="s">
        <v>35</v>
      </c>
      <c r="L1099" s="78" t="s">
        <v>36</v>
      </c>
      <c r="M1099" s="96" t="s">
        <v>37</v>
      </c>
      <c r="N1099" s="98" t="s">
        <v>38</v>
      </c>
      <c r="O1099" s="96" t="s">
        <v>72</v>
      </c>
      <c r="R1099" s="36"/>
    </row>
    <row r="1100" spans="1:19" x14ac:dyDescent="0.25">
      <c r="A1100" s="12" t="s">
        <v>27</v>
      </c>
      <c r="B1100" s="50">
        <f>K1101*R1100</f>
        <v>1470</v>
      </c>
      <c r="C1100" s="64">
        <v>112.04148926518801</v>
      </c>
      <c r="D1100" s="18">
        <v>9.9030054185878011</v>
      </c>
      <c r="E1100" s="18">
        <v>-316.85944039987959</v>
      </c>
      <c r="F1100" s="18">
        <v>-537.31169227699331</v>
      </c>
      <c r="G1100" s="17">
        <v>-6.1603630971008663</v>
      </c>
      <c r="I1100" s="14" t="s">
        <v>23</v>
      </c>
      <c r="J1100" s="41">
        <v>25</v>
      </c>
      <c r="K1100" s="97"/>
      <c r="L1100" s="40" t="s">
        <v>9</v>
      </c>
      <c r="M1100" s="97"/>
      <c r="N1100" s="99"/>
      <c r="O1100" s="97"/>
      <c r="Q1100" s="14" t="s">
        <v>75</v>
      </c>
      <c r="R1100" s="21">
        <f>IF(J1100=16,201,IF(J1100=20,314,IF(J1100=25,490,"Err")))</f>
        <v>490</v>
      </c>
      <c r="S1100" s="16" t="s">
        <v>25</v>
      </c>
    </row>
    <row r="1101" spans="1:19" x14ac:dyDescent="0.25">
      <c r="A1101" s="27" t="s">
        <v>28</v>
      </c>
      <c r="B1101" s="52">
        <f>phi*B1091*(B1099^2)*J1101*fy*(1-(0.588*J1101*fy/fc))/1000000</f>
        <v>391.84623419759998</v>
      </c>
      <c r="C1101" s="53">
        <v>-96.486481294312625</v>
      </c>
      <c r="D1101" s="28">
        <v>-10.047259247566821</v>
      </c>
      <c r="E1101" s="28">
        <v>-135.87158951797858</v>
      </c>
      <c r="F1101" s="28">
        <v>-114.43954313178899</v>
      </c>
      <c r="G1101" s="17">
        <v>6.2843352101487309</v>
      </c>
      <c r="I1101" s="14" t="s">
        <v>40</v>
      </c>
      <c r="J1101" s="24">
        <f>MAX(rhoMin,(K1101*R1100/(B1091*B1099)))</f>
        <v>3.3220338983050847E-3</v>
      </c>
      <c r="K1101" s="15">
        <v>3</v>
      </c>
      <c r="L1101" s="21">
        <f>IF(M1101&lt;2,(B1091-(2*(J1091+clrCover))-(K1101*J1100))/(K1101-1),(B1091-(2*(J1091+clrCover))-(N1101*J1100))/((N1101)-1))</f>
        <v>212.5</v>
      </c>
      <c r="M1101" s="15">
        <v>1</v>
      </c>
      <c r="N1101" s="22">
        <f>IF(M1101&lt;2,K1101,CEILING(K1101/2,1))</f>
        <v>3</v>
      </c>
      <c r="O1101" s="22">
        <f>K1101-N1101</f>
        <v>0</v>
      </c>
      <c r="Q1101" s="37" t="s">
        <v>74</v>
      </c>
      <c r="R1101" s="38">
        <f>rhoMin*B1091*B1099</f>
        <v>1460.25</v>
      </c>
      <c r="S1101" s="22">
        <f>ROUNDUP(R1101/R1100,0)</f>
        <v>3</v>
      </c>
    </row>
    <row r="1102" spans="1:19" x14ac:dyDescent="0.25">
      <c r="A1102" s="65" t="s">
        <v>76</v>
      </c>
    </row>
    <row r="1103" spans="1:19" x14ac:dyDescent="0.25">
      <c r="A1103" s="69" t="s">
        <v>173</v>
      </c>
      <c r="B1103" s="11" t="s">
        <v>11</v>
      </c>
      <c r="C1103" s="10" t="s">
        <v>12</v>
      </c>
      <c r="D1103" s="10" t="s">
        <v>13</v>
      </c>
      <c r="E1103" s="10" t="s">
        <v>14</v>
      </c>
      <c r="F1103" s="10" t="s">
        <v>15</v>
      </c>
      <c r="G1103" s="11" t="s">
        <v>16</v>
      </c>
      <c r="H1103" s="6">
        <v>125</v>
      </c>
      <c r="I1103" s="90" t="s">
        <v>34</v>
      </c>
      <c r="J1103" s="91"/>
      <c r="K1103" s="71" t="s">
        <v>128</v>
      </c>
    </row>
    <row r="1104" spans="1:19" x14ac:dyDescent="0.25">
      <c r="A1104" s="12" t="s">
        <v>17</v>
      </c>
      <c r="B1104" s="48">
        <v>600</v>
      </c>
      <c r="C1104" s="44" t="s">
        <v>18</v>
      </c>
      <c r="D1104" s="44" t="s">
        <v>18</v>
      </c>
      <c r="E1104" s="44" t="s">
        <v>18</v>
      </c>
      <c r="F1104" s="44" t="s">
        <v>19</v>
      </c>
      <c r="G1104" s="45" t="s">
        <v>19</v>
      </c>
      <c r="H1104" s="6">
        <v>150</v>
      </c>
      <c r="I1104" s="14" t="s">
        <v>20</v>
      </c>
      <c r="J1104" s="15">
        <v>10</v>
      </c>
      <c r="K1104" s="16" t="s">
        <v>9</v>
      </c>
      <c r="L1104" s="22" t="s">
        <v>29</v>
      </c>
      <c r="M1104" s="22" t="s">
        <v>30</v>
      </c>
      <c r="N1104" s="22" t="s">
        <v>31</v>
      </c>
      <c r="O1104" s="22" t="s">
        <v>32</v>
      </c>
      <c r="P1104" s="3"/>
    </row>
    <row r="1105" spans="1:19" x14ac:dyDescent="0.25">
      <c r="A1105" s="12" t="s">
        <v>22</v>
      </c>
      <c r="B1105" s="48">
        <v>1000</v>
      </c>
      <c r="C1105" s="17">
        <v>-278.03385453983088</v>
      </c>
      <c r="D1105" s="63">
        <v>41.054886350428255</v>
      </c>
      <c r="E1105" s="63">
        <v>0</v>
      </c>
      <c r="F1105" s="63">
        <v>314.98687611797357</v>
      </c>
      <c r="G1105" s="54">
        <v>0</v>
      </c>
      <c r="H1105" s="6">
        <v>175</v>
      </c>
      <c r="I1105" s="56"/>
      <c r="J1105" s="57"/>
      <c r="K1105" s="58"/>
      <c r="L1105" s="92" t="s">
        <v>1</v>
      </c>
      <c r="M1105" s="93"/>
      <c r="N1105" s="22" t="s">
        <v>35</v>
      </c>
      <c r="O1105" s="22" t="s">
        <v>9</v>
      </c>
    </row>
    <row r="1106" spans="1:19" x14ac:dyDescent="0.25">
      <c r="A1106" s="20" t="s">
        <v>24</v>
      </c>
      <c r="B1106" s="13"/>
      <c r="C1106" s="17">
        <v>284.63437868926349</v>
      </c>
      <c r="D1106" s="18">
        <v>0</v>
      </c>
      <c r="E1106" s="18">
        <v>-315.1715054802051</v>
      </c>
      <c r="F1106" s="18">
        <v>0</v>
      </c>
      <c r="G1106" s="19">
        <v>29.051196165609802</v>
      </c>
      <c r="H1106" s="6">
        <v>200</v>
      </c>
      <c r="I1106" s="59" t="s">
        <v>70</v>
      </c>
      <c r="J1106" s="60"/>
      <c r="K1106" s="61"/>
      <c r="L1106" s="25">
        <f>MAX(ABS(E1109),ABS(E1110))*1000/(B1107*B1104)</f>
        <v>1.5966822405922703</v>
      </c>
      <c r="M1106" s="25">
        <f>L1106-phiVc</f>
        <v>0.93417280669717462</v>
      </c>
      <c r="N1106" s="26">
        <f>M1106*O1106*B1104/(phiV*fys*0.25*PI()*(J1104^2))</f>
        <v>3.4601476628453227</v>
      </c>
      <c r="O1106" s="15">
        <v>100</v>
      </c>
    </row>
    <row r="1107" spans="1:19" x14ac:dyDescent="0.25">
      <c r="A1107" s="12" t="s">
        <v>26</v>
      </c>
      <c r="B1107" s="49">
        <f>B1105-clrCover-J1104-(IF(M1111&gt;1,1.5*J1110,0.5*J1110))</f>
        <v>912.5</v>
      </c>
      <c r="C1107" s="64">
        <v>281.20131497184497</v>
      </c>
      <c r="D1107" s="17">
        <v>-41.543562558637532</v>
      </c>
      <c r="E1107" s="18">
        <v>-218.76589582858477</v>
      </c>
      <c r="F1107" s="18">
        <v>-50.173064965838364</v>
      </c>
      <c r="G1107" s="19">
        <v>29.203670635834936</v>
      </c>
      <c r="H1107" s="6">
        <v>250</v>
      </c>
      <c r="I1107" s="59" t="s">
        <v>71</v>
      </c>
      <c r="J1107" s="60"/>
      <c r="K1107" s="61"/>
      <c r="L1107" s="25">
        <f>MAX(ABS(E1109),ABS(E1110))*1000/(B1112*B1104)</f>
        <v>1.5541040475098098</v>
      </c>
      <c r="M1107" s="25">
        <f>L1107-phiVc</f>
        <v>0.89159461361471415</v>
      </c>
      <c r="N1107" s="26">
        <f>M1107*O1107*B1104/(phiV*fys*0.25*PI()*(J1104^2))</f>
        <v>3.3024393306970818</v>
      </c>
      <c r="O1107" s="15">
        <v>100</v>
      </c>
    </row>
    <row r="1108" spans="1:19" x14ac:dyDescent="0.25">
      <c r="A1108" s="12" t="s">
        <v>27</v>
      </c>
      <c r="B1108" s="50">
        <f>K1111*R1110</f>
        <v>7840</v>
      </c>
      <c r="C1108" s="64">
        <v>-274.60079082241236</v>
      </c>
      <c r="D1108" s="17">
        <v>41.313433908044018</v>
      </c>
      <c r="E1108" s="18">
        <v>-208.54490467745435</v>
      </c>
      <c r="F1108" s="18">
        <v>397.7876928478214</v>
      </c>
      <c r="G1108" s="19">
        <v>-28.822297859724198</v>
      </c>
      <c r="H1108" s="6">
        <v>300</v>
      </c>
    </row>
    <row r="1109" spans="1:19" x14ac:dyDescent="0.25">
      <c r="A1109" s="12" t="s">
        <v>28</v>
      </c>
      <c r="B1109" s="51">
        <f>-phi*B1104*(B1107^2)*J1111*fy*(1-(0.588*J1111*fy/fc))/1000000</f>
        <v>-2321.4384393983996</v>
      </c>
      <c r="C1109" s="64">
        <v>-5.4242323067301183E-4</v>
      </c>
      <c r="D1109" s="18">
        <v>-7.1273570433697829E-5</v>
      </c>
      <c r="E1109" s="17">
        <v>-766.46996802294575</v>
      </c>
      <c r="F1109" s="18">
        <v>-1450.9512009431667</v>
      </c>
      <c r="G1109" s="19">
        <v>1.0667516798439163E-4</v>
      </c>
      <c r="I1109" s="90" t="s">
        <v>68</v>
      </c>
      <c r="J1109" s="91"/>
      <c r="K1109" s="94" t="s">
        <v>35</v>
      </c>
      <c r="L1109" s="78" t="s">
        <v>36</v>
      </c>
      <c r="M1109" s="96" t="s">
        <v>37</v>
      </c>
      <c r="N1109" s="98" t="s">
        <v>38</v>
      </c>
      <c r="O1109" s="96" t="s">
        <v>72</v>
      </c>
      <c r="Q1109" s="34" t="s">
        <v>73</v>
      </c>
    </row>
    <row r="1110" spans="1:19" x14ac:dyDescent="0.25">
      <c r="A1110" s="23" t="s">
        <v>33</v>
      </c>
      <c r="B1110" s="13"/>
      <c r="C1110" s="64">
        <v>14.151527156134099</v>
      </c>
      <c r="D1110" s="18">
        <v>3.0446750194782704</v>
      </c>
      <c r="E1110" s="17">
        <v>874.18352672426795</v>
      </c>
      <c r="F1110" s="18">
        <v>-1648.8766836419272</v>
      </c>
      <c r="G1110" s="19">
        <v>1.9210308601261774</v>
      </c>
      <c r="I1110" s="14" t="s">
        <v>23</v>
      </c>
      <c r="J1110" s="41">
        <v>25</v>
      </c>
      <c r="K1110" s="95"/>
      <c r="L1110" s="40" t="s">
        <v>9</v>
      </c>
      <c r="M1110" s="97"/>
      <c r="N1110" s="99"/>
      <c r="O1110" s="97"/>
      <c r="Q1110" s="14" t="s">
        <v>75</v>
      </c>
      <c r="R1110" s="21">
        <f>IF(J1110=16,201,IF(J1110=20,314,IF(J1110=25,490,"Err")))</f>
        <v>490</v>
      </c>
      <c r="S1110" s="16" t="s">
        <v>25</v>
      </c>
    </row>
    <row r="1111" spans="1:19" x14ac:dyDescent="0.25">
      <c r="A1111" s="20" t="s">
        <v>39</v>
      </c>
      <c r="B1111" s="13"/>
      <c r="C1111" s="64">
        <v>17.629016086214932</v>
      </c>
      <c r="D1111" s="18">
        <v>13.134222476964799</v>
      </c>
      <c r="E1111" s="18">
        <v>819.39001642181654</v>
      </c>
      <c r="F1111" s="17">
        <v>-2305.4847205322103</v>
      </c>
      <c r="G1111" s="19">
        <v>7.4425169624665681</v>
      </c>
      <c r="I1111" s="14" t="s">
        <v>40</v>
      </c>
      <c r="J1111" s="24">
        <f>MAX(rhoMin,(K1111*R1110/(B1104*B1107)))</f>
        <v>1.4319634703196348E-2</v>
      </c>
      <c r="K1111" s="15">
        <v>16</v>
      </c>
      <c r="L1111" s="39">
        <f>IF(M1111&lt;2,(B1104-(2*(J1104+clrCover))-(K1111*J1110))/(K1111-1),(B1104-(2*(J1104+clrCover))-(N1111*J1110))/((N1111)-1))</f>
        <v>42.857142857142854</v>
      </c>
      <c r="M1111" s="15">
        <v>2</v>
      </c>
      <c r="N1111" s="22">
        <f>IF(M1111&lt;2,K1111,CEILING(K1111/2,1))</f>
        <v>8</v>
      </c>
      <c r="O1111" s="22">
        <f>K1111-N1111</f>
        <v>8</v>
      </c>
      <c r="Q1111" s="37" t="s">
        <v>74</v>
      </c>
      <c r="R1111" s="38">
        <f>rhoMin*B1104*B1107</f>
        <v>1806.75</v>
      </c>
      <c r="S1111" s="22">
        <f>ROUNDUP(R1111/R1110,0)</f>
        <v>4</v>
      </c>
    </row>
    <row r="1112" spans="1:19" x14ac:dyDescent="0.25">
      <c r="A1112" s="12" t="s">
        <v>26</v>
      </c>
      <c r="B1112" s="49">
        <f>B1105-clrCover-J1104-(IF(M1114&gt;1,1.5*J1113,0.5*J1113))</f>
        <v>937.5</v>
      </c>
      <c r="C1112" s="64">
        <v>12.03695762687145</v>
      </c>
      <c r="D1112" s="18">
        <v>-2.156497731583586E-2</v>
      </c>
      <c r="E1112" s="18">
        <v>24.68625795298896</v>
      </c>
      <c r="F1112" s="17">
        <v>998.37526495739905</v>
      </c>
      <c r="G1112" s="19">
        <v>0.11933933294118342</v>
      </c>
      <c r="I1112" s="90" t="s">
        <v>69</v>
      </c>
      <c r="J1112" s="91"/>
      <c r="K1112" s="96" t="s">
        <v>35</v>
      </c>
      <c r="L1112" s="78" t="s">
        <v>36</v>
      </c>
      <c r="M1112" s="96" t="s">
        <v>37</v>
      </c>
      <c r="N1112" s="98" t="s">
        <v>38</v>
      </c>
      <c r="O1112" s="96" t="s">
        <v>72</v>
      </c>
      <c r="R1112" s="36"/>
    </row>
    <row r="1113" spans="1:19" x14ac:dyDescent="0.25">
      <c r="A1113" s="12" t="s">
        <v>27</v>
      </c>
      <c r="B1113" s="50">
        <f>K1114*R1113</f>
        <v>3430</v>
      </c>
      <c r="C1113" s="64">
        <v>-274.60079082241236</v>
      </c>
      <c r="D1113" s="18">
        <v>41.313433908044018</v>
      </c>
      <c r="E1113" s="18">
        <v>-208.54490467745435</v>
      </c>
      <c r="F1113" s="18">
        <v>397.7876928478214</v>
      </c>
      <c r="G1113" s="17">
        <v>-28.822297859724198</v>
      </c>
      <c r="I1113" s="14" t="s">
        <v>23</v>
      </c>
      <c r="J1113" s="41">
        <v>25</v>
      </c>
      <c r="K1113" s="97"/>
      <c r="L1113" s="40" t="s">
        <v>9</v>
      </c>
      <c r="M1113" s="97"/>
      <c r="N1113" s="99"/>
      <c r="O1113" s="97"/>
      <c r="Q1113" s="14" t="s">
        <v>75</v>
      </c>
      <c r="R1113" s="21">
        <f>IF(J1113=16,201,IF(J1113=20,314,IF(J1113=25,490,"Err")))</f>
        <v>490</v>
      </c>
      <c r="S1113" s="16" t="s">
        <v>25</v>
      </c>
    </row>
    <row r="1114" spans="1:19" x14ac:dyDescent="0.25">
      <c r="A1114" s="27" t="s">
        <v>28</v>
      </c>
      <c r="B1114" s="52">
        <f>phi*B1104*(B1112^2)*J1114*fy*(1-(0.588*J1114*fy/fc))/1000000</f>
        <v>1132.2709528536</v>
      </c>
      <c r="C1114" s="53">
        <v>281.20131497184497</v>
      </c>
      <c r="D1114" s="28">
        <v>-41.543562558637532</v>
      </c>
      <c r="E1114" s="28">
        <v>-218.76589582858477</v>
      </c>
      <c r="F1114" s="28">
        <v>-50.173064965838364</v>
      </c>
      <c r="G1114" s="17">
        <v>29.203670635834936</v>
      </c>
      <c r="I1114" s="14" t="s">
        <v>40</v>
      </c>
      <c r="J1114" s="24">
        <f>MAX(rhoMin,(K1114*R1113/(B1104*B1112)))</f>
        <v>6.0977777777777775E-3</v>
      </c>
      <c r="K1114" s="15">
        <v>7</v>
      </c>
      <c r="L1114" s="21">
        <f>IF(M1114&lt;2,(B1104-(2*(J1104+clrCover))-(K1114*J1113))/(K1114-1),(B1104-(2*(J1104+clrCover))-(N1114*J1113))/((N1114)-1))</f>
        <v>54.166666666666664</v>
      </c>
      <c r="M1114" s="15">
        <v>1</v>
      </c>
      <c r="N1114" s="22">
        <f>IF(M1114&lt;2,K1114,CEILING(K1114/2,1))</f>
        <v>7</v>
      </c>
      <c r="O1114" s="22">
        <f>K1114-N1114</f>
        <v>0</v>
      </c>
      <c r="Q1114" s="37" t="s">
        <v>74</v>
      </c>
      <c r="R1114" s="38">
        <f>rhoMin*B1104*B1112</f>
        <v>1856.25</v>
      </c>
      <c r="S1114" s="22">
        <f>ROUNDUP(R1114/R1113,0)</f>
        <v>4</v>
      </c>
    </row>
    <row r="1115" spans="1:19" x14ac:dyDescent="0.25">
      <c r="A1115" s="65" t="s">
        <v>76</v>
      </c>
    </row>
    <row r="1116" spans="1:19" x14ac:dyDescent="0.25">
      <c r="A1116" s="69" t="s">
        <v>174</v>
      </c>
      <c r="B1116" s="11" t="s">
        <v>11</v>
      </c>
      <c r="C1116" s="10" t="s">
        <v>12</v>
      </c>
      <c r="D1116" s="10" t="s">
        <v>13</v>
      </c>
      <c r="E1116" s="10" t="s">
        <v>14</v>
      </c>
      <c r="F1116" s="10" t="s">
        <v>15</v>
      </c>
      <c r="G1116" s="11" t="s">
        <v>16</v>
      </c>
      <c r="H1116" s="6">
        <v>125</v>
      </c>
      <c r="I1116" s="90" t="s">
        <v>34</v>
      </c>
      <c r="J1116" s="91"/>
      <c r="K1116" s="71" t="s">
        <v>128</v>
      </c>
    </row>
    <row r="1117" spans="1:19" x14ac:dyDescent="0.25">
      <c r="A1117" s="12" t="s">
        <v>17</v>
      </c>
      <c r="B1117" s="48">
        <v>400</v>
      </c>
      <c r="C1117" s="44" t="s">
        <v>18</v>
      </c>
      <c r="D1117" s="44" t="s">
        <v>18</v>
      </c>
      <c r="E1117" s="44" t="s">
        <v>18</v>
      </c>
      <c r="F1117" s="44" t="s">
        <v>19</v>
      </c>
      <c r="G1117" s="45" t="s">
        <v>19</v>
      </c>
      <c r="H1117" s="6">
        <v>150</v>
      </c>
      <c r="I1117" s="14" t="s">
        <v>20</v>
      </c>
      <c r="J1117" s="15">
        <v>10</v>
      </c>
      <c r="K1117" s="16" t="s">
        <v>9</v>
      </c>
      <c r="L1117" s="22" t="s">
        <v>29</v>
      </c>
      <c r="M1117" s="22" t="s">
        <v>30</v>
      </c>
      <c r="N1117" s="22" t="s">
        <v>31</v>
      </c>
      <c r="O1117" s="22" t="s">
        <v>32</v>
      </c>
      <c r="P1117" s="3"/>
    </row>
    <row r="1118" spans="1:19" x14ac:dyDescent="0.25">
      <c r="A1118" s="12" t="s">
        <v>22</v>
      </c>
      <c r="B1118" s="48">
        <v>900</v>
      </c>
      <c r="C1118" s="17">
        <v>-488.54046839267579</v>
      </c>
      <c r="D1118" s="63">
        <v>10.874154980709699</v>
      </c>
      <c r="E1118" s="63">
        <v>0</v>
      </c>
      <c r="F1118" s="63">
        <v>592.22556578677631</v>
      </c>
      <c r="G1118" s="54">
        <v>0</v>
      </c>
      <c r="H1118" s="6">
        <v>175</v>
      </c>
      <c r="I1118" s="56"/>
      <c r="J1118" s="57"/>
      <c r="K1118" s="58"/>
      <c r="L1118" s="92" t="s">
        <v>1</v>
      </c>
      <c r="M1118" s="93"/>
      <c r="N1118" s="22" t="s">
        <v>35</v>
      </c>
      <c r="O1118" s="22" t="s">
        <v>9</v>
      </c>
    </row>
    <row r="1119" spans="1:19" x14ac:dyDescent="0.25">
      <c r="A1119" s="20" t="s">
        <v>24</v>
      </c>
      <c r="B1119" s="13"/>
      <c r="C1119" s="17">
        <v>532.8684797497358</v>
      </c>
      <c r="D1119" s="18">
        <v>0</v>
      </c>
      <c r="E1119" s="18">
        <v>-604.65989907986989</v>
      </c>
      <c r="F1119" s="18">
        <v>0</v>
      </c>
      <c r="G1119" s="19">
        <v>11.553933642517094</v>
      </c>
      <c r="H1119" s="6">
        <v>200</v>
      </c>
      <c r="I1119" s="59" t="s">
        <v>70</v>
      </c>
      <c r="J1119" s="60"/>
      <c r="K1119" s="61"/>
      <c r="L1119" s="25">
        <f>MAX(ABS(E1122),ABS(E1123))*1000/(B1120*B1117)</f>
        <v>1.9213217457612002</v>
      </c>
      <c r="M1119" s="25">
        <f>L1119-phiVc</f>
        <v>1.2588123118661045</v>
      </c>
      <c r="N1119" s="26">
        <f>M1119*O1119*B1117/(phiV*fys*0.25*PI()*(J1117^2))</f>
        <v>3.1084016773186258</v>
      </c>
      <c r="O1119" s="15">
        <v>100</v>
      </c>
    </row>
    <row r="1120" spans="1:19" x14ac:dyDescent="0.25">
      <c r="A1120" s="12" t="s">
        <v>26</v>
      </c>
      <c r="B1120" s="49">
        <f>B1118-clrCover-J1117-(IF(M1124&gt;1,1.5*J1123,0.5*J1123))</f>
        <v>812.5</v>
      </c>
      <c r="C1120" s="64">
        <v>40.804646774318428</v>
      </c>
      <c r="D1120" s="17">
        <v>-46.545154310337807</v>
      </c>
      <c r="E1120" s="18">
        <v>-541.12422478031658</v>
      </c>
      <c r="F1120" s="18">
        <v>-1053.1147024003883</v>
      </c>
      <c r="G1120" s="19">
        <v>26.675681761884324</v>
      </c>
      <c r="H1120" s="6">
        <v>250</v>
      </c>
      <c r="I1120" s="59" t="s">
        <v>71</v>
      </c>
      <c r="J1120" s="60"/>
      <c r="K1120" s="61"/>
      <c r="L1120" s="25">
        <f>MAX(ABS(E1122),ABS(E1123))*1000/(B1125*B1117)</f>
        <v>1.86396885782803</v>
      </c>
      <c r="M1120" s="25">
        <f>L1120-phiVc</f>
        <v>1.2014594239329344</v>
      </c>
      <c r="N1120" s="26">
        <f>M1120*O1120*B1117/(phiV*fys*0.25*PI()*(J1117^2))</f>
        <v>2.9667794423197869</v>
      </c>
      <c r="O1120" s="15">
        <v>100</v>
      </c>
    </row>
    <row r="1121" spans="1:19" x14ac:dyDescent="0.25">
      <c r="A1121" s="12" t="s">
        <v>27</v>
      </c>
      <c r="B1121" s="50">
        <f>K1124*R1123</f>
        <v>5880</v>
      </c>
      <c r="C1121" s="64">
        <v>3.5233645827415292</v>
      </c>
      <c r="D1121" s="17">
        <v>43.895006029547154</v>
      </c>
      <c r="E1121" s="18">
        <v>-38.68654322573618</v>
      </c>
      <c r="F1121" s="18">
        <v>295.10373716899295</v>
      </c>
      <c r="G1121" s="19">
        <v>-24.906952948044736</v>
      </c>
      <c r="H1121" s="6">
        <v>300</v>
      </c>
    </row>
    <row r="1122" spans="1:19" x14ac:dyDescent="0.25">
      <c r="A1122" s="12" t="s">
        <v>28</v>
      </c>
      <c r="B1122" s="51">
        <f>-phi*B1117*(B1120^2)*J1124*fy*(1-(0.588*J1124*fy/fc))/1000000</f>
        <v>-1489.7267207423999</v>
      </c>
      <c r="C1122" s="64">
        <v>42.702731212024005</v>
      </c>
      <c r="D1122" s="18">
        <v>-2.5074230343479718</v>
      </c>
      <c r="E1122" s="17">
        <v>-624.42956737239012</v>
      </c>
      <c r="F1122" s="18">
        <v>-827.59931144050711</v>
      </c>
      <c r="G1122" s="19">
        <v>1.6530837305160775</v>
      </c>
      <c r="I1122" s="90" t="s">
        <v>68</v>
      </c>
      <c r="J1122" s="91"/>
      <c r="K1122" s="94" t="s">
        <v>35</v>
      </c>
      <c r="L1122" s="78" t="s">
        <v>36</v>
      </c>
      <c r="M1122" s="96" t="s">
        <v>37</v>
      </c>
      <c r="N1122" s="98" t="s">
        <v>38</v>
      </c>
      <c r="O1122" s="96" t="s">
        <v>72</v>
      </c>
      <c r="Q1122" s="34" t="s">
        <v>73</v>
      </c>
    </row>
    <row r="1123" spans="1:19" x14ac:dyDescent="0.25">
      <c r="A1123" s="23" t="s">
        <v>33</v>
      </c>
      <c r="B1123" s="13"/>
      <c r="C1123" s="64">
        <v>-118.84321873550661</v>
      </c>
      <c r="D1123" s="18">
        <v>0.5037169415831132</v>
      </c>
      <c r="E1123" s="17">
        <v>464.88568710866736</v>
      </c>
      <c r="F1123" s="18">
        <v>-1326.87289867761</v>
      </c>
      <c r="G1123" s="19">
        <v>-0.32425763042223887</v>
      </c>
      <c r="I1123" s="14" t="s">
        <v>23</v>
      </c>
      <c r="J1123" s="41">
        <v>25</v>
      </c>
      <c r="K1123" s="95"/>
      <c r="L1123" s="40" t="s">
        <v>9</v>
      </c>
      <c r="M1123" s="97"/>
      <c r="N1123" s="99"/>
      <c r="O1123" s="97"/>
      <c r="Q1123" s="14" t="s">
        <v>75</v>
      </c>
      <c r="R1123" s="21">
        <f>IF(J1123=16,201,IF(J1123=20,314,IF(J1123=25,490,"Err")))</f>
        <v>490</v>
      </c>
      <c r="S1123" s="16" t="s">
        <v>25</v>
      </c>
    </row>
    <row r="1124" spans="1:19" x14ac:dyDescent="0.25">
      <c r="A1124" s="20" t="s">
        <v>39</v>
      </c>
      <c r="B1124" s="13"/>
      <c r="C1124" s="64">
        <v>532.8684797497358</v>
      </c>
      <c r="D1124" s="18">
        <v>-13.524303261500348</v>
      </c>
      <c r="E1124" s="18">
        <v>-604.65989907986989</v>
      </c>
      <c r="F1124" s="17">
        <v>-1350.2365310181717</v>
      </c>
      <c r="G1124" s="19">
        <v>11.553933642517094</v>
      </c>
      <c r="I1124" s="14" t="s">
        <v>40</v>
      </c>
      <c r="J1124" s="24">
        <f>MAX(rhoMin,(K1124*R1123/(B1117*B1120)))</f>
        <v>1.8092307692307692E-2</v>
      </c>
      <c r="K1124" s="15">
        <v>12</v>
      </c>
      <c r="L1124" s="39">
        <f>IF(M1124&lt;2,(B1117-(2*(J1117+clrCover))-(K1124*J1123))/(K1124-1),(B1117-(2*(J1117+clrCover))-(N1124*J1123))/((N1124)-1))</f>
        <v>30</v>
      </c>
      <c r="M1124" s="15">
        <v>2</v>
      </c>
      <c r="N1124" s="22">
        <f>IF(M1124&lt;2,K1124,CEILING(K1124/2,1))</f>
        <v>6</v>
      </c>
      <c r="O1124" s="22">
        <f>K1124-N1124</f>
        <v>6</v>
      </c>
      <c r="Q1124" s="37" t="s">
        <v>74</v>
      </c>
      <c r="R1124" s="38">
        <f>rhoMin*B1117*B1120</f>
        <v>1072.5</v>
      </c>
      <c r="S1124" s="22">
        <f>ROUNDUP(R1124/R1123,0)</f>
        <v>3</v>
      </c>
    </row>
    <row r="1125" spans="1:19" x14ac:dyDescent="0.25">
      <c r="A1125" s="12" t="s">
        <v>26</v>
      </c>
      <c r="B1125" s="49">
        <f>B1118-clrCover-J1117-(IF(M1127&gt;1,1.5*J1126,0.5*J1126))</f>
        <v>837.5</v>
      </c>
      <c r="C1125" s="64">
        <v>-488.54046839267579</v>
      </c>
      <c r="D1125" s="18">
        <v>10.874154980709699</v>
      </c>
      <c r="E1125" s="18">
        <v>24.849131073817116</v>
      </c>
      <c r="F1125" s="17">
        <v>592.22556578677631</v>
      </c>
      <c r="G1125" s="19">
        <v>-9.7852048286775108</v>
      </c>
      <c r="I1125" s="90" t="s">
        <v>69</v>
      </c>
      <c r="J1125" s="91"/>
      <c r="K1125" s="96" t="s">
        <v>35</v>
      </c>
      <c r="L1125" s="78" t="s">
        <v>36</v>
      </c>
      <c r="M1125" s="96" t="s">
        <v>37</v>
      </c>
      <c r="N1125" s="98" t="s">
        <v>38</v>
      </c>
      <c r="O1125" s="96" t="s">
        <v>72</v>
      </c>
      <c r="R1125" s="36"/>
    </row>
    <row r="1126" spans="1:19" x14ac:dyDescent="0.25">
      <c r="A1126" s="12" t="s">
        <v>27</v>
      </c>
      <c r="B1126" s="50">
        <f>K1127*R1126</f>
        <v>2450</v>
      </c>
      <c r="C1126" s="64">
        <v>3.5233645827415292</v>
      </c>
      <c r="D1126" s="18">
        <v>43.895006029547154</v>
      </c>
      <c r="E1126" s="18">
        <v>-38.68654322573618</v>
      </c>
      <c r="F1126" s="18">
        <v>295.10373716899295</v>
      </c>
      <c r="G1126" s="17">
        <v>-24.906952948044736</v>
      </c>
      <c r="I1126" s="14" t="s">
        <v>23</v>
      </c>
      <c r="J1126" s="41">
        <v>25</v>
      </c>
      <c r="K1126" s="97"/>
      <c r="L1126" s="40" t="s">
        <v>9</v>
      </c>
      <c r="M1126" s="97"/>
      <c r="N1126" s="99"/>
      <c r="O1126" s="97"/>
      <c r="Q1126" s="14" t="s">
        <v>75</v>
      </c>
      <c r="R1126" s="21">
        <f>IF(J1126=16,201,IF(J1126=20,314,IF(J1126=25,490,"Err")))</f>
        <v>490</v>
      </c>
      <c r="S1126" s="16" t="s">
        <v>25</v>
      </c>
    </row>
    <row r="1127" spans="1:19" x14ac:dyDescent="0.25">
      <c r="A1127" s="27" t="s">
        <v>28</v>
      </c>
      <c r="B1127" s="52">
        <f>phi*B1117*(B1125^2)*J1127*fy*(1-(0.588*J1127*fy/fc))/1000000</f>
        <v>714.11720499</v>
      </c>
      <c r="C1127" s="53">
        <v>40.804646774318428</v>
      </c>
      <c r="D1127" s="28">
        <v>-46.545154310337807</v>
      </c>
      <c r="E1127" s="28">
        <v>-541.12422478031658</v>
      </c>
      <c r="F1127" s="28">
        <v>-1053.1147024003883</v>
      </c>
      <c r="G1127" s="17">
        <v>26.675681761884324</v>
      </c>
      <c r="I1127" s="14" t="s">
        <v>40</v>
      </c>
      <c r="J1127" s="24">
        <f>MAX(rhoMin,(K1127*R1126/(B1117*B1125)))</f>
        <v>7.3134328358208959E-3</v>
      </c>
      <c r="K1127" s="15">
        <v>5</v>
      </c>
      <c r="L1127" s="21">
        <f>IF(M1127&lt;2,(B1117-(2*(J1117+clrCover))-(K1127*J1126))/(K1127-1),(B1117-(2*(J1117+clrCover))-(N1127*J1126))/((N1127)-1))</f>
        <v>43.75</v>
      </c>
      <c r="M1127" s="15">
        <v>1</v>
      </c>
      <c r="N1127" s="22">
        <f>IF(M1127&lt;2,K1127,CEILING(K1127/2,1))</f>
        <v>5</v>
      </c>
      <c r="O1127" s="22">
        <f>K1127-N1127</f>
        <v>0</v>
      </c>
      <c r="Q1127" s="37" t="s">
        <v>74</v>
      </c>
      <c r="R1127" s="38">
        <f>rhoMin*B1117*B1125</f>
        <v>1105.5</v>
      </c>
      <c r="S1127" s="22">
        <f>ROUNDUP(R1127/R1126,0)</f>
        <v>3</v>
      </c>
    </row>
    <row r="1128" spans="1:19" x14ac:dyDescent="0.25">
      <c r="A1128" s="65" t="s">
        <v>76</v>
      </c>
    </row>
    <row r="1129" spans="1:19" x14ac:dyDescent="0.25">
      <c r="A1129" s="69" t="s">
        <v>175</v>
      </c>
      <c r="B1129" s="11" t="s">
        <v>11</v>
      </c>
      <c r="C1129" s="10" t="s">
        <v>12</v>
      </c>
      <c r="D1129" s="10" t="s">
        <v>13</v>
      </c>
      <c r="E1129" s="10" t="s">
        <v>14</v>
      </c>
      <c r="F1129" s="10" t="s">
        <v>15</v>
      </c>
      <c r="G1129" s="11" t="s">
        <v>16</v>
      </c>
      <c r="H1129" s="6">
        <v>125</v>
      </c>
      <c r="I1129" s="90" t="s">
        <v>34</v>
      </c>
      <c r="J1129" s="91"/>
      <c r="K1129" s="71" t="s">
        <v>128</v>
      </c>
    </row>
    <row r="1130" spans="1:19" x14ac:dyDescent="0.25">
      <c r="A1130" s="12" t="s">
        <v>17</v>
      </c>
      <c r="B1130" s="48">
        <v>400</v>
      </c>
      <c r="C1130" s="44" t="s">
        <v>18</v>
      </c>
      <c r="D1130" s="44" t="s">
        <v>18</v>
      </c>
      <c r="E1130" s="44" t="s">
        <v>18</v>
      </c>
      <c r="F1130" s="44" t="s">
        <v>19</v>
      </c>
      <c r="G1130" s="45" t="s">
        <v>19</v>
      </c>
      <c r="H1130" s="6">
        <v>150</v>
      </c>
      <c r="I1130" s="14" t="s">
        <v>20</v>
      </c>
      <c r="J1130" s="15">
        <v>10</v>
      </c>
      <c r="K1130" s="16" t="s">
        <v>9</v>
      </c>
      <c r="L1130" s="22" t="s">
        <v>29</v>
      </c>
      <c r="M1130" s="22" t="s">
        <v>30</v>
      </c>
      <c r="N1130" s="22" t="s">
        <v>31</v>
      </c>
      <c r="O1130" s="22" t="s">
        <v>32</v>
      </c>
      <c r="P1130" s="3"/>
    </row>
    <row r="1131" spans="1:19" x14ac:dyDescent="0.25">
      <c r="A1131" s="12" t="s">
        <v>22</v>
      </c>
      <c r="B1131" s="48">
        <v>900</v>
      </c>
      <c r="C1131" s="17">
        <v>-505.17846031302412</v>
      </c>
      <c r="D1131" s="63">
        <v>32.185989723200272</v>
      </c>
      <c r="E1131" s="63">
        <v>0</v>
      </c>
      <c r="F1131" s="63">
        <v>88.355836892188847</v>
      </c>
      <c r="G1131" s="54">
        <v>0</v>
      </c>
      <c r="H1131" s="6">
        <v>175</v>
      </c>
      <c r="I1131" s="56"/>
      <c r="J1131" s="57"/>
      <c r="K1131" s="58"/>
      <c r="L1131" s="92" t="s">
        <v>1</v>
      </c>
      <c r="M1131" s="93"/>
      <c r="N1131" s="22" t="s">
        <v>35</v>
      </c>
      <c r="O1131" s="22" t="s">
        <v>9</v>
      </c>
    </row>
    <row r="1132" spans="1:19" x14ac:dyDescent="0.25">
      <c r="A1132" s="20" t="s">
        <v>24</v>
      </c>
      <c r="B1132" s="13"/>
      <c r="C1132" s="17">
        <v>490.40367002896562</v>
      </c>
      <c r="D1132" s="18">
        <v>0</v>
      </c>
      <c r="E1132" s="18">
        <v>303.76762234159338</v>
      </c>
      <c r="F1132" s="18">
        <v>0</v>
      </c>
      <c r="G1132" s="19">
        <v>20.741680596181855</v>
      </c>
      <c r="H1132" s="6">
        <v>200</v>
      </c>
      <c r="I1132" s="59" t="s">
        <v>70</v>
      </c>
      <c r="J1132" s="60"/>
      <c r="K1132" s="61"/>
      <c r="L1132" s="25">
        <f>MAX(ABS(E1135),ABS(E1136))*1000/(B1133*B1130)</f>
        <v>1.5204741028131252</v>
      </c>
      <c r="M1132" s="25">
        <f>L1132-phiVc</f>
        <v>0.85796466891802958</v>
      </c>
      <c r="N1132" s="26">
        <f>M1132*O1132*B1130/(phiV*fys*0.25*PI()*(J1130^2))</f>
        <v>2.1185833589373022</v>
      </c>
      <c r="O1132" s="15">
        <v>100</v>
      </c>
    </row>
    <row r="1133" spans="1:19" x14ac:dyDescent="0.25">
      <c r="A1133" s="12" t="s">
        <v>26</v>
      </c>
      <c r="B1133" s="49">
        <f>B1131-clrCover-J1130-(IF(M1137&gt;1,1.5*J1136,0.5*J1136))</f>
        <v>812.5</v>
      </c>
      <c r="C1133" s="64">
        <v>488.3272888177375</v>
      </c>
      <c r="D1133" s="17">
        <v>-28.646246926982094</v>
      </c>
      <c r="E1133" s="18">
        <v>207.20012026633557</v>
      </c>
      <c r="F1133" s="18">
        <v>-156.64580020312903</v>
      </c>
      <c r="G1133" s="19">
        <v>20.809700445295455</v>
      </c>
      <c r="H1133" s="6">
        <v>250</v>
      </c>
      <c r="I1133" s="59" t="s">
        <v>71</v>
      </c>
      <c r="J1133" s="60"/>
      <c r="K1133" s="61"/>
      <c r="L1133" s="25">
        <f>MAX(ABS(E1135),ABS(E1136))*1000/(B1138*B1130)</f>
        <v>1.4706966768281717</v>
      </c>
      <c r="M1133" s="25">
        <f>L1133-phiVc</f>
        <v>0.80818724293307609</v>
      </c>
      <c r="N1133" s="26">
        <f>M1133*O1133*B1130/(phiV*fys*0.25*PI()*(J1130^2))</f>
        <v>1.9956673110358809</v>
      </c>
      <c r="O1133" s="15">
        <v>100</v>
      </c>
    </row>
    <row r="1134" spans="1:19" x14ac:dyDescent="0.25">
      <c r="A1134" s="12" t="s">
        <v>27</v>
      </c>
      <c r="B1134" s="50">
        <f>K1137*R1136</f>
        <v>3920</v>
      </c>
      <c r="C1134" s="64">
        <v>-503.10207910179599</v>
      </c>
      <c r="D1134" s="17">
        <v>32.235986094922701</v>
      </c>
      <c r="E1134" s="18">
        <v>162.3898461117148</v>
      </c>
      <c r="F1134" s="18">
        <v>59.811195879636571</v>
      </c>
      <c r="G1134" s="19">
        <v>-23.017934734504692</v>
      </c>
      <c r="H1134" s="6">
        <v>300</v>
      </c>
    </row>
    <row r="1135" spans="1:19" x14ac:dyDescent="0.25">
      <c r="A1135" s="12" t="s">
        <v>28</v>
      </c>
      <c r="B1135" s="51">
        <f>-phi*B1130*(B1133^2)*J1137*fy*(1-(0.588*J1137*fy/fc))/1000000</f>
        <v>-1057.6777647744</v>
      </c>
      <c r="C1135" s="64">
        <v>22.464648247558102</v>
      </c>
      <c r="D1135" s="18">
        <v>0.78668599468206157</v>
      </c>
      <c r="E1135" s="17">
        <v>-456.27528871812297</v>
      </c>
      <c r="F1135" s="18">
        <v>-746.57436808007765</v>
      </c>
      <c r="G1135" s="19">
        <v>-0.35853373474811201</v>
      </c>
      <c r="I1135" s="90" t="s">
        <v>68</v>
      </c>
      <c r="J1135" s="91"/>
      <c r="K1135" s="94" t="s">
        <v>35</v>
      </c>
      <c r="L1135" s="78" t="s">
        <v>36</v>
      </c>
      <c r="M1135" s="96" t="s">
        <v>37</v>
      </c>
      <c r="N1135" s="98" t="s">
        <v>38</v>
      </c>
      <c r="O1135" s="96" t="s">
        <v>72</v>
      </c>
      <c r="Q1135" s="34" t="s">
        <v>73</v>
      </c>
    </row>
    <row r="1136" spans="1:19" x14ac:dyDescent="0.25">
      <c r="A1136" s="23" t="s">
        <v>33</v>
      </c>
      <c r="B1136" s="13"/>
      <c r="C1136" s="64">
        <v>-2.5851544402334894</v>
      </c>
      <c r="D1136" s="18">
        <v>2.2769670194572589</v>
      </c>
      <c r="E1136" s="17">
        <v>494.1540834142657</v>
      </c>
      <c r="F1136" s="18">
        <v>-864.17850522796607</v>
      </c>
      <c r="G1136" s="19">
        <v>1.5337664966232905</v>
      </c>
      <c r="I1136" s="14" t="s">
        <v>23</v>
      </c>
      <c r="J1136" s="41">
        <v>25</v>
      </c>
      <c r="K1136" s="95"/>
      <c r="L1136" s="40" t="s">
        <v>9</v>
      </c>
      <c r="M1136" s="97"/>
      <c r="N1136" s="99"/>
      <c r="O1136" s="97"/>
      <c r="Q1136" s="14" t="s">
        <v>75</v>
      </c>
      <c r="R1136" s="21">
        <f>IF(J1136=16,201,IF(J1136=20,314,IF(J1136=25,490,"Err")))</f>
        <v>490</v>
      </c>
      <c r="S1136" s="16" t="s">
        <v>25</v>
      </c>
    </row>
    <row r="1137" spans="1:19" x14ac:dyDescent="0.25">
      <c r="A1137" s="20" t="s">
        <v>39</v>
      </c>
      <c r="B1137" s="13"/>
      <c r="C1137" s="64">
        <v>-316.23033287944088</v>
      </c>
      <c r="D1137" s="18">
        <v>14.274575798646318</v>
      </c>
      <c r="E1137" s="18">
        <v>442.75722140148713</v>
      </c>
      <c r="F1137" s="17">
        <v>-1064.1611781899055</v>
      </c>
      <c r="G1137" s="19">
        <v>8.4263449296572865</v>
      </c>
      <c r="I1137" s="14" t="s">
        <v>40</v>
      </c>
      <c r="J1137" s="24">
        <f>MAX(rhoMin,(K1137*R1136/(B1130*B1133)))</f>
        <v>1.2061538461538462E-2</v>
      </c>
      <c r="K1137" s="15">
        <v>8</v>
      </c>
      <c r="L1137" s="39">
        <f>IF(M1137&lt;2,(B1130-(2*(J1130+clrCover))-(K1137*J1136))/(K1137-1),(B1130-(2*(J1130+clrCover))-(N1137*J1136))/((N1137)-1))</f>
        <v>66.666666666666671</v>
      </c>
      <c r="M1137" s="15">
        <v>2</v>
      </c>
      <c r="N1137" s="22">
        <f>IF(M1137&lt;2,K1137,CEILING(K1137/2,1))</f>
        <v>4</v>
      </c>
      <c r="O1137" s="22">
        <f>K1137-N1137</f>
        <v>4</v>
      </c>
      <c r="Q1137" s="37" t="s">
        <v>74</v>
      </c>
      <c r="R1137" s="38">
        <f>rhoMin*B1130*B1133</f>
        <v>1072.5</v>
      </c>
      <c r="S1137" s="22">
        <f>ROUNDUP(R1137/R1136,0)</f>
        <v>3</v>
      </c>
    </row>
    <row r="1138" spans="1:19" x14ac:dyDescent="0.25">
      <c r="A1138" s="12" t="s">
        <v>26</v>
      </c>
      <c r="B1138" s="49">
        <f>B1131-clrCover-J1130-(IF(M1140&gt;1,1.5*J1139,0.5*J1139))</f>
        <v>840</v>
      </c>
      <c r="C1138" s="64">
        <v>243.43339397261173</v>
      </c>
      <c r="D1138" s="18">
        <v>-1.7509387295931844</v>
      </c>
      <c r="E1138" s="18">
        <v>29.337540416484</v>
      </c>
      <c r="F1138" s="17">
        <v>284.56467956819654</v>
      </c>
      <c r="G1138" s="19">
        <v>-1.09671290253026</v>
      </c>
      <c r="I1138" s="90" t="s">
        <v>69</v>
      </c>
      <c r="J1138" s="91"/>
      <c r="K1138" s="96" t="s">
        <v>35</v>
      </c>
      <c r="L1138" s="78" t="s">
        <v>36</v>
      </c>
      <c r="M1138" s="96" t="s">
        <v>37</v>
      </c>
      <c r="N1138" s="98" t="s">
        <v>38</v>
      </c>
      <c r="O1138" s="96" t="s">
        <v>72</v>
      </c>
      <c r="R1138" s="36"/>
    </row>
    <row r="1139" spans="1:19" x14ac:dyDescent="0.25">
      <c r="A1139" s="12" t="s">
        <v>27</v>
      </c>
      <c r="B1139" s="50">
        <f>K1140*R1139</f>
        <v>1256</v>
      </c>
      <c r="C1139" s="64">
        <v>-503.10207910179599</v>
      </c>
      <c r="D1139" s="18">
        <v>32.235986094922701</v>
      </c>
      <c r="E1139" s="18">
        <v>162.3898461117148</v>
      </c>
      <c r="F1139" s="18">
        <v>59.811195879636571</v>
      </c>
      <c r="G1139" s="17">
        <v>-23.017934734504692</v>
      </c>
      <c r="I1139" s="14" t="s">
        <v>23</v>
      </c>
      <c r="J1139" s="41">
        <v>20</v>
      </c>
      <c r="K1139" s="97"/>
      <c r="L1139" s="40" t="s">
        <v>9</v>
      </c>
      <c r="M1139" s="97"/>
      <c r="N1139" s="99"/>
      <c r="O1139" s="97"/>
      <c r="Q1139" s="14" t="s">
        <v>75</v>
      </c>
      <c r="R1139" s="21">
        <f>IF(J1139=16,201,IF(J1139=20,314,IF(J1139=25,490,"Err")))</f>
        <v>314</v>
      </c>
      <c r="S1139" s="16" t="s">
        <v>25</v>
      </c>
    </row>
    <row r="1140" spans="1:19" x14ac:dyDescent="0.25">
      <c r="A1140" s="27" t="s">
        <v>28</v>
      </c>
      <c r="B1140" s="52">
        <f>phi*B1130*(B1138^2)*J1140*fy*(1-(0.588*J1140*fy/fc))/1000000</f>
        <v>379.85911934745599</v>
      </c>
      <c r="C1140" s="53">
        <v>488.3272888177375</v>
      </c>
      <c r="D1140" s="28">
        <v>-28.646246926982094</v>
      </c>
      <c r="E1140" s="28">
        <v>207.20012026633557</v>
      </c>
      <c r="F1140" s="28">
        <v>-156.64580020312903</v>
      </c>
      <c r="G1140" s="17">
        <v>20.809700445295455</v>
      </c>
      <c r="I1140" s="14" t="s">
        <v>40</v>
      </c>
      <c r="J1140" s="24">
        <f>MAX(rhoMin,(K1140*R1139/(B1130*B1138)))</f>
        <v>3.7380952380952383E-3</v>
      </c>
      <c r="K1140" s="15">
        <v>4</v>
      </c>
      <c r="L1140" s="21">
        <f>IF(M1140&lt;2,(B1130-(2*(J1130+clrCover))-(K1140*J1139))/(K1140-1),(B1130-(2*(J1130+clrCover))-(N1140*J1139))/((N1140)-1))</f>
        <v>73.333333333333329</v>
      </c>
      <c r="M1140" s="15">
        <v>1</v>
      </c>
      <c r="N1140" s="22">
        <f>IF(M1140&lt;2,K1140,CEILING(K1140/2,1))</f>
        <v>4</v>
      </c>
      <c r="O1140" s="22">
        <f>K1140-N1140</f>
        <v>0</v>
      </c>
      <c r="Q1140" s="37" t="s">
        <v>74</v>
      </c>
      <c r="R1140" s="38">
        <f>rhoMin*B1130*B1138</f>
        <v>1108.8</v>
      </c>
      <c r="S1140" s="22">
        <f>ROUNDUP(R1140/R1139,0)</f>
        <v>4</v>
      </c>
    </row>
    <row r="1141" spans="1:19" x14ac:dyDescent="0.25">
      <c r="A1141" s="65" t="s">
        <v>76</v>
      </c>
      <c r="B1141" s="81"/>
      <c r="C1141" s="18"/>
      <c r="D1141" s="18"/>
      <c r="E1141" s="18"/>
      <c r="F1141" s="18"/>
      <c r="G1141" s="82"/>
      <c r="I1141" s="80"/>
      <c r="J1141" s="83"/>
      <c r="K1141" s="84"/>
      <c r="L1141" s="85"/>
      <c r="M1141" s="84"/>
      <c r="N1141" s="86"/>
      <c r="O1141" s="86"/>
      <c r="Q1141" s="87"/>
      <c r="R1141" s="88"/>
      <c r="S1141" s="86"/>
    </row>
    <row r="1142" spans="1:19" x14ac:dyDescent="0.25">
      <c r="A1142" s="69" t="s">
        <v>179</v>
      </c>
      <c r="B1142" s="11" t="s">
        <v>11</v>
      </c>
      <c r="C1142" s="10" t="s">
        <v>12</v>
      </c>
      <c r="D1142" s="10" t="s">
        <v>13</v>
      </c>
      <c r="E1142" s="10" t="s">
        <v>14</v>
      </c>
      <c r="F1142" s="10" t="s">
        <v>15</v>
      </c>
      <c r="G1142" s="11" t="s">
        <v>16</v>
      </c>
      <c r="H1142" s="6">
        <v>125</v>
      </c>
      <c r="I1142" s="90" t="s">
        <v>34</v>
      </c>
      <c r="J1142" s="91"/>
      <c r="K1142" s="71" t="s">
        <v>128</v>
      </c>
    </row>
    <row r="1143" spans="1:19" x14ac:dyDescent="0.25">
      <c r="A1143" s="12" t="s">
        <v>17</v>
      </c>
      <c r="B1143" s="48">
        <v>400</v>
      </c>
      <c r="C1143" s="44" t="s">
        <v>18</v>
      </c>
      <c r="D1143" s="44" t="s">
        <v>18</v>
      </c>
      <c r="E1143" s="44" t="s">
        <v>18</v>
      </c>
      <c r="F1143" s="44" t="s">
        <v>19</v>
      </c>
      <c r="G1143" s="45" t="s">
        <v>19</v>
      </c>
      <c r="H1143" s="6">
        <v>150</v>
      </c>
      <c r="I1143" s="14" t="s">
        <v>20</v>
      </c>
      <c r="J1143" s="15">
        <v>10</v>
      </c>
      <c r="K1143" s="16" t="s">
        <v>9</v>
      </c>
      <c r="L1143" s="22" t="s">
        <v>29</v>
      </c>
      <c r="M1143" s="22" t="s">
        <v>30</v>
      </c>
      <c r="N1143" s="22" t="s">
        <v>31</v>
      </c>
      <c r="O1143" s="22" t="s">
        <v>32</v>
      </c>
      <c r="P1143" s="3"/>
    </row>
    <row r="1144" spans="1:19" x14ac:dyDescent="0.25">
      <c r="A1144" s="12" t="s">
        <v>22</v>
      </c>
      <c r="B1144" s="48">
        <v>700</v>
      </c>
      <c r="C1144" s="17">
        <v>-46.253658276387867</v>
      </c>
      <c r="D1144" s="63">
        <v>-3.2148459162631329</v>
      </c>
      <c r="E1144" s="63">
        <v>0</v>
      </c>
      <c r="F1144" s="63">
        <v>5.1083440779309433</v>
      </c>
      <c r="G1144" s="54">
        <v>0</v>
      </c>
      <c r="H1144" s="6">
        <v>175</v>
      </c>
      <c r="I1144" s="56"/>
      <c r="J1144" s="57"/>
      <c r="K1144" s="58"/>
      <c r="L1144" s="92" t="s">
        <v>1</v>
      </c>
      <c r="M1144" s="93"/>
      <c r="N1144" s="22" t="s">
        <v>35</v>
      </c>
      <c r="O1144" s="22" t="s">
        <v>9</v>
      </c>
    </row>
    <row r="1145" spans="1:19" x14ac:dyDescent="0.25">
      <c r="A1145" s="20" t="s">
        <v>24</v>
      </c>
      <c r="B1145" s="13"/>
      <c r="C1145" s="17">
        <v>42.73653277019438</v>
      </c>
      <c r="D1145" s="18">
        <v>0</v>
      </c>
      <c r="E1145" s="18">
        <v>40.713972752517897</v>
      </c>
      <c r="F1145" s="18">
        <v>0</v>
      </c>
      <c r="G1145" s="19">
        <v>-3.433591811669213</v>
      </c>
      <c r="H1145" s="6">
        <v>200</v>
      </c>
      <c r="I1145" s="59" t="s">
        <v>70</v>
      </c>
      <c r="J1145" s="60"/>
      <c r="K1145" s="61"/>
      <c r="L1145" s="25">
        <f>MAX(ABS(E1148),ABS(E1149))*1000/(B1146*B1143)</f>
        <v>1.542407584985392</v>
      </c>
      <c r="M1145" s="25">
        <f>L1145-phiVc</f>
        <v>0.87989815109029634</v>
      </c>
      <c r="N1145" s="26">
        <f>M1145*O1145*B1143/(phiV*fys*0.25*PI()*(J1143^2))</f>
        <v>2.1727439928388272</v>
      </c>
      <c r="O1145" s="15">
        <v>100</v>
      </c>
    </row>
    <row r="1146" spans="1:19" x14ac:dyDescent="0.25">
      <c r="A1146" s="12" t="s">
        <v>26</v>
      </c>
      <c r="B1146" s="49">
        <f>B1144-clrCover-J1143-(IF(M1150&gt;1,1.5*J1149,0.5*J1149))</f>
        <v>612.5</v>
      </c>
      <c r="C1146" s="64">
        <v>-10.128134595942928</v>
      </c>
      <c r="D1146" s="17">
        <v>-27.193592060852009</v>
      </c>
      <c r="E1146" s="18">
        <v>269.37928216836031</v>
      </c>
      <c r="F1146" s="18">
        <v>-233.76981499162221</v>
      </c>
      <c r="G1146" s="19">
        <v>12.096620186949568</v>
      </c>
      <c r="H1146" s="6">
        <v>250</v>
      </c>
      <c r="I1146" s="59" t="s">
        <v>71</v>
      </c>
      <c r="J1146" s="60"/>
      <c r="K1146" s="61"/>
      <c r="L1146" s="25">
        <f>MAX(ABS(E1148),ABS(E1149))*1000/(B1151*B1143)</f>
        <v>1.4761322590680508</v>
      </c>
      <c r="M1146" s="25">
        <f>L1146-phiVc</f>
        <v>0.81362282517295514</v>
      </c>
      <c r="N1146" s="26">
        <f>M1146*O1146*B1143/(phiV*fys*0.25*PI()*(J1143^2))</f>
        <v>2.0090894652302551</v>
      </c>
      <c r="O1146" s="15">
        <v>100</v>
      </c>
    </row>
    <row r="1147" spans="1:19" x14ac:dyDescent="0.25">
      <c r="A1147" s="12" t="s">
        <v>27</v>
      </c>
      <c r="B1147" s="50">
        <f>K1150*R1149</f>
        <v>3920</v>
      </c>
      <c r="C1147" s="64">
        <v>1.6840053006525031</v>
      </c>
      <c r="D1147" s="17">
        <v>24.875778215166903</v>
      </c>
      <c r="E1147" s="18">
        <v>94.080167430141003</v>
      </c>
      <c r="F1147" s="18">
        <v>-106.33371954701077</v>
      </c>
      <c r="G1147" s="19">
        <v>-10.938757677446015</v>
      </c>
      <c r="H1147" s="6">
        <v>300</v>
      </c>
    </row>
    <row r="1148" spans="1:19" x14ac:dyDescent="0.25">
      <c r="A1148" s="12" t="s">
        <v>28</v>
      </c>
      <c r="B1148" s="51">
        <f>-phi*B1143*(B1146^2)*J1150*fy*(1-(0.588*J1150*fy/fc))/1000000</f>
        <v>-765.55936477440002</v>
      </c>
      <c r="C1148" s="64">
        <v>8.6207466867402899E-3</v>
      </c>
      <c r="D1148" s="18">
        <v>1.2155564869036965E-2</v>
      </c>
      <c r="E1148" s="17">
        <v>30.684401283510809</v>
      </c>
      <c r="F1148" s="18">
        <v>2.0147504657969248</v>
      </c>
      <c r="G1148" s="19">
        <v>-3.5359565345986735E-2</v>
      </c>
      <c r="I1148" s="90" t="s">
        <v>68</v>
      </c>
      <c r="J1148" s="91"/>
      <c r="K1148" s="94" t="s">
        <v>35</v>
      </c>
      <c r="L1148" s="79" t="s">
        <v>36</v>
      </c>
      <c r="M1148" s="96" t="s">
        <v>37</v>
      </c>
      <c r="N1148" s="98" t="s">
        <v>38</v>
      </c>
      <c r="O1148" s="96" t="s">
        <v>72</v>
      </c>
      <c r="Q1148" s="34" t="s">
        <v>73</v>
      </c>
    </row>
    <row r="1149" spans="1:19" x14ac:dyDescent="0.25">
      <c r="A1149" s="23" t="s">
        <v>33</v>
      </c>
      <c r="B1149" s="13"/>
      <c r="C1149" s="64">
        <v>-8.0402811676730988</v>
      </c>
      <c r="D1149" s="18">
        <v>-2.2988705230525412</v>
      </c>
      <c r="E1149" s="17">
        <v>377.889858321421</v>
      </c>
      <c r="F1149" s="18">
        <v>-701.17819053370783</v>
      </c>
      <c r="G1149" s="19">
        <v>-1.1546749299046455</v>
      </c>
      <c r="I1149" s="14" t="s">
        <v>23</v>
      </c>
      <c r="J1149" s="41">
        <v>25</v>
      </c>
      <c r="K1149" s="95"/>
      <c r="L1149" s="40" t="s">
        <v>9</v>
      </c>
      <c r="M1149" s="97"/>
      <c r="N1149" s="99"/>
      <c r="O1149" s="97"/>
      <c r="Q1149" s="14" t="s">
        <v>75</v>
      </c>
      <c r="R1149" s="21">
        <f>IF(J1149=16,201,IF(J1149=20,314,IF(J1149=25,490,"Err")))</f>
        <v>490</v>
      </c>
      <c r="S1149" s="16" t="s">
        <v>25</v>
      </c>
    </row>
    <row r="1150" spans="1:19" x14ac:dyDescent="0.25">
      <c r="A1150" s="20" t="s">
        <v>39</v>
      </c>
      <c r="B1150" s="13"/>
      <c r="C1150" s="64">
        <v>-8.0402811676730988</v>
      </c>
      <c r="D1150" s="18">
        <v>-2.2988705230525412</v>
      </c>
      <c r="E1150" s="18">
        <v>377.889858321421</v>
      </c>
      <c r="F1150" s="17">
        <v>-701.17819053370783</v>
      </c>
      <c r="G1150" s="19">
        <v>-1.1546749299046455</v>
      </c>
      <c r="I1150" s="14" t="s">
        <v>40</v>
      </c>
      <c r="J1150" s="24">
        <f>MAX(rhoMin,(K1150*R1149/(B1143*B1146)))</f>
        <v>1.6E-2</v>
      </c>
      <c r="K1150" s="15">
        <v>8</v>
      </c>
      <c r="L1150" s="39">
        <f>IF(M1150&lt;2,(B1143-(2*(J1143+clrCover))-(K1150*J1149))/(K1150-1),(B1143-(2*(J1143+clrCover))-(N1150*J1149))/((N1150)-1))</f>
        <v>66.666666666666671</v>
      </c>
      <c r="M1150" s="15">
        <v>2</v>
      </c>
      <c r="N1150" s="22">
        <f>IF(M1150&lt;2,K1150,CEILING(K1150/2,1))</f>
        <v>4</v>
      </c>
      <c r="O1150" s="22">
        <f>K1150-N1150</f>
        <v>4</v>
      </c>
      <c r="Q1150" s="37" t="s">
        <v>74</v>
      </c>
      <c r="R1150" s="38">
        <f>rhoMin*B1143*B1146</f>
        <v>808.5</v>
      </c>
      <c r="S1150" s="22">
        <f>ROUNDUP(R1150/R1149,0)</f>
        <v>2</v>
      </c>
    </row>
    <row r="1151" spans="1:19" x14ac:dyDescent="0.25">
      <c r="A1151" s="12" t="s">
        <v>26</v>
      </c>
      <c r="B1151" s="49">
        <f>B1144-clrCover-J1143-(IF(M1153&gt;1,1.5*J1152,0.5*J1152))</f>
        <v>640</v>
      </c>
      <c r="C1151" s="64">
        <v>-3.4713507652574336</v>
      </c>
      <c r="D1151" s="18">
        <v>-0.56387964492257692</v>
      </c>
      <c r="E1151" s="18">
        <v>123.31610357510343</v>
      </c>
      <c r="F1151" s="17">
        <v>7.8030742223993048</v>
      </c>
      <c r="G1151" s="19">
        <v>0.57321929638517211</v>
      </c>
      <c r="I1151" s="90" t="s">
        <v>69</v>
      </c>
      <c r="J1151" s="91"/>
      <c r="K1151" s="96" t="s">
        <v>35</v>
      </c>
      <c r="L1151" s="79" t="s">
        <v>36</v>
      </c>
      <c r="M1151" s="96">
        <v>2</v>
      </c>
      <c r="N1151" s="98" t="s">
        <v>38</v>
      </c>
      <c r="O1151" s="96" t="s">
        <v>72</v>
      </c>
      <c r="R1151" s="36"/>
    </row>
    <row r="1152" spans="1:19" x14ac:dyDescent="0.25">
      <c r="A1152" s="12" t="s">
        <v>27</v>
      </c>
      <c r="B1152" s="50">
        <f>K1153*R1152</f>
        <v>942</v>
      </c>
      <c r="C1152" s="64">
        <v>-10.128134595942928</v>
      </c>
      <c r="D1152" s="18">
        <v>-27.193592060852009</v>
      </c>
      <c r="E1152" s="18">
        <v>277.31145975997202</v>
      </c>
      <c r="F1152" s="18">
        <v>-507.11518595578838</v>
      </c>
      <c r="G1152" s="17">
        <v>-15.09697187390244</v>
      </c>
      <c r="I1152" s="14" t="s">
        <v>23</v>
      </c>
      <c r="J1152" s="41">
        <v>20</v>
      </c>
      <c r="K1152" s="97"/>
      <c r="L1152" s="40" t="s">
        <v>9</v>
      </c>
      <c r="M1152" s="97"/>
      <c r="N1152" s="99"/>
      <c r="O1152" s="97"/>
      <c r="Q1152" s="14" t="s">
        <v>75</v>
      </c>
      <c r="R1152" s="21">
        <f>IF(J1152=16,201,IF(J1152=20,314,IF(J1152=25,490,"Err")))</f>
        <v>314</v>
      </c>
      <c r="S1152" s="16" t="s">
        <v>25</v>
      </c>
    </row>
    <row r="1153" spans="1:19" x14ac:dyDescent="0.25">
      <c r="A1153" s="27" t="s">
        <v>28</v>
      </c>
      <c r="B1153" s="52">
        <f>phi*B1143*(B1151^2)*J1153*fy*(1-(0.588*J1153*fy/fc))/1000000</f>
        <v>217.18064663294399</v>
      </c>
      <c r="C1153" s="53">
        <v>1.6840053006525031</v>
      </c>
      <c r="D1153" s="28">
        <v>24.875778215166903</v>
      </c>
      <c r="E1153" s="28">
        <v>100.02930062384974</v>
      </c>
      <c r="F1153" s="28">
        <v>-203.38845357400615</v>
      </c>
      <c r="G1153" s="17">
        <v>13.937020537720887</v>
      </c>
      <c r="I1153" s="14" t="s">
        <v>40</v>
      </c>
      <c r="J1153" s="24">
        <f>MAX(rhoMin,(K1153*R1152/(B1143*B1151)))</f>
        <v>3.6796874999999998E-3</v>
      </c>
      <c r="K1153" s="15">
        <v>3</v>
      </c>
      <c r="L1153" s="21">
        <f>IF(M1153&lt;2,(B1143-(2*(J1143+clrCover))-(K1153*J1152))/(K1153-1),(B1143-(2*(J1143+clrCover))-(N1153*J1152))/((N1153)-1))</f>
        <v>120</v>
      </c>
      <c r="M1153" s="15">
        <v>1</v>
      </c>
      <c r="N1153" s="22">
        <f>IF(M1153&lt;2,K1153,CEILING(K1153/2,1))</f>
        <v>3</v>
      </c>
      <c r="O1153" s="22">
        <f>K1153-N1153</f>
        <v>0</v>
      </c>
      <c r="Q1153" s="37" t="s">
        <v>74</v>
      </c>
      <c r="R1153" s="38">
        <f>rhoMin*B1143*B1151</f>
        <v>844.80000000000007</v>
      </c>
      <c r="S1153" s="22">
        <f>ROUNDUP(R1153/R1152,0)</f>
        <v>3</v>
      </c>
    </row>
    <row r="1154" spans="1:19" x14ac:dyDescent="0.25">
      <c r="A1154" s="65" t="s">
        <v>76</v>
      </c>
    </row>
    <row r="1155" spans="1:19" x14ac:dyDescent="0.25">
      <c r="A1155" s="69" t="s">
        <v>176</v>
      </c>
      <c r="B1155" s="11" t="s">
        <v>11</v>
      </c>
      <c r="C1155" s="10" t="s">
        <v>12</v>
      </c>
      <c r="D1155" s="10" t="s">
        <v>13</v>
      </c>
      <c r="E1155" s="10" t="s">
        <v>14</v>
      </c>
      <c r="F1155" s="10" t="s">
        <v>15</v>
      </c>
      <c r="G1155" s="11" t="s">
        <v>16</v>
      </c>
      <c r="H1155" s="6">
        <v>125</v>
      </c>
      <c r="I1155" s="90" t="s">
        <v>34</v>
      </c>
      <c r="J1155" s="91"/>
      <c r="K1155" s="71"/>
    </row>
    <row r="1156" spans="1:19" x14ac:dyDescent="0.25">
      <c r="A1156" s="12" t="s">
        <v>17</v>
      </c>
      <c r="B1156" s="48">
        <v>250</v>
      </c>
      <c r="C1156" s="44" t="s">
        <v>18</v>
      </c>
      <c r="D1156" s="44" t="s">
        <v>18</v>
      </c>
      <c r="E1156" s="44" t="s">
        <v>18</v>
      </c>
      <c r="F1156" s="44" t="s">
        <v>19</v>
      </c>
      <c r="G1156" s="45" t="s">
        <v>19</v>
      </c>
      <c r="H1156" s="6">
        <v>150</v>
      </c>
      <c r="I1156" s="14" t="s">
        <v>20</v>
      </c>
      <c r="J1156" s="15">
        <v>10</v>
      </c>
      <c r="K1156" s="16" t="s">
        <v>9</v>
      </c>
      <c r="L1156" s="22" t="s">
        <v>29</v>
      </c>
      <c r="M1156" s="22" t="s">
        <v>30</v>
      </c>
      <c r="N1156" s="22" t="s">
        <v>31</v>
      </c>
      <c r="O1156" s="22" t="s">
        <v>32</v>
      </c>
      <c r="P1156" s="3"/>
    </row>
    <row r="1157" spans="1:19" x14ac:dyDescent="0.25">
      <c r="A1157" s="12" t="s">
        <v>22</v>
      </c>
      <c r="B1157" s="48">
        <v>400</v>
      </c>
      <c r="C1157" s="17">
        <v>-780.64901161203625</v>
      </c>
      <c r="D1157" s="63">
        <v>-28.285899205641222</v>
      </c>
      <c r="E1157" s="63">
        <v>0</v>
      </c>
      <c r="F1157" s="63">
        <v>7.5585593511482214</v>
      </c>
      <c r="G1157" s="54">
        <v>0</v>
      </c>
      <c r="H1157" s="6">
        <v>175</v>
      </c>
      <c r="I1157" s="56"/>
      <c r="J1157" s="57"/>
      <c r="K1157" s="58"/>
      <c r="L1157" s="92" t="s">
        <v>1</v>
      </c>
      <c r="M1157" s="93"/>
      <c r="N1157" s="22" t="s">
        <v>35</v>
      </c>
      <c r="O1157" s="22" t="s">
        <v>9</v>
      </c>
    </row>
    <row r="1158" spans="1:19" x14ac:dyDescent="0.25">
      <c r="A1158" s="20" t="s">
        <v>24</v>
      </c>
      <c r="B1158" s="13"/>
      <c r="C1158" s="17">
        <v>840.79978216045663</v>
      </c>
      <c r="D1158" s="18">
        <v>0</v>
      </c>
      <c r="E1158" s="18">
        <v>-12.670164065665077</v>
      </c>
      <c r="F1158" s="18">
        <v>0</v>
      </c>
      <c r="G1158" s="19">
        <v>-22.591363301061037</v>
      </c>
      <c r="H1158" s="6">
        <v>200</v>
      </c>
      <c r="I1158" s="59" t="s">
        <v>70</v>
      </c>
      <c r="J1158" s="60"/>
      <c r="K1158" s="61"/>
      <c r="L1158" s="25">
        <f>MAX(ABS(E1161),ABS(E1162))*1000/(B1159*B1156)</f>
        <v>1.3698857161977953</v>
      </c>
      <c r="M1158" s="25">
        <f>L1158-phiVc</f>
        <v>0.70737628230269967</v>
      </c>
      <c r="N1158" s="26">
        <f>M1158*O1158*B1156/(phiV*fys*0.25*PI()*(J1156^2))</f>
        <v>1.0917084310733833</v>
      </c>
      <c r="O1158" s="15">
        <v>100</v>
      </c>
    </row>
    <row r="1159" spans="1:19" x14ac:dyDescent="0.25">
      <c r="A1159" s="12" t="s">
        <v>26</v>
      </c>
      <c r="B1159" s="49">
        <f>B1157-clrCover-J1156-(IF(M1163&gt;1,1.5*J1162,0.5*J1162))</f>
        <v>326</v>
      </c>
      <c r="C1159" s="64">
        <v>-780.64901161203625</v>
      </c>
      <c r="D1159" s="17">
        <v>-28.285899205641222</v>
      </c>
      <c r="E1159" s="18">
        <v>-8.8372734780524187</v>
      </c>
      <c r="F1159" s="18">
        <v>7.5585593511482214</v>
      </c>
      <c r="G1159" s="19">
        <v>20.845221822532498</v>
      </c>
      <c r="H1159" s="6">
        <v>250</v>
      </c>
      <c r="I1159" s="59" t="s">
        <v>71</v>
      </c>
      <c r="J1159" s="60"/>
      <c r="K1159" s="61"/>
      <c r="L1159" s="25">
        <f>MAX(ABS(E1161),ABS(E1162))*1000/(B1164*B1156)</f>
        <v>1.3057974955569627</v>
      </c>
      <c r="M1159" s="25">
        <f>L1159-phiVc</f>
        <v>0.64328806166186703</v>
      </c>
      <c r="N1159" s="26">
        <f>M1159*O1159*B1156/(phiV*fys*0.25*PI()*(J1156^2))</f>
        <v>0.99279975607747983</v>
      </c>
      <c r="O1159" s="15">
        <v>100</v>
      </c>
    </row>
    <row r="1160" spans="1:19" x14ac:dyDescent="0.25">
      <c r="A1160" s="12" t="s">
        <v>27</v>
      </c>
      <c r="B1160" s="50">
        <f>K1163*R1162</f>
        <v>1005</v>
      </c>
      <c r="C1160" s="64">
        <v>840.79978216045663</v>
      </c>
      <c r="D1160" s="17">
        <v>30.686948147950947</v>
      </c>
      <c r="E1160" s="18">
        <v>-12.670164065665077</v>
      </c>
      <c r="F1160" s="18">
        <v>18.13164544441079</v>
      </c>
      <c r="G1160" s="19">
        <v>-22.591363301061037</v>
      </c>
      <c r="H1160" s="6">
        <v>300</v>
      </c>
    </row>
    <row r="1161" spans="1:19" x14ac:dyDescent="0.25">
      <c r="A1161" s="12" t="s">
        <v>28</v>
      </c>
      <c r="B1161" s="51">
        <f>-phi*B1156*(B1159^2)*J1163*fy*(1-(0.588*J1163*fy/fc))/1000000</f>
        <v>-108.50278119984002</v>
      </c>
      <c r="C1161" s="64">
        <v>7.5334401076252095E-4</v>
      </c>
      <c r="D1161" s="18">
        <v>3.1625115167731278E-5</v>
      </c>
      <c r="E1161" s="17">
        <v>-111.64568587012032</v>
      </c>
      <c r="F1161" s="18">
        <v>-104.24714107605702</v>
      </c>
      <c r="G1161" s="19">
        <v>-1.7798870332216979E-5</v>
      </c>
      <c r="I1161" s="90" t="s">
        <v>68</v>
      </c>
      <c r="J1161" s="91"/>
      <c r="K1161" s="94" t="s">
        <v>35</v>
      </c>
      <c r="L1161" s="79" t="s">
        <v>36</v>
      </c>
      <c r="M1161" s="96" t="s">
        <v>37</v>
      </c>
      <c r="N1161" s="98" t="s">
        <v>38</v>
      </c>
      <c r="O1161" s="96" t="s">
        <v>72</v>
      </c>
      <c r="Q1161" s="34" t="s">
        <v>73</v>
      </c>
    </row>
    <row r="1162" spans="1:19" x14ac:dyDescent="0.25">
      <c r="A1162" s="23" t="s">
        <v>33</v>
      </c>
      <c r="B1162" s="13"/>
      <c r="C1162" s="64">
        <v>-30.654165706229378</v>
      </c>
      <c r="D1162" s="18">
        <v>0.30043288608670737</v>
      </c>
      <c r="E1162" s="17">
        <v>58.285505945244445</v>
      </c>
      <c r="F1162" s="18">
        <v>-43.679163491059093</v>
      </c>
      <c r="G1162" s="19">
        <v>0.29316336809858867</v>
      </c>
      <c r="I1162" s="14" t="s">
        <v>23</v>
      </c>
      <c r="J1162" s="41">
        <v>16</v>
      </c>
      <c r="K1162" s="95"/>
      <c r="L1162" s="40" t="s">
        <v>9</v>
      </c>
      <c r="M1162" s="97"/>
      <c r="N1162" s="99"/>
      <c r="O1162" s="97"/>
      <c r="Q1162" s="14" t="s">
        <v>75</v>
      </c>
      <c r="R1162" s="21">
        <f>IF(J1162=16,201,IF(J1162=20,314,IF(J1162=25,490,"Err")))</f>
        <v>201</v>
      </c>
      <c r="S1162" s="16" t="s">
        <v>25</v>
      </c>
    </row>
    <row r="1163" spans="1:19" x14ac:dyDescent="0.25">
      <c r="A1163" s="20" t="s">
        <v>39</v>
      </c>
      <c r="B1163" s="13"/>
      <c r="C1163" s="64">
        <v>7.5334401076252095E-4</v>
      </c>
      <c r="D1163" s="18">
        <v>3.1625115167731278E-5</v>
      </c>
      <c r="E1163" s="18">
        <v>-111.64568587012032</v>
      </c>
      <c r="F1163" s="17">
        <v>-104.24714107605702</v>
      </c>
      <c r="G1163" s="19">
        <v>-1.7798870332216979E-5</v>
      </c>
      <c r="I1163" s="14" t="s">
        <v>40</v>
      </c>
      <c r="J1163" s="24">
        <f>MAX(rhoMin,(K1163*R1162/(B1156*B1159)))</f>
        <v>1.2331288343558282E-2</v>
      </c>
      <c r="K1163" s="15">
        <v>5</v>
      </c>
      <c r="L1163" s="39">
        <f>IF(M1163&lt;2,(B1156-(2*(J1156+clrCover))-(K1163*J1162))/(K1163-1),(B1156-(2*(J1156+clrCover))-(N1163*J1162))/((N1163)-1))</f>
        <v>51</v>
      </c>
      <c r="M1163" s="15">
        <v>2</v>
      </c>
      <c r="N1163" s="22">
        <f>IF(M1163&lt;2,K1163,CEILING(K1163/2,1))</f>
        <v>3</v>
      </c>
      <c r="O1163" s="22">
        <f>K1163-N1163</f>
        <v>2</v>
      </c>
      <c r="Q1163" s="37" t="s">
        <v>74</v>
      </c>
      <c r="R1163" s="38">
        <f>rhoMin*B1156*B1159</f>
        <v>268.95</v>
      </c>
      <c r="S1163" s="22">
        <f>ROUNDUP(R1163/R1162,0)</f>
        <v>2</v>
      </c>
    </row>
    <row r="1164" spans="1:19" x14ac:dyDescent="0.25">
      <c r="A1164" s="12" t="s">
        <v>26</v>
      </c>
      <c r="B1164" s="49">
        <f>B1157-clrCover-J1156-(IF(M1166&gt;1,1.5*J1165,0.5*J1165))</f>
        <v>342</v>
      </c>
      <c r="C1164" s="64">
        <v>60.95366528090733</v>
      </c>
      <c r="D1164" s="18">
        <v>2.4479878047377652</v>
      </c>
      <c r="E1164" s="18">
        <v>-5.8506741446569528</v>
      </c>
      <c r="F1164" s="17">
        <v>32.697074017826026</v>
      </c>
      <c r="G1164" s="19">
        <v>-0.14617412778458239</v>
      </c>
      <c r="I1164" s="90" t="s">
        <v>69</v>
      </c>
      <c r="J1164" s="91"/>
      <c r="K1164" s="96" t="s">
        <v>35</v>
      </c>
      <c r="L1164" s="79" t="s">
        <v>36</v>
      </c>
      <c r="M1164" s="96" t="s">
        <v>37</v>
      </c>
      <c r="N1164" s="98" t="s">
        <v>38</v>
      </c>
      <c r="O1164" s="96" t="s">
        <v>72</v>
      </c>
      <c r="R1164" s="36"/>
    </row>
    <row r="1165" spans="1:19" x14ac:dyDescent="0.25">
      <c r="A1165" s="12" t="s">
        <v>27</v>
      </c>
      <c r="B1165" s="50">
        <f>K1166*R1165</f>
        <v>402</v>
      </c>
      <c r="C1165" s="64">
        <v>840.79978216045663</v>
      </c>
      <c r="D1165" s="18">
        <v>30.686948147950947</v>
      </c>
      <c r="E1165" s="18">
        <v>-12.670164065665077</v>
      </c>
      <c r="F1165" s="18">
        <v>18.13164544441079</v>
      </c>
      <c r="G1165" s="17">
        <v>-22.591363301061037</v>
      </c>
      <c r="I1165" s="14" t="s">
        <v>23</v>
      </c>
      <c r="J1165" s="41">
        <v>16</v>
      </c>
      <c r="K1165" s="97"/>
      <c r="L1165" s="40" t="s">
        <v>9</v>
      </c>
      <c r="M1165" s="97"/>
      <c r="N1165" s="99"/>
      <c r="O1165" s="97"/>
      <c r="Q1165" s="14" t="s">
        <v>75</v>
      </c>
      <c r="R1165" s="21">
        <f>IF(J1165=16,201,IF(J1165=20,314,IF(J1165=25,490,"Err")))</f>
        <v>201</v>
      </c>
      <c r="S1165" s="16" t="s">
        <v>25</v>
      </c>
    </row>
    <row r="1166" spans="1:19" x14ac:dyDescent="0.25">
      <c r="A1166" s="27" t="s">
        <v>28</v>
      </c>
      <c r="B1166" s="52">
        <f>phi*B1156*(B1164^2)*J1166*fy*(1-(0.588*J1166*fy/fc))/1000000</f>
        <v>49.054993311974407</v>
      </c>
      <c r="C1166" s="53">
        <v>-780.64901161203625</v>
      </c>
      <c r="D1166" s="28">
        <v>-28.285899205641222</v>
      </c>
      <c r="E1166" s="28">
        <v>-8.8372734780524187</v>
      </c>
      <c r="F1166" s="28">
        <v>7.5585593511482214</v>
      </c>
      <c r="G1166" s="17">
        <v>20.845221822532498</v>
      </c>
      <c r="I1166" s="14" t="s">
        <v>40</v>
      </c>
      <c r="J1166" s="24">
        <f>MAX(rhoMin,(K1166*R1165/(B1156*B1164)))</f>
        <v>4.7017543859649126E-3</v>
      </c>
      <c r="K1166" s="15">
        <v>2</v>
      </c>
      <c r="L1166" s="21">
        <f>IF(M1166&lt;2,(B1156-(2*(J1156+clrCover))-(K1166*J1165))/(K1166-1),(B1156-(2*(J1156+clrCover))-(N1166*J1165))/((N1166)-1))</f>
        <v>118</v>
      </c>
      <c r="M1166" s="15">
        <v>1</v>
      </c>
      <c r="N1166" s="22">
        <f>IF(M1166&lt;2,K1166,CEILING(K1166/2,1))</f>
        <v>2</v>
      </c>
      <c r="O1166" s="22">
        <f>K1166-N1166</f>
        <v>0</v>
      </c>
      <c r="Q1166" s="37" t="s">
        <v>74</v>
      </c>
      <c r="R1166" s="38">
        <f>rhoMin*B1156*B1164</f>
        <v>282.14999999999998</v>
      </c>
      <c r="S1166" s="22">
        <f>ROUNDUP(R1166/R1165,0)</f>
        <v>2</v>
      </c>
    </row>
    <row r="1167" spans="1:19" x14ac:dyDescent="0.25">
      <c r="A1167" s="65" t="s">
        <v>76</v>
      </c>
    </row>
    <row r="1168" spans="1:19" x14ac:dyDescent="0.25">
      <c r="A1168" s="69" t="s">
        <v>177</v>
      </c>
      <c r="B1168" s="11" t="s">
        <v>11</v>
      </c>
      <c r="C1168" s="10" t="s">
        <v>12</v>
      </c>
      <c r="D1168" s="10" t="s">
        <v>13</v>
      </c>
      <c r="E1168" s="10" t="s">
        <v>14</v>
      </c>
      <c r="F1168" s="10" t="s">
        <v>15</v>
      </c>
      <c r="G1168" s="11" t="s">
        <v>16</v>
      </c>
      <c r="H1168" s="6">
        <v>125</v>
      </c>
      <c r="I1168" s="90" t="s">
        <v>34</v>
      </c>
      <c r="J1168" s="91"/>
      <c r="K1168" s="71"/>
    </row>
    <row r="1169" spans="1:19" x14ac:dyDescent="0.25">
      <c r="A1169" s="12" t="s">
        <v>17</v>
      </c>
      <c r="B1169" s="48">
        <v>300</v>
      </c>
      <c r="C1169" s="44" t="s">
        <v>18</v>
      </c>
      <c r="D1169" s="44" t="s">
        <v>18</v>
      </c>
      <c r="E1169" s="44" t="s">
        <v>18</v>
      </c>
      <c r="F1169" s="44" t="s">
        <v>19</v>
      </c>
      <c r="G1169" s="45" t="s">
        <v>19</v>
      </c>
      <c r="H1169" s="6">
        <v>150</v>
      </c>
      <c r="I1169" s="14" t="s">
        <v>20</v>
      </c>
      <c r="J1169" s="15">
        <v>10</v>
      </c>
      <c r="K1169" s="16" t="s">
        <v>9</v>
      </c>
      <c r="L1169" s="22" t="s">
        <v>29</v>
      </c>
      <c r="M1169" s="22" t="s">
        <v>30</v>
      </c>
      <c r="N1169" s="22" t="s">
        <v>31</v>
      </c>
      <c r="O1169" s="22" t="s">
        <v>32</v>
      </c>
      <c r="P1169" s="3"/>
    </row>
    <row r="1170" spans="1:19" x14ac:dyDescent="0.25">
      <c r="A1170" s="12" t="s">
        <v>22</v>
      </c>
      <c r="B1170" s="48">
        <v>400</v>
      </c>
      <c r="C1170" s="17">
        <v>-475.6259687948982</v>
      </c>
      <c r="D1170" s="63">
        <v>-2.5100490574914143E-13</v>
      </c>
      <c r="E1170" s="63">
        <v>0</v>
      </c>
      <c r="F1170" s="63">
        <v>-4.3195814532606661E-12</v>
      </c>
      <c r="G1170" s="54">
        <v>0</v>
      </c>
      <c r="H1170" s="6">
        <v>175</v>
      </c>
      <c r="I1170" s="56"/>
      <c r="J1170" s="57"/>
      <c r="K1170" s="58"/>
      <c r="L1170" s="92" t="s">
        <v>1</v>
      </c>
      <c r="M1170" s="93"/>
      <c r="N1170" s="22" t="s">
        <v>35</v>
      </c>
      <c r="O1170" s="22" t="s">
        <v>9</v>
      </c>
    </row>
    <row r="1171" spans="1:19" x14ac:dyDescent="0.25">
      <c r="A1171" s="20" t="s">
        <v>24</v>
      </c>
      <c r="B1171" s="13"/>
      <c r="C1171" s="17">
        <v>486.70535695291096</v>
      </c>
      <c r="D1171" s="18">
        <v>0</v>
      </c>
      <c r="E1171" s="18">
        <v>-19.979043102217478</v>
      </c>
      <c r="F1171" s="18">
        <v>0</v>
      </c>
      <c r="G1171" s="19">
        <v>-1.8761771259810161E-13</v>
      </c>
      <c r="H1171" s="6">
        <v>200</v>
      </c>
      <c r="I1171" s="59" t="s">
        <v>70</v>
      </c>
      <c r="J1171" s="60"/>
      <c r="K1171" s="61"/>
      <c r="L1171" s="25">
        <f>MAX(ABS(E1174),ABS(E1175))*1000/(B1172*B1169)</f>
        <v>0.46460834415564578</v>
      </c>
      <c r="M1171" s="25">
        <f>L1171-phiVc</f>
        <v>-0.19790108973944986</v>
      </c>
      <c r="N1171" s="26">
        <f>M1171*O1171*B1169/(phiV*fys*0.25*PI()*(J1169^2))</f>
        <v>-0.3665098085853814</v>
      </c>
      <c r="O1171" s="15">
        <v>100</v>
      </c>
    </row>
    <row r="1172" spans="1:19" x14ac:dyDescent="0.25">
      <c r="A1172" s="12" t="s">
        <v>26</v>
      </c>
      <c r="B1172" s="49">
        <f>B1170-clrCover-J1169-(IF(M1176&gt;1,1.5*J1175,0.5*J1175))</f>
        <v>342</v>
      </c>
      <c r="C1172" s="64">
        <v>3.1887190915059449</v>
      </c>
      <c r="D1172" s="17">
        <v>-0.87945279585056912</v>
      </c>
      <c r="E1172" s="18">
        <v>-9.9832858489577561</v>
      </c>
      <c r="F1172" s="18">
        <v>-5.7740356401511583</v>
      </c>
      <c r="G1172" s="19">
        <v>0.34206406568560432</v>
      </c>
      <c r="H1172" s="6">
        <v>250</v>
      </c>
      <c r="I1172" s="59" t="s">
        <v>71</v>
      </c>
      <c r="J1172" s="60"/>
      <c r="K1172" s="61"/>
      <c r="L1172" s="25">
        <f>MAX(ABS(E1174),ABS(E1175))*1000/(B1177*B1169)</f>
        <v>0.46460834415564578</v>
      </c>
      <c r="M1172" s="25">
        <f>L1172-phiVc</f>
        <v>-0.19790108973944986</v>
      </c>
      <c r="N1172" s="26">
        <f>M1172*O1172*B1169/(phiV*fys*0.25*PI()*(J1169^2))</f>
        <v>-0.3665098085853814</v>
      </c>
      <c r="O1172" s="15">
        <v>100</v>
      </c>
    </row>
    <row r="1173" spans="1:19" x14ac:dyDescent="0.25">
      <c r="A1173" s="12" t="s">
        <v>27</v>
      </c>
      <c r="B1173" s="50">
        <f>K1176*R1175</f>
        <v>603</v>
      </c>
      <c r="C1173" s="64">
        <v>5.4296934368707825</v>
      </c>
      <c r="D1173" s="17">
        <v>0.88523957938119213</v>
      </c>
      <c r="E1173" s="18">
        <v>-12.561764401958957</v>
      </c>
      <c r="F1173" s="18">
        <v>-0.28450761747488379</v>
      </c>
      <c r="G1173" s="19">
        <v>-0.35373256631822447</v>
      </c>
      <c r="H1173" s="6">
        <v>300</v>
      </c>
    </row>
    <row r="1174" spans="1:19" x14ac:dyDescent="0.25">
      <c r="A1174" s="12" t="s">
        <v>28</v>
      </c>
      <c r="B1174" s="51">
        <f>-phi*B1169*(B1172^2)*J1176*fy*(1-(0.588*J1176*fy/fc))/1000000</f>
        <v>-72.768160559951994</v>
      </c>
      <c r="C1174" s="64">
        <v>-136.51208779697376</v>
      </c>
      <c r="D1174" s="18">
        <v>5.4108969965050317E-2</v>
      </c>
      <c r="E1174" s="17">
        <v>-47.668816110369256</v>
      </c>
      <c r="F1174" s="18">
        <v>-71.382901752286898</v>
      </c>
      <c r="G1174" s="19">
        <v>-0.10910561055665123</v>
      </c>
      <c r="I1174" s="90" t="s">
        <v>68</v>
      </c>
      <c r="J1174" s="91"/>
      <c r="K1174" s="94" t="s">
        <v>35</v>
      </c>
      <c r="L1174" s="79" t="s">
        <v>36</v>
      </c>
      <c r="M1174" s="96" t="s">
        <v>37</v>
      </c>
      <c r="N1174" s="98" t="s">
        <v>38</v>
      </c>
      <c r="O1174" s="96" t="s">
        <v>72</v>
      </c>
      <c r="Q1174" s="34" t="s">
        <v>73</v>
      </c>
    </row>
    <row r="1175" spans="1:19" x14ac:dyDescent="0.25">
      <c r="A1175" s="23" t="s">
        <v>33</v>
      </c>
      <c r="B1175" s="13"/>
      <c r="C1175" s="64">
        <v>147.06978088132931</v>
      </c>
      <c r="D1175" s="18">
        <v>-4.6910924775705479E-2</v>
      </c>
      <c r="E1175" s="17">
        <v>46.475794310038189</v>
      </c>
      <c r="F1175" s="18">
        <v>-4.2700776248238986E-14</v>
      </c>
      <c r="G1175" s="19">
        <v>8.3699092101596751E-14</v>
      </c>
      <c r="I1175" s="14" t="s">
        <v>23</v>
      </c>
      <c r="J1175" s="41">
        <v>16</v>
      </c>
      <c r="K1175" s="95"/>
      <c r="L1175" s="40" t="s">
        <v>9</v>
      </c>
      <c r="M1175" s="97"/>
      <c r="N1175" s="99"/>
      <c r="O1175" s="97"/>
      <c r="Q1175" s="14" t="s">
        <v>75</v>
      </c>
      <c r="R1175" s="21">
        <f>IF(J1175=16,201,IF(J1175=20,314,IF(J1175=25,490,"Err")))</f>
        <v>201</v>
      </c>
      <c r="S1175" s="16" t="s">
        <v>25</v>
      </c>
    </row>
    <row r="1176" spans="1:19" x14ac:dyDescent="0.25">
      <c r="A1176" s="20" t="s">
        <v>39</v>
      </c>
      <c r="B1176" s="13"/>
      <c r="C1176" s="64">
        <v>-136.51208779697376</v>
      </c>
      <c r="D1176" s="18">
        <v>5.4108969965050317E-2</v>
      </c>
      <c r="E1176" s="18">
        <v>-47.668816110369256</v>
      </c>
      <c r="F1176" s="17">
        <v>-71.382901752286898</v>
      </c>
      <c r="G1176" s="19">
        <v>-0.10910561055665123</v>
      </c>
      <c r="I1176" s="14" t="s">
        <v>40</v>
      </c>
      <c r="J1176" s="24">
        <f>MAX(rhoMin,(K1176*R1175/(B1169*B1172)))</f>
        <v>5.8771929824561406E-3</v>
      </c>
      <c r="K1176" s="15">
        <v>3</v>
      </c>
      <c r="L1176" s="39">
        <f>IF(M1176&lt;2,(B1169-(2*(J1169+clrCover))-(K1176*J1175))/(K1176-1),(B1169-(2*(J1169+clrCover))-(N1176*J1175))/((N1176)-1))</f>
        <v>76</v>
      </c>
      <c r="M1176" s="15">
        <v>1</v>
      </c>
      <c r="N1176" s="22">
        <f>IF(M1176&lt;2,K1176,CEILING(K1176/2,1))</f>
        <v>3</v>
      </c>
      <c r="O1176" s="22">
        <f>K1176-N1176</f>
        <v>0</v>
      </c>
      <c r="Q1176" s="37" t="s">
        <v>74</v>
      </c>
      <c r="R1176" s="38">
        <f>rhoMin*B1169*B1172</f>
        <v>338.58</v>
      </c>
      <c r="S1176" s="22">
        <f>ROUNDUP(R1176/R1175,0)</f>
        <v>2</v>
      </c>
    </row>
    <row r="1177" spans="1:19" x14ac:dyDescent="0.25">
      <c r="A1177" s="12" t="s">
        <v>26</v>
      </c>
      <c r="B1177" s="49">
        <f>B1170-clrCover-J1169-(IF(M1179&gt;1,1.5*J1178,0.5*J1178))</f>
        <v>342</v>
      </c>
      <c r="C1177" s="64">
        <v>145.04758034067044</v>
      </c>
      <c r="D1177" s="18">
        <v>-4.8351142348450525E-2</v>
      </c>
      <c r="E1177" s="18">
        <v>25.02356790077086</v>
      </c>
      <c r="F1177" s="17">
        <v>65.122318805759974</v>
      </c>
      <c r="G1177" s="19">
        <v>9.7495496780789934E-2</v>
      </c>
      <c r="I1177" s="90" t="s">
        <v>69</v>
      </c>
      <c r="J1177" s="91"/>
      <c r="K1177" s="96" t="s">
        <v>35</v>
      </c>
      <c r="L1177" s="79" t="s">
        <v>36</v>
      </c>
      <c r="M1177" s="96" t="s">
        <v>37</v>
      </c>
      <c r="N1177" s="98" t="s">
        <v>38</v>
      </c>
      <c r="O1177" s="96" t="s">
        <v>72</v>
      </c>
      <c r="R1177" s="36"/>
    </row>
    <row r="1178" spans="1:19" x14ac:dyDescent="0.25">
      <c r="A1178" s="12" t="s">
        <v>27</v>
      </c>
      <c r="B1178" s="50">
        <f>K1179*R1178</f>
        <v>603</v>
      </c>
      <c r="C1178" s="64">
        <v>8.9783714932855231E-5</v>
      </c>
      <c r="D1178" s="18">
        <v>-2.1339729983083091E-14</v>
      </c>
      <c r="E1178" s="18">
        <v>1.6311112460698497E-12</v>
      </c>
      <c r="F1178" s="18">
        <v>8.046254640866783</v>
      </c>
      <c r="G1178" s="17">
        <v>-0.3788083358632251</v>
      </c>
      <c r="I1178" s="14" t="s">
        <v>23</v>
      </c>
      <c r="J1178" s="41">
        <v>16</v>
      </c>
      <c r="K1178" s="97"/>
      <c r="L1178" s="40" t="s">
        <v>9</v>
      </c>
      <c r="M1178" s="97"/>
      <c r="N1178" s="99"/>
      <c r="O1178" s="97"/>
      <c r="Q1178" s="14" t="s">
        <v>75</v>
      </c>
      <c r="R1178" s="21">
        <f>IF(J1178=16,201,IF(J1178=20,314,IF(J1178=25,490,"Err")))</f>
        <v>201</v>
      </c>
      <c r="S1178" s="16" t="s">
        <v>25</v>
      </c>
    </row>
    <row r="1179" spans="1:19" x14ac:dyDescent="0.25">
      <c r="A1179" s="27" t="s">
        <v>28</v>
      </c>
      <c r="B1179" s="52">
        <f>phi*B1169*(B1177^2)*J1179*fy*(1-(0.588*J1179*fy/fc))/1000000</f>
        <v>72.768160559951994</v>
      </c>
      <c r="C1179" s="53">
        <v>-8.0594890396423578E-5</v>
      </c>
      <c r="D1179" s="28">
        <v>1.935411830800149E-14</v>
      </c>
      <c r="E1179" s="28">
        <v>2.2830981549759599E-12</v>
      </c>
      <c r="F1179" s="28">
        <v>16.326612785683384</v>
      </c>
      <c r="G1179" s="17">
        <v>0.37880833586322482</v>
      </c>
      <c r="I1179" s="14" t="s">
        <v>40</v>
      </c>
      <c r="J1179" s="24">
        <f>MAX(rhoMin,(K1179*R1178/(B1169*B1177)))</f>
        <v>5.8771929824561406E-3</v>
      </c>
      <c r="K1179" s="15">
        <v>3</v>
      </c>
      <c r="L1179" s="21">
        <f>IF(M1179&lt;2,(B1169-(2*(J1169+clrCover))-(K1179*J1178))/(K1179-1),(B1169-(2*(J1169+clrCover))-(N1179*J1178))/((N1179)-1))</f>
        <v>76</v>
      </c>
      <c r="M1179" s="15">
        <v>1</v>
      </c>
      <c r="N1179" s="22">
        <f>IF(M1179&lt;2,K1179,CEILING(K1179/2,1))</f>
        <v>3</v>
      </c>
      <c r="O1179" s="22">
        <f>K1179-N1179</f>
        <v>0</v>
      </c>
      <c r="Q1179" s="37" t="s">
        <v>74</v>
      </c>
      <c r="R1179" s="38">
        <f>rhoMin*B1169*B1177</f>
        <v>338.58</v>
      </c>
      <c r="S1179" s="22">
        <f>ROUNDUP(R1179/R1178,0)</f>
        <v>2</v>
      </c>
    </row>
    <row r="1180" spans="1:19" x14ac:dyDescent="0.25">
      <c r="A1180" s="65" t="s">
        <v>76</v>
      </c>
    </row>
    <row r="1181" spans="1:19" x14ac:dyDescent="0.25">
      <c r="A1181" s="69" t="s">
        <v>178</v>
      </c>
      <c r="B1181" s="11" t="s">
        <v>11</v>
      </c>
      <c r="C1181" s="10" t="s">
        <v>12</v>
      </c>
      <c r="D1181" s="10" t="s">
        <v>13</v>
      </c>
      <c r="E1181" s="10" t="s">
        <v>14</v>
      </c>
      <c r="F1181" s="10" t="s">
        <v>15</v>
      </c>
      <c r="G1181" s="11" t="s">
        <v>16</v>
      </c>
      <c r="H1181" s="6">
        <v>125</v>
      </c>
      <c r="I1181" s="90" t="s">
        <v>34</v>
      </c>
      <c r="J1181" s="91"/>
      <c r="K1181" s="71" t="s">
        <v>128</v>
      </c>
    </row>
    <row r="1182" spans="1:19" x14ac:dyDescent="0.25">
      <c r="A1182" s="12" t="s">
        <v>17</v>
      </c>
      <c r="B1182" s="48">
        <v>400</v>
      </c>
      <c r="C1182" s="44" t="s">
        <v>18</v>
      </c>
      <c r="D1182" s="44" t="s">
        <v>18</v>
      </c>
      <c r="E1182" s="44" t="s">
        <v>18</v>
      </c>
      <c r="F1182" s="44" t="s">
        <v>19</v>
      </c>
      <c r="G1182" s="45" t="s">
        <v>19</v>
      </c>
      <c r="H1182" s="6">
        <v>150</v>
      </c>
      <c r="I1182" s="14" t="s">
        <v>20</v>
      </c>
      <c r="J1182" s="15">
        <v>10</v>
      </c>
      <c r="K1182" s="16" t="s">
        <v>9</v>
      </c>
      <c r="L1182" s="22" t="s">
        <v>29</v>
      </c>
      <c r="M1182" s="22" t="s">
        <v>30</v>
      </c>
      <c r="N1182" s="22" t="s">
        <v>31</v>
      </c>
      <c r="O1182" s="22" t="s">
        <v>32</v>
      </c>
      <c r="P1182" s="3"/>
    </row>
    <row r="1183" spans="1:19" x14ac:dyDescent="0.25">
      <c r="A1183" s="12" t="s">
        <v>22</v>
      </c>
      <c r="B1183" s="48">
        <v>600</v>
      </c>
      <c r="C1183" s="17">
        <v>-113.62574995284321</v>
      </c>
      <c r="D1183" s="63">
        <v>21.185949338636664</v>
      </c>
      <c r="E1183" s="63">
        <v>0</v>
      </c>
      <c r="F1183" s="63">
        <v>-94.571960458583575</v>
      </c>
      <c r="G1183" s="54">
        <v>0</v>
      </c>
      <c r="H1183" s="6">
        <v>175</v>
      </c>
      <c r="I1183" s="56"/>
      <c r="J1183" s="57"/>
      <c r="K1183" s="58"/>
      <c r="L1183" s="92" t="s">
        <v>1</v>
      </c>
      <c r="M1183" s="93"/>
      <c r="N1183" s="22" t="s">
        <v>35</v>
      </c>
      <c r="O1183" s="22" t="s">
        <v>9</v>
      </c>
    </row>
    <row r="1184" spans="1:19" x14ac:dyDescent="0.25">
      <c r="A1184" s="20" t="s">
        <v>24</v>
      </c>
      <c r="B1184" s="13"/>
      <c r="C1184" s="17">
        <v>169.26430678857236</v>
      </c>
      <c r="D1184" s="18">
        <v>0</v>
      </c>
      <c r="E1184" s="18">
        <v>206.37031433527326</v>
      </c>
      <c r="F1184" s="18">
        <v>0</v>
      </c>
      <c r="G1184" s="19">
        <v>5.0878273235271374</v>
      </c>
      <c r="H1184" s="6">
        <v>200</v>
      </c>
      <c r="I1184" s="59" t="s">
        <v>70</v>
      </c>
      <c r="J1184" s="60"/>
      <c r="K1184" s="61"/>
      <c r="L1184" s="25">
        <f>MAX(ABS(E1187),ABS(E1188))*1000/(B1185*B1182)</f>
        <v>1.3104296297325946</v>
      </c>
      <c r="M1184" s="25">
        <f>L1184-phiVc</f>
        <v>0.64792019583749894</v>
      </c>
      <c r="N1184" s="26">
        <f>M1184*O1184*B1182/(phiV*fys*0.25*PI()*(J1182^2))</f>
        <v>1.5999177991231117</v>
      </c>
      <c r="O1184" s="15">
        <v>100</v>
      </c>
    </row>
    <row r="1185" spans="1:19" x14ac:dyDescent="0.25">
      <c r="A1185" s="12" t="s">
        <v>26</v>
      </c>
      <c r="B1185" s="49">
        <f>B1183-clrCover-J1182-(IF(M1189&gt;1,1.5*J1188,0.5*J1188))</f>
        <v>512.5</v>
      </c>
      <c r="C1185" s="64">
        <v>156.56509325830694</v>
      </c>
      <c r="D1185" s="17">
        <v>-11.169362625213441</v>
      </c>
      <c r="E1185" s="18">
        <v>146.27203720563247</v>
      </c>
      <c r="F1185" s="18">
        <v>-86.230502205363038</v>
      </c>
      <c r="G1185" s="19">
        <v>6.0387617748670257</v>
      </c>
      <c r="H1185" s="6">
        <v>250</v>
      </c>
      <c r="I1185" s="59" t="s">
        <v>71</v>
      </c>
      <c r="J1185" s="60"/>
      <c r="K1185" s="61"/>
      <c r="L1185" s="25">
        <f>MAX(ABS(E1187),ABS(E1188))*1000/(B1190*B1182)</f>
        <v>1.243694787477694</v>
      </c>
      <c r="M1185" s="25">
        <f>L1185-phiVc</f>
        <v>0.58118535358259837</v>
      </c>
      <c r="N1185" s="26">
        <f>M1185*O1185*B1182/(phiV*fys*0.25*PI()*(J1182^2))</f>
        <v>1.4351285818225494</v>
      </c>
      <c r="O1185" s="15">
        <v>100</v>
      </c>
    </row>
    <row r="1186" spans="1:19" x14ac:dyDescent="0.25">
      <c r="A1186" s="12" t="s">
        <v>27</v>
      </c>
      <c r="B1186" s="50">
        <f>K1189*R1188</f>
        <v>2940</v>
      </c>
      <c r="C1186" s="64">
        <v>-100.92653642257778</v>
      </c>
      <c r="D1186" s="17">
        <v>24.012421851690554</v>
      </c>
      <c r="E1186" s="18">
        <v>112.29756156572208</v>
      </c>
      <c r="F1186" s="18">
        <v>-150.25817139293312</v>
      </c>
      <c r="G1186" s="19">
        <v>-10.377008127779323</v>
      </c>
      <c r="H1186" s="6">
        <v>300</v>
      </c>
    </row>
    <row r="1187" spans="1:19" x14ac:dyDescent="0.25">
      <c r="A1187" s="12" t="s">
        <v>28</v>
      </c>
      <c r="B1187" s="51">
        <f>-phi*B1182*(B1185^2)*J1189*fy*(1-(0.588*J1189*fy/fc))/1000000</f>
        <v>-488.82260518559997</v>
      </c>
      <c r="C1187" s="64">
        <v>1.9458872669172123</v>
      </c>
      <c r="D1187" s="18">
        <v>0.18769057796524774</v>
      </c>
      <c r="E1187" s="17">
        <v>21.986204899155926</v>
      </c>
      <c r="F1187" s="18">
        <v>1.1860645945524291</v>
      </c>
      <c r="G1187" s="19">
        <v>-0.10239530486963841</v>
      </c>
      <c r="I1187" s="90" t="s">
        <v>68</v>
      </c>
      <c r="J1187" s="91"/>
      <c r="K1187" s="94" t="s">
        <v>35</v>
      </c>
      <c r="L1187" s="79" t="s">
        <v>36</v>
      </c>
      <c r="M1187" s="96" t="s">
        <v>37</v>
      </c>
      <c r="N1187" s="98" t="s">
        <v>38</v>
      </c>
      <c r="O1187" s="96" t="s">
        <v>72</v>
      </c>
      <c r="Q1187" s="34" t="s">
        <v>73</v>
      </c>
    </row>
    <row r="1188" spans="1:19" x14ac:dyDescent="0.25">
      <c r="A1188" s="23" t="s">
        <v>33</v>
      </c>
      <c r="B1188" s="13"/>
      <c r="C1188" s="64">
        <v>54.360585239143546</v>
      </c>
      <c r="D1188" s="18">
        <v>12.32803339385211</v>
      </c>
      <c r="E1188" s="17">
        <v>268.63807409518188</v>
      </c>
      <c r="F1188" s="18">
        <v>-482.00054662539799</v>
      </c>
      <c r="G1188" s="19">
        <v>8.1707544768779652</v>
      </c>
      <c r="I1188" s="14" t="s">
        <v>23</v>
      </c>
      <c r="J1188" s="41">
        <v>25</v>
      </c>
      <c r="K1188" s="95"/>
      <c r="L1188" s="40" t="s">
        <v>9</v>
      </c>
      <c r="M1188" s="97"/>
      <c r="N1188" s="99"/>
      <c r="O1188" s="97"/>
      <c r="Q1188" s="14" t="s">
        <v>75</v>
      </c>
      <c r="R1188" s="21">
        <f>IF(J1188=16,201,IF(J1188=20,314,IF(J1188=25,490,"Err")))</f>
        <v>490</v>
      </c>
      <c r="S1188" s="16" t="s">
        <v>25</v>
      </c>
    </row>
    <row r="1189" spans="1:19" x14ac:dyDescent="0.25">
      <c r="A1189" s="20" t="s">
        <v>39</v>
      </c>
      <c r="B1189" s="13"/>
      <c r="C1189" s="64">
        <v>54.360585239143546</v>
      </c>
      <c r="D1189" s="18">
        <v>12.32803339385211</v>
      </c>
      <c r="E1189" s="18">
        <v>268.63807409518188</v>
      </c>
      <c r="F1189" s="17">
        <v>-482.00054662539799</v>
      </c>
      <c r="G1189" s="19">
        <v>8.1707544768779652</v>
      </c>
      <c r="I1189" s="14" t="s">
        <v>40</v>
      </c>
      <c r="J1189" s="24">
        <f>MAX(rhoMin,(K1189*R1188/(B1182*B1185)))</f>
        <v>1.4341463414634147E-2</v>
      </c>
      <c r="K1189" s="15">
        <v>6</v>
      </c>
      <c r="L1189" s="39">
        <f>IF(M1189&lt;2,(B1182-(2*(J1182+clrCover))-(K1189*J1188))/(K1189-1),(B1182-(2*(J1182+clrCover))-(N1189*J1188))/((N1189)-1))</f>
        <v>112.5</v>
      </c>
      <c r="M1189" s="15">
        <v>2</v>
      </c>
      <c r="N1189" s="22">
        <f>IF(M1189&lt;2,K1189,CEILING(K1189/2,1))</f>
        <v>3</v>
      </c>
      <c r="O1189" s="22">
        <f>K1189-N1189</f>
        <v>3</v>
      </c>
      <c r="Q1189" s="37" t="s">
        <v>74</v>
      </c>
      <c r="R1189" s="38">
        <f>rhoMin*B1182*B1185</f>
        <v>676.5</v>
      </c>
      <c r="S1189" s="22">
        <f>ROUNDUP(R1189/R1188,0)</f>
        <v>2</v>
      </c>
    </row>
    <row r="1190" spans="1:19" x14ac:dyDescent="0.25">
      <c r="A1190" s="12" t="s">
        <v>26</v>
      </c>
      <c r="B1190" s="49">
        <f>B1183-clrCover-J1182-(IF(M1192&gt;1,1.5*J1191,0.5*J1191))</f>
        <v>540</v>
      </c>
      <c r="C1190" s="64">
        <v>26.787205764789633</v>
      </c>
      <c r="D1190" s="18">
        <v>0.10925336993598717</v>
      </c>
      <c r="E1190" s="18">
        <v>57.146453374998579</v>
      </c>
      <c r="F1190" s="17">
        <v>6.4843631386606519</v>
      </c>
      <c r="G1190" s="19">
        <v>-0.12540092098040354</v>
      </c>
      <c r="I1190" s="90" t="s">
        <v>69</v>
      </c>
      <c r="J1190" s="91"/>
      <c r="K1190" s="96" t="s">
        <v>35</v>
      </c>
      <c r="L1190" s="79" t="s">
        <v>36</v>
      </c>
      <c r="M1190" s="96">
        <v>2</v>
      </c>
      <c r="N1190" s="98" t="s">
        <v>38</v>
      </c>
      <c r="O1190" s="96" t="s">
        <v>72</v>
      </c>
      <c r="R1190" s="36"/>
    </row>
    <row r="1191" spans="1:19" x14ac:dyDescent="0.25">
      <c r="A1191" s="12" t="s">
        <v>27</v>
      </c>
      <c r="B1191" s="50">
        <f>K1192*R1191</f>
        <v>942</v>
      </c>
      <c r="C1191" s="64">
        <v>-100.92653642257778</v>
      </c>
      <c r="D1191" s="18">
        <v>24.012421851690554</v>
      </c>
      <c r="E1191" s="18">
        <v>112.29756156572208</v>
      </c>
      <c r="F1191" s="18">
        <v>-150.25817139293312</v>
      </c>
      <c r="G1191" s="17">
        <v>-10.377008127779323</v>
      </c>
      <c r="I1191" s="14" t="s">
        <v>23</v>
      </c>
      <c r="J1191" s="41">
        <v>20</v>
      </c>
      <c r="K1191" s="97"/>
      <c r="L1191" s="40" t="s">
        <v>9</v>
      </c>
      <c r="M1191" s="97"/>
      <c r="N1191" s="99"/>
      <c r="O1191" s="97"/>
      <c r="Q1191" s="14" t="s">
        <v>75</v>
      </c>
      <c r="R1191" s="21">
        <f>IF(J1191=16,201,IF(J1191=20,314,IF(J1191=25,490,"Err")))</f>
        <v>314</v>
      </c>
      <c r="S1191" s="16" t="s">
        <v>25</v>
      </c>
    </row>
    <row r="1192" spans="1:19" x14ac:dyDescent="0.25">
      <c r="A1192" s="27" t="s">
        <v>28</v>
      </c>
      <c r="B1192" s="52">
        <f>phi*B1182*(B1190^2)*J1192*fy*(1-(0.588*J1192*fy/fc))/1000000</f>
        <v>182.081726632944</v>
      </c>
      <c r="C1192" s="53">
        <v>-100.92653642257778</v>
      </c>
      <c r="D1192" s="28">
        <v>24.012421851690554</v>
      </c>
      <c r="E1192" s="28">
        <v>120.22973915733374</v>
      </c>
      <c r="F1192" s="28">
        <v>-266.52182175446103</v>
      </c>
      <c r="G1192" s="17">
        <v>13.635413723911231</v>
      </c>
      <c r="I1192" s="14" t="s">
        <v>40</v>
      </c>
      <c r="J1192" s="24">
        <f>MAX(rhoMin,(K1192*R1191/(B1182*B1190)))</f>
        <v>4.3611111111111107E-3</v>
      </c>
      <c r="K1192" s="15">
        <v>3</v>
      </c>
      <c r="L1192" s="21">
        <f>IF(M1192&lt;2,(B1182-(2*(J1182+clrCover))-(K1192*J1191))/(K1192-1),(B1182-(2*(J1182+clrCover))-(N1192*J1191))/((N1192)-1))</f>
        <v>120</v>
      </c>
      <c r="M1192" s="15">
        <v>1</v>
      </c>
      <c r="N1192" s="22">
        <f>IF(M1192&lt;2,K1192,CEILING(K1192/2,1))</f>
        <v>3</v>
      </c>
      <c r="O1192" s="22">
        <f>K1192-N1192</f>
        <v>0</v>
      </c>
      <c r="Q1192" s="37" t="s">
        <v>74</v>
      </c>
      <c r="R1192" s="38">
        <f>rhoMin*B1182*B1190</f>
        <v>712.80000000000007</v>
      </c>
      <c r="S1192" s="22">
        <f>ROUNDUP(R1192/R1191,0)</f>
        <v>3</v>
      </c>
    </row>
    <row r="1193" spans="1:19" x14ac:dyDescent="0.25">
      <c r="A1193" s="65" t="s">
        <v>76</v>
      </c>
    </row>
    <row r="1194" spans="1:19" x14ac:dyDescent="0.25">
      <c r="A1194" s="69" t="s">
        <v>180</v>
      </c>
      <c r="B1194" s="11" t="s">
        <v>11</v>
      </c>
      <c r="C1194" s="10" t="s">
        <v>12</v>
      </c>
      <c r="D1194" s="10" t="s">
        <v>13</v>
      </c>
      <c r="E1194" s="10" t="s">
        <v>14</v>
      </c>
      <c r="F1194" s="10" t="s">
        <v>15</v>
      </c>
      <c r="G1194" s="11" t="s">
        <v>16</v>
      </c>
      <c r="H1194" s="6">
        <v>125</v>
      </c>
      <c r="I1194" s="90" t="s">
        <v>34</v>
      </c>
      <c r="J1194" s="91"/>
      <c r="K1194" s="71"/>
    </row>
    <row r="1195" spans="1:19" x14ac:dyDescent="0.25">
      <c r="A1195" s="12" t="s">
        <v>17</v>
      </c>
      <c r="B1195" s="48">
        <v>300</v>
      </c>
      <c r="C1195" s="44" t="s">
        <v>18</v>
      </c>
      <c r="D1195" s="44" t="s">
        <v>18</v>
      </c>
      <c r="E1195" s="44" t="s">
        <v>18</v>
      </c>
      <c r="F1195" s="44" t="s">
        <v>19</v>
      </c>
      <c r="G1195" s="45" t="s">
        <v>19</v>
      </c>
      <c r="H1195" s="6">
        <v>150</v>
      </c>
      <c r="I1195" s="14" t="s">
        <v>20</v>
      </c>
      <c r="J1195" s="15">
        <v>10</v>
      </c>
      <c r="K1195" s="16" t="s">
        <v>9</v>
      </c>
      <c r="L1195" s="22" t="s">
        <v>29</v>
      </c>
      <c r="M1195" s="22" t="s">
        <v>30</v>
      </c>
      <c r="N1195" s="22" t="s">
        <v>31</v>
      </c>
      <c r="O1195" s="22" t="s">
        <v>32</v>
      </c>
      <c r="P1195" s="3"/>
    </row>
    <row r="1196" spans="1:19" x14ac:dyDescent="0.25">
      <c r="A1196" s="12" t="s">
        <v>22</v>
      </c>
      <c r="B1196" s="48">
        <v>500</v>
      </c>
      <c r="C1196" s="17">
        <v>-26.503780877570378</v>
      </c>
      <c r="D1196" s="63">
        <v>6.9155348114691151E-15</v>
      </c>
      <c r="E1196" s="63">
        <v>0</v>
      </c>
      <c r="F1196" s="63">
        <v>1.8173474437970835E-12</v>
      </c>
      <c r="G1196" s="54">
        <v>0</v>
      </c>
      <c r="H1196" s="6">
        <v>175</v>
      </c>
      <c r="I1196" s="56"/>
      <c r="J1196" s="57"/>
      <c r="K1196" s="58"/>
      <c r="L1196" s="92" t="s">
        <v>1</v>
      </c>
      <c r="M1196" s="93"/>
      <c r="N1196" s="22" t="s">
        <v>35</v>
      </c>
      <c r="O1196" s="22" t="s">
        <v>9</v>
      </c>
    </row>
    <row r="1197" spans="1:19" x14ac:dyDescent="0.25">
      <c r="A1197" s="20" t="s">
        <v>24</v>
      </c>
      <c r="B1197" s="13"/>
      <c r="C1197" s="17">
        <v>26.503785342531508</v>
      </c>
      <c r="D1197" s="18">
        <v>0</v>
      </c>
      <c r="E1197" s="18">
        <v>-77.471445393868251</v>
      </c>
      <c r="F1197" s="18">
        <v>0</v>
      </c>
      <c r="G1197" s="19">
        <v>1.9888389911981375E-14</v>
      </c>
      <c r="H1197" s="6">
        <v>200</v>
      </c>
      <c r="I1197" s="59" t="s">
        <v>70</v>
      </c>
      <c r="J1197" s="60"/>
      <c r="K1197" s="61"/>
      <c r="L1197" s="25">
        <f>MAX(ABS(E1200),ABS(E1201))*1000/(B1198*B1195)</f>
        <v>0.9563235829142297</v>
      </c>
      <c r="M1197" s="25">
        <f>L1197-phiVc</f>
        <v>0.29381414901913405</v>
      </c>
      <c r="N1197" s="26">
        <f>M1197*O1197*B1195/(phiV*fys*0.25*PI()*(J1195^2))</f>
        <v>0.54413933575835849</v>
      </c>
      <c r="O1197" s="15">
        <v>100</v>
      </c>
    </row>
    <row r="1198" spans="1:19" x14ac:dyDescent="0.25">
      <c r="A1198" s="12" t="s">
        <v>26</v>
      </c>
      <c r="B1198" s="49">
        <f>B1196-clrCover-J1195-(IF(M1202&gt;1,1.5*J1201,0.5*J1201))</f>
        <v>440</v>
      </c>
      <c r="C1198" s="64">
        <v>-1.1586705981886554E-3</v>
      </c>
      <c r="D1198" s="17">
        <v>-3.2304602418700048</v>
      </c>
      <c r="E1198" s="18">
        <v>57.644573468244673</v>
      </c>
      <c r="F1198" s="18">
        <v>-7.9182882473105569E-15</v>
      </c>
      <c r="G1198" s="19">
        <v>8.7032603346415281E-16</v>
      </c>
      <c r="H1198" s="6">
        <v>250</v>
      </c>
      <c r="I1198" s="59" t="s">
        <v>71</v>
      </c>
      <c r="J1198" s="60"/>
      <c r="K1198" s="61"/>
      <c r="L1198" s="25">
        <f>MAX(ABS(E1200),ABS(E1201))*1000/(B1203*B1195)</f>
        <v>1.0018628011482407</v>
      </c>
      <c r="M1198" s="25">
        <f>L1198-phiVc</f>
        <v>0.33935336725314502</v>
      </c>
      <c r="N1198" s="26">
        <f>M1198*O1198*B1195/(phiV*fys*0.25*PI()*(J1195^2))</f>
        <v>0.62847727538289277</v>
      </c>
      <c r="O1198" s="15">
        <v>100</v>
      </c>
    </row>
    <row r="1199" spans="1:19" x14ac:dyDescent="0.25">
      <c r="A1199" s="12" t="s">
        <v>27</v>
      </c>
      <c r="B1199" s="50">
        <f>K1202*R1201</f>
        <v>1256</v>
      </c>
      <c r="C1199" s="64">
        <v>-1.2124903954092588E-3</v>
      </c>
      <c r="D1199" s="17">
        <v>3.2304602418700044</v>
      </c>
      <c r="E1199" s="18">
        <v>-29.069274280414525</v>
      </c>
      <c r="F1199" s="18">
        <v>-5.4419474963651737E-12</v>
      </c>
      <c r="G1199" s="19">
        <v>2.349329975004365E-15</v>
      </c>
      <c r="H1199" s="6">
        <v>300</v>
      </c>
    </row>
    <row r="1200" spans="1:19" x14ac:dyDescent="0.25">
      <c r="A1200" s="12" t="s">
        <v>28</v>
      </c>
      <c r="B1200" s="51">
        <f>-phi*B1195*(B1198^2)*J1202*fy*(1-(0.588*J1202*fy/fc))/1000000</f>
        <v>-188.24861779660799</v>
      </c>
      <c r="C1200" s="64">
        <v>4.0395828866166995E-6</v>
      </c>
      <c r="D1200" s="18">
        <v>2.1316282072803005E-16</v>
      </c>
      <c r="E1200" s="17">
        <v>-126.23471294467596</v>
      </c>
      <c r="F1200" s="18">
        <v>6.8923918161626472E-12</v>
      </c>
      <c r="G1200" s="19">
        <v>-2.6302319152289608E-16</v>
      </c>
      <c r="I1200" s="90" t="s">
        <v>68</v>
      </c>
      <c r="J1200" s="91"/>
      <c r="K1200" s="94" t="s">
        <v>35</v>
      </c>
      <c r="L1200" s="79" t="s">
        <v>36</v>
      </c>
      <c r="M1200" s="96" t="s">
        <v>37</v>
      </c>
      <c r="N1200" s="98" t="s">
        <v>38</v>
      </c>
      <c r="O1200" s="96" t="s">
        <v>72</v>
      </c>
      <c r="Q1200" s="34" t="s">
        <v>73</v>
      </c>
    </row>
    <row r="1201" spans="1:19" x14ac:dyDescent="0.25">
      <c r="A1201" s="23" t="s">
        <v>33</v>
      </c>
      <c r="B1201" s="13"/>
      <c r="C1201" s="64">
        <v>4.0395828866166995E-6</v>
      </c>
      <c r="D1201" s="18">
        <v>2.1316282072803005E-16</v>
      </c>
      <c r="E1201" s="17">
        <v>126.23471294467832</v>
      </c>
      <c r="F1201" s="18">
        <v>-6.2571459125138054E-14</v>
      </c>
      <c r="G1201" s="19">
        <v>9.8445696039561866E-16</v>
      </c>
      <c r="I1201" s="14" t="s">
        <v>23</v>
      </c>
      <c r="J1201" s="41">
        <v>20</v>
      </c>
      <c r="K1201" s="95"/>
      <c r="L1201" s="40" t="s">
        <v>9</v>
      </c>
      <c r="M1201" s="97"/>
      <c r="N1201" s="99"/>
      <c r="O1201" s="97"/>
      <c r="Q1201" s="14" t="s">
        <v>75</v>
      </c>
      <c r="R1201" s="21">
        <f>IF(J1201=16,201,IF(J1201=20,314,IF(J1201=25,490,"Err")))</f>
        <v>314</v>
      </c>
      <c r="S1201" s="16" t="s">
        <v>25</v>
      </c>
    </row>
    <row r="1202" spans="1:19" x14ac:dyDescent="0.25">
      <c r="A1202" s="20" t="s">
        <v>39</v>
      </c>
      <c r="B1202" s="13"/>
      <c r="C1202" s="64">
        <v>1.4559831089761062E-3</v>
      </c>
      <c r="D1202" s="18">
        <v>1.3480278796450307E-6</v>
      </c>
      <c r="E1202" s="18">
        <v>-84.589989613639048</v>
      </c>
      <c r="F1202" s="17">
        <v>-161.32840270661191</v>
      </c>
      <c r="G1202" s="19">
        <v>-6.4921073077192872E-6</v>
      </c>
      <c r="I1202" s="14" t="s">
        <v>40</v>
      </c>
      <c r="J1202" s="24">
        <f>MAX(rhoMin,(K1202*R1201/(B1195*B1198)))</f>
        <v>9.5151515151515147E-3</v>
      </c>
      <c r="K1202" s="15">
        <v>4</v>
      </c>
      <c r="L1202" s="39">
        <f>IF(M1202&lt;2,(B1195-(2*(J1195+clrCover))-(K1202*J1201))/(K1202-1),(B1195-(2*(J1195+clrCover))-(N1202*J1201))/((N1202)-1))</f>
        <v>40</v>
      </c>
      <c r="M1202" s="15">
        <v>1</v>
      </c>
      <c r="N1202" s="22">
        <f>IF(M1202&lt;2,K1202,CEILING(K1202/2,1))</f>
        <v>4</v>
      </c>
      <c r="O1202" s="22">
        <f>K1202-N1202</f>
        <v>0</v>
      </c>
      <c r="Q1202" s="37" t="s">
        <v>74</v>
      </c>
      <c r="R1202" s="38">
        <f>rhoMin*B1195*B1198</f>
        <v>435.6</v>
      </c>
      <c r="S1202" s="22">
        <f>ROUNDUP(R1202/R1201,0)</f>
        <v>2</v>
      </c>
    </row>
    <row r="1203" spans="1:19" x14ac:dyDescent="0.25">
      <c r="A1203" s="12" t="s">
        <v>26</v>
      </c>
      <c r="B1203" s="49">
        <f>B1196-clrCover-J1195-(IF(M1205&gt;1,1.5*J1204,0.5*J1204))</f>
        <v>420</v>
      </c>
      <c r="C1203" s="64">
        <v>4.0395828866166995E-6</v>
      </c>
      <c r="D1203" s="18">
        <v>2.1316282072803005E-16</v>
      </c>
      <c r="E1203" s="18">
        <v>1.1720397097292333E-12</v>
      </c>
      <c r="F1203" s="17">
        <v>210.76650463455263</v>
      </c>
      <c r="G1203" s="19">
        <v>3.6071688443636139E-16</v>
      </c>
      <c r="I1203" s="90" t="s">
        <v>69</v>
      </c>
      <c r="J1203" s="91"/>
      <c r="K1203" s="96" t="s">
        <v>35</v>
      </c>
      <c r="L1203" s="79" t="s">
        <v>36</v>
      </c>
      <c r="M1203" s="96">
        <v>2</v>
      </c>
      <c r="N1203" s="98" t="s">
        <v>38</v>
      </c>
      <c r="O1203" s="96" t="s">
        <v>72</v>
      </c>
      <c r="R1203" s="36"/>
    </row>
    <row r="1204" spans="1:19" x14ac:dyDescent="0.25">
      <c r="A1204" s="12" t="s">
        <v>27</v>
      </c>
      <c r="B1204" s="50">
        <f>K1205*R1204</f>
        <v>1570</v>
      </c>
      <c r="C1204" s="64">
        <v>1.3351736080374395E-3</v>
      </c>
      <c r="D1204" s="18">
        <v>-2.0463630789890885E-16</v>
      </c>
      <c r="E1204" s="18">
        <v>-0.11063551993453777</v>
      </c>
      <c r="F1204" s="18">
        <v>35.754897526782109</v>
      </c>
      <c r="G1204" s="17">
        <v>-3.6956465166992811</v>
      </c>
      <c r="I1204" s="14" t="s">
        <v>23</v>
      </c>
      <c r="J1204" s="41">
        <v>20</v>
      </c>
      <c r="K1204" s="97"/>
      <c r="L1204" s="40" t="s">
        <v>9</v>
      </c>
      <c r="M1204" s="97"/>
      <c r="N1204" s="99"/>
      <c r="O1204" s="97"/>
      <c r="Q1204" s="14" t="s">
        <v>75</v>
      </c>
      <c r="R1204" s="21">
        <f>IF(J1204=16,201,IF(J1204=20,314,IF(J1204=25,490,"Err")))</f>
        <v>314</v>
      </c>
      <c r="S1204" s="16" t="s">
        <v>25</v>
      </c>
    </row>
    <row r="1205" spans="1:19" x14ac:dyDescent="0.25">
      <c r="A1205" s="27" t="s">
        <v>28</v>
      </c>
      <c r="B1205" s="52">
        <f>phi*B1195*(B1203^2)*J1205*fy*(1-(0.588*J1205*fy/fc))/1000000</f>
        <v>218.09080530719999</v>
      </c>
      <c r="C1205" s="53">
        <v>-1.2124903954092588E-3</v>
      </c>
      <c r="D1205" s="28">
        <v>-2.0463630789890885E-16</v>
      </c>
      <c r="E1205" s="28">
        <v>-0.11927496700629624</v>
      </c>
      <c r="F1205" s="28">
        <v>37.94052431433277</v>
      </c>
      <c r="G1205" s="17">
        <v>3.6956465166992811</v>
      </c>
      <c r="I1205" s="14" t="s">
        <v>40</v>
      </c>
      <c r="J1205" s="24">
        <f>MAX(rhoMin,(K1205*R1204/(B1195*B1203)))</f>
        <v>1.246031746031746E-2</v>
      </c>
      <c r="K1205" s="15">
        <v>5</v>
      </c>
      <c r="L1205" s="21">
        <f>IF(M1205&lt;2,(B1195-(2*(J1195+clrCover))-(K1205*J1204))/(K1205-1),(B1195-(2*(J1195+clrCover))-(N1205*J1204))/((N1205)-1))</f>
        <v>70</v>
      </c>
      <c r="M1205" s="15">
        <v>2</v>
      </c>
      <c r="N1205" s="22">
        <f>IF(M1205&lt;2,K1205,CEILING(K1205/2,1))</f>
        <v>3</v>
      </c>
      <c r="O1205" s="22">
        <f>K1205-N1205</f>
        <v>2</v>
      </c>
      <c r="Q1205" s="37" t="s">
        <v>74</v>
      </c>
      <c r="R1205" s="38">
        <f>rhoMin*B1195*B1203</f>
        <v>415.8</v>
      </c>
      <c r="S1205" s="22">
        <f>ROUNDUP(R1205/R1204,0)</f>
        <v>2</v>
      </c>
    </row>
    <row r="1206" spans="1:19" x14ac:dyDescent="0.25">
      <c r="A1206" s="65" t="s">
        <v>76</v>
      </c>
    </row>
    <row r="1207" spans="1:19" x14ac:dyDescent="0.25">
      <c r="A1207" s="69" t="s">
        <v>181</v>
      </c>
      <c r="B1207" s="11" t="s">
        <v>11</v>
      </c>
      <c r="C1207" s="10" t="s">
        <v>12</v>
      </c>
      <c r="D1207" s="10" t="s">
        <v>13</v>
      </c>
      <c r="E1207" s="10" t="s">
        <v>14</v>
      </c>
      <c r="F1207" s="10" t="s">
        <v>15</v>
      </c>
      <c r="G1207" s="11" t="s">
        <v>16</v>
      </c>
      <c r="H1207" s="6">
        <v>125</v>
      </c>
      <c r="I1207" s="90" t="s">
        <v>34</v>
      </c>
      <c r="J1207" s="91"/>
      <c r="K1207" s="71"/>
    </row>
    <row r="1208" spans="1:19" x14ac:dyDescent="0.25">
      <c r="A1208" s="12" t="s">
        <v>17</v>
      </c>
      <c r="B1208" s="48">
        <v>300</v>
      </c>
      <c r="C1208" s="44" t="s">
        <v>18</v>
      </c>
      <c r="D1208" s="44" t="s">
        <v>18</v>
      </c>
      <c r="E1208" s="44" t="s">
        <v>18</v>
      </c>
      <c r="F1208" s="44" t="s">
        <v>19</v>
      </c>
      <c r="G1208" s="45" t="s">
        <v>19</v>
      </c>
      <c r="H1208" s="6">
        <v>150</v>
      </c>
      <c r="I1208" s="14" t="s">
        <v>20</v>
      </c>
      <c r="J1208" s="15">
        <v>10</v>
      </c>
      <c r="K1208" s="16" t="s">
        <v>9</v>
      </c>
      <c r="L1208" s="22" t="s">
        <v>29</v>
      </c>
      <c r="M1208" s="22" t="s">
        <v>30</v>
      </c>
      <c r="N1208" s="22" t="s">
        <v>31</v>
      </c>
      <c r="O1208" s="22" t="s">
        <v>32</v>
      </c>
      <c r="P1208" s="3"/>
    </row>
    <row r="1209" spans="1:19" x14ac:dyDescent="0.25">
      <c r="A1209" s="12" t="s">
        <v>22</v>
      </c>
      <c r="B1209" s="48">
        <v>500</v>
      </c>
      <c r="C1209" s="17">
        <v>-2.8860783499279837E-2</v>
      </c>
      <c r="D1209" s="63">
        <v>7.0464701868523313E-4</v>
      </c>
      <c r="E1209" s="63">
        <v>0</v>
      </c>
      <c r="F1209" s="63">
        <v>51.185031332060333</v>
      </c>
      <c r="G1209" s="54">
        <v>0</v>
      </c>
      <c r="H1209" s="6">
        <v>175</v>
      </c>
      <c r="I1209" s="56"/>
      <c r="J1209" s="57"/>
      <c r="K1209" s="58"/>
      <c r="L1209" s="92" t="s">
        <v>1</v>
      </c>
      <c r="M1209" s="93"/>
      <c r="N1209" s="22" t="s">
        <v>35</v>
      </c>
      <c r="O1209" s="22" t="s">
        <v>9</v>
      </c>
    </row>
    <row r="1210" spans="1:19" x14ac:dyDescent="0.25">
      <c r="A1210" s="20" t="s">
        <v>24</v>
      </c>
      <c r="B1210" s="13"/>
      <c r="C1210" s="17">
        <v>2.9923406576663758E-2</v>
      </c>
      <c r="D1210" s="18">
        <v>0</v>
      </c>
      <c r="E1210" s="18">
        <v>3.6978143457998485</v>
      </c>
      <c r="F1210" s="18">
        <v>0</v>
      </c>
      <c r="G1210" s="19">
        <v>-3.613111545629904E-13</v>
      </c>
      <c r="H1210" s="6">
        <v>200</v>
      </c>
      <c r="I1210" s="59" t="s">
        <v>70</v>
      </c>
      <c r="J1210" s="60"/>
      <c r="K1210" s="61"/>
      <c r="L1210" s="25">
        <f>MAX(ABS(E1213),ABS(E1214))*1000/(B1211*B1208)</f>
        <v>0.62486403797876588</v>
      </c>
      <c r="M1210" s="25">
        <f>L1210-phiVc</f>
        <v>-3.764539591632976E-2</v>
      </c>
      <c r="N1210" s="26">
        <f>M1210*O1210*B1208/(phiV*fys*0.25*PI()*(J1208^2))</f>
        <v>-6.9718700738738398E-2</v>
      </c>
      <c r="O1210" s="15">
        <v>100</v>
      </c>
    </row>
    <row r="1211" spans="1:19" x14ac:dyDescent="0.25">
      <c r="A1211" s="12" t="s">
        <v>26</v>
      </c>
      <c r="B1211" s="49">
        <f>B1209-clrCover-J1208-(IF(M1215&gt;1,1.5*J1214,0.5*J1214))</f>
        <v>440</v>
      </c>
      <c r="C1211" s="64">
        <v>5.6674789328826591E-5</v>
      </c>
      <c r="D1211" s="17">
        <v>-2.1108706025003259</v>
      </c>
      <c r="E1211" s="18">
        <v>-49.987621434490599</v>
      </c>
      <c r="F1211" s="18">
        <v>-1.484312868035665</v>
      </c>
      <c r="G1211" s="19">
        <v>1.1902298411134478</v>
      </c>
      <c r="H1211" s="6">
        <v>250</v>
      </c>
      <c r="I1211" s="59" t="s">
        <v>71</v>
      </c>
      <c r="J1211" s="60"/>
      <c r="K1211" s="61"/>
      <c r="L1211" s="25">
        <f>MAX(ABS(E1213),ABS(E1214))*1000/(B1216*B1208)</f>
        <v>0.62486403797876588</v>
      </c>
      <c r="M1211" s="25">
        <f>L1211-phiVc</f>
        <v>-3.764539591632976E-2</v>
      </c>
      <c r="N1211" s="26">
        <f>M1211*O1211*B1208/(phiV*fys*0.25*PI()*(J1208^2))</f>
        <v>-6.9718700738738398E-2</v>
      </c>
      <c r="O1211" s="15">
        <v>100</v>
      </c>
    </row>
    <row r="1212" spans="1:19" x14ac:dyDescent="0.25">
      <c r="A1212" s="12" t="s">
        <v>27</v>
      </c>
      <c r="B1212" s="50">
        <f>K1215*R1214</f>
        <v>1256</v>
      </c>
      <c r="C1212" s="64">
        <v>-5.6640196117223244E-5</v>
      </c>
      <c r="D1212" s="17">
        <v>2.1108706021697068</v>
      </c>
      <c r="E1212" s="18">
        <v>-21.083766368323317</v>
      </c>
      <c r="F1212" s="18">
        <v>2.8910326595812035</v>
      </c>
      <c r="G1212" s="19">
        <v>-1.190229840398229</v>
      </c>
      <c r="H1212" s="6">
        <v>300</v>
      </c>
    </row>
    <row r="1213" spans="1:19" x14ac:dyDescent="0.25">
      <c r="A1213" s="12" t="s">
        <v>28</v>
      </c>
      <c r="B1213" s="51">
        <f>-phi*B1208*(B1211^2)*J1215*fy*(1-(0.588*J1215*fy/fc))/1000000</f>
        <v>-188.24861779660799</v>
      </c>
      <c r="C1213" s="64">
        <v>3.0001997220097113E-8</v>
      </c>
      <c r="D1213" s="18">
        <v>-4.1749498329579633E-10</v>
      </c>
      <c r="E1213" s="17">
        <v>-82.482053013197103</v>
      </c>
      <c r="F1213" s="18">
        <v>4.4503678093574104</v>
      </c>
      <c r="G1213" s="19">
        <v>9.0800956580485219E-10</v>
      </c>
      <c r="I1213" s="90" t="s">
        <v>68</v>
      </c>
      <c r="J1213" s="91"/>
      <c r="K1213" s="94" t="s">
        <v>35</v>
      </c>
      <c r="L1213" s="79" t="s">
        <v>36</v>
      </c>
      <c r="M1213" s="96" t="s">
        <v>37</v>
      </c>
      <c r="N1213" s="98" t="s">
        <v>38</v>
      </c>
      <c r="O1213" s="96" t="s">
        <v>72</v>
      </c>
      <c r="Q1213" s="34" t="s">
        <v>73</v>
      </c>
    </row>
    <row r="1214" spans="1:19" x14ac:dyDescent="0.25">
      <c r="A1214" s="23" t="s">
        <v>33</v>
      </c>
      <c r="B1214" s="13"/>
      <c r="C1214" s="64">
        <v>-1.9962379378642756E-10</v>
      </c>
      <c r="D1214" s="18">
        <v>-3.3052419894374909E-10</v>
      </c>
      <c r="E1214" s="17">
        <v>64.544525967094955</v>
      </c>
      <c r="F1214" s="18">
        <v>2.3180457553451104E-13</v>
      </c>
      <c r="G1214" s="19">
        <v>2.704183543755789E-14</v>
      </c>
      <c r="I1214" s="14" t="s">
        <v>23</v>
      </c>
      <c r="J1214" s="41">
        <v>20</v>
      </c>
      <c r="K1214" s="95"/>
      <c r="L1214" s="40" t="s">
        <v>9</v>
      </c>
      <c r="M1214" s="97"/>
      <c r="N1214" s="99"/>
      <c r="O1214" s="97"/>
      <c r="Q1214" s="14" t="s">
        <v>75</v>
      </c>
      <c r="R1214" s="21">
        <f>IF(J1214=16,201,IF(J1214=20,314,IF(J1214=25,490,"Err")))</f>
        <v>314</v>
      </c>
      <c r="S1214" s="16" t="s">
        <v>25</v>
      </c>
    </row>
    <row r="1215" spans="1:19" x14ac:dyDescent="0.25">
      <c r="A1215" s="20" t="s">
        <v>39</v>
      </c>
      <c r="B1215" s="13"/>
      <c r="C1215" s="64">
        <v>2.7269644943214624E-3</v>
      </c>
      <c r="D1215" s="18">
        <v>1.4464938885749345E-6</v>
      </c>
      <c r="E1215" s="18">
        <v>-99.873019855623241</v>
      </c>
      <c r="F1215" s="17">
        <v>-169.32091451375678</v>
      </c>
      <c r="G1215" s="19">
        <v>-6.3638974957952573E-6</v>
      </c>
      <c r="I1215" s="14" t="s">
        <v>40</v>
      </c>
      <c r="J1215" s="24">
        <f>MAX(rhoMin,(K1215*R1214/(B1208*B1211)))</f>
        <v>9.5151515151515147E-3</v>
      </c>
      <c r="K1215" s="15">
        <v>4</v>
      </c>
      <c r="L1215" s="39">
        <f>IF(M1215&lt;2,(B1208-(2*(J1208+clrCover))-(K1215*J1214))/(K1215-1),(B1208-(2*(J1208+clrCover))-(N1215*J1214))/((N1215)-1))</f>
        <v>40</v>
      </c>
      <c r="M1215" s="15">
        <v>1</v>
      </c>
      <c r="N1215" s="22">
        <f>IF(M1215&lt;2,K1215,CEILING(K1215/2,1))</f>
        <v>4</v>
      </c>
      <c r="O1215" s="22">
        <f>K1215-N1215</f>
        <v>0</v>
      </c>
      <c r="Q1215" s="37" t="s">
        <v>74</v>
      </c>
      <c r="R1215" s="38">
        <f>rhoMin*B1208*B1211</f>
        <v>435.6</v>
      </c>
      <c r="S1215" s="22">
        <f>ROUNDUP(R1215/R1214,0)</f>
        <v>2</v>
      </c>
    </row>
    <row r="1216" spans="1:19" x14ac:dyDescent="0.25">
      <c r="A1216" s="12" t="s">
        <v>26</v>
      </c>
      <c r="B1216" s="49">
        <f>B1209-clrCover-J1208-(IF(M1218&gt;1,1.5*J1217,0.5*J1217))</f>
        <v>440</v>
      </c>
      <c r="C1216" s="64">
        <v>3.0001997220097113E-8</v>
      </c>
      <c r="D1216" s="18">
        <v>-4.1749498329579633E-10</v>
      </c>
      <c r="E1216" s="18">
        <v>-17.493003683114129</v>
      </c>
      <c r="F1216" s="17">
        <v>102.6013462274466</v>
      </c>
      <c r="G1216" s="19">
        <v>2.0178829449686056E-10</v>
      </c>
      <c r="I1216" s="90" t="s">
        <v>69</v>
      </c>
      <c r="J1216" s="91"/>
      <c r="K1216" s="96" t="s">
        <v>35</v>
      </c>
      <c r="L1216" s="79" t="s">
        <v>36</v>
      </c>
      <c r="M1216" s="96">
        <v>2</v>
      </c>
      <c r="N1216" s="98" t="s">
        <v>38</v>
      </c>
      <c r="O1216" s="96" t="s">
        <v>72</v>
      </c>
      <c r="R1216" s="36"/>
    </row>
    <row r="1217" spans="1:19" x14ac:dyDescent="0.25">
      <c r="A1217" s="12" t="s">
        <v>27</v>
      </c>
      <c r="B1217" s="50">
        <f>K1218*R1217</f>
        <v>942</v>
      </c>
      <c r="C1217" s="64">
        <v>2.5124019995547342E-3</v>
      </c>
      <c r="D1217" s="18">
        <v>1.9437395627927991</v>
      </c>
      <c r="E1217" s="18">
        <v>-65.972904533831965</v>
      </c>
      <c r="F1217" s="18">
        <v>-108.08215998775457</v>
      </c>
      <c r="G1217" s="17">
        <v>-1.7104070384870853</v>
      </c>
      <c r="I1217" s="14" t="s">
        <v>23</v>
      </c>
      <c r="J1217" s="41">
        <v>20</v>
      </c>
      <c r="K1217" s="97"/>
      <c r="L1217" s="40" t="s">
        <v>9</v>
      </c>
      <c r="M1217" s="97"/>
      <c r="N1217" s="99"/>
      <c r="O1217" s="97"/>
      <c r="Q1217" s="14" t="s">
        <v>75</v>
      </c>
      <c r="R1217" s="21">
        <f>IF(J1217=16,201,IF(J1217=20,314,IF(J1217=25,490,"Err")))</f>
        <v>314</v>
      </c>
      <c r="S1217" s="16" t="s">
        <v>25</v>
      </c>
    </row>
    <row r="1218" spans="1:19" x14ac:dyDescent="0.25">
      <c r="A1218" s="27" t="s">
        <v>28</v>
      </c>
      <c r="B1218" s="52">
        <f>phi*B1208*(B1216^2)*J1218*fy*(1-(0.588*J1218*fy/fc))/1000000</f>
        <v>144.49865951059198</v>
      </c>
      <c r="C1218" s="53">
        <v>1.7075016140093713E-4</v>
      </c>
      <c r="D1218" s="28">
        <v>-1.9437377923772905</v>
      </c>
      <c r="E1218" s="28">
        <v>-46.104251396056846</v>
      </c>
      <c r="F1218" s="28">
        <v>-75.431316155879557</v>
      </c>
      <c r="G1218" s="17">
        <v>1.7103992494857556</v>
      </c>
      <c r="I1218" s="14" t="s">
        <v>40</v>
      </c>
      <c r="J1218" s="24">
        <f>MAX(rhoMin,(K1218*R1217/(B1208*B1216)))</f>
        <v>7.136363636363636E-3</v>
      </c>
      <c r="K1218" s="15">
        <v>3</v>
      </c>
      <c r="L1218" s="21">
        <f>IF(M1218&lt;2,(B1208-(2*(J1208+clrCover))-(K1218*J1217))/(K1218-1),(B1208-(2*(J1208+clrCover))-(N1218*J1217))/((N1218)-1))</f>
        <v>70</v>
      </c>
      <c r="M1218" s="15">
        <v>1</v>
      </c>
      <c r="N1218" s="22">
        <f>IF(M1218&lt;2,K1218,CEILING(K1218/2,1))</f>
        <v>3</v>
      </c>
      <c r="O1218" s="22">
        <f>K1218-N1218</f>
        <v>0</v>
      </c>
      <c r="Q1218" s="37" t="s">
        <v>74</v>
      </c>
      <c r="R1218" s="38">
        <f>rhoMin*B1208*B1216</f>
        <v>435.6</v>
      </c>
      <c r="S1218" s="22">
        <f>ROUNDUP(R1218/R1217,0)</f>
        <v>2</v>
      </c>
    </row>
    <row r="1219" spans="1:19" x14ac:dyDescent="0.25">
      <c r="A1219" s="65" t="s">
        <v>76</v>
      </c>
    </row>
    <row r="1220" spans="1:19" x14ac:dyDescent="0.25">
      <c r="A1220" s="69" t="s">
        <v>182</v>
      </c>
      <c r="B1220" s="11" t="s">
        <v>11</v>
      </c>
      <c r="C1220" s="10" t="s">
        <v>12</v>
      </c>
      <c r="D1220" s="10" t="s">
        <v>13</v>
      </c>
      <c r="E1220" s="10" t="s">
        <v>14</v>
      </c>
      <c r="F1220" s="10" t="s">
        <v>15</v>
      </c>
      <c r="G1220" s="11" t="s">
        <v>16</v>
      </c>
      <c r="H1220" s="6">
        <v>125</v>
      </c>
      <c r="I1220" s="90" t="s">
        <v>34</v>
      </c>
      <c r="J1220" s="91"/>
      <c r="K1220" s="71"/>
    </row>
    <row r="1221" spans="1:19" x14ac:dyDescent="0.25">
      <c r="A1221" s="12" t="s">
        <v>17</v>
      </c>
      <c r="B1221" s="48">
        <v>300</v>
      </c>
      <c r="C1221" s="44" t="s">
        <v>18</v>
      </c>
      <c r="D1221" s="44" t="s">
        <v>18</v>
      </c>
      <c r="E1221" s="44" t="s">
        <v>18</v>
      </c>
      <c r="F1221" s="44" t="s">
        <v>19</v>
      </c>
      <c r="G1221" s="45" t="s">
        <v>19</v>
      </c>
      <c r="H1221" s="6">
        <v>150</v>
      </c>
      <c r="I1221" s="14" t="s">
        <v>20</v>
      </c>
      <c r="J1221" s="15">
        <v>10</v>
      </c>
      <c r="K1221" s="16" t="s">
        <v>9</v>
      </c>
      <c r="L1221" s="22" t="s">
        <v>29</v>
      </c>
      <c r="M1221" s="22" t="s">
        <v>30</v>
      </c>
      <c r="N1221" s="22" t="s">
        <v>31</v>
      </c>
      <c r="O1221" s="22" t="s">
        <v>32</v>
      </c>
      <c r="P1221" s="3"/>
    </row>
    <row r="1222" spans="1:19" x14ac:dyDescent="0.25">
      <c r="A1222" s="12" t="s">
        <v>22</v>
      </c>
      <c r="B1222" s="48">
        <v>500</v>
      </c>
      <c r="C1222" s="17">
        <v>-2.1840058751025934E-3</v>
      </c>
      <c r="D1222" s="63">
        <v>-9.3570662329511813E-14</v>
      </c>
      <c r="E1222" s="63">
        <v>0</v>
      </c>
      <c r="F1222" s="63">
        <v>1.0547098564301373E-11</v>
      </c>
      <c r="G1222" s="54">
        <v>0</v>
      </c>
      <c r="H1222" s="6">
        <v>175</v>
      </c>
      <c r="I1222" s="56"/>
      <c r="J1222" s="57"/>
      <c r="K1222" s="58"/>
      <c r="L1222" s="92" t="s">
        <v>1</v>
      </c>
      <c r="M1222" s="93"/>
      <c r="N1222" s="22" t="s">
        <v>35</v>
      </c>
      <c r="O1222" s="22" t="s">
        <v>9</v>
      </c>
    </row>
    <row r="1223" spans="1:19" x14ac:dyDescent="0.25">
      <c r="A1223" s="20" t="s">
        <v>24</v>
      </c>
      <c r="B1223" s="13"/>
      <c r="C1223" s="17">
        <v>2.1840082948190683E-3</v>
      </c>
      <c r="D1223" s="18">
        <v>0</v>
      </c>
      <c r="E1223" s="18">
        <v>-74.891764023013323</v>
      </c>
      <c r="F1223" s="18">
        <v>0</v>
      </c>
      <c r="G1223" s="19">
        <v>-1.411621394772714E-13</v>
      </c>
      <c r="H1223" s="6">
        <v>200</v>
      </c>
      <c r="I1223" s="59" t="s">
        <v>70</v>
      </c>
      <c r="J1223" s="60"/>
      <c r="K1223" s="61"/>
      <c r="L1223" s="25">
        <f>MAX(ABS(E1226),ABS(E1227))*1000/(B1224*B1221)</f>
        <v>1.0090865597725489</v>
      </c>
      <c r="M1223" s="25">
        <f>L1223-phiVc</f>
        <v>0.34657712587745326</v>
      </c>
      <c r="N1223" s="26">
        <f>M1223*O1223*B1221/(phiV*fys*0.25*PI()*(J1221^2))</f>
        <v>0.64185556649866138</v>
      </c>
      <c r="O1223" s="15">
        <v>100</v>
      </c>
    </row>
    <row r="1224" spans="1:19" x14ac:dyDescent="0.25">
      <c r="A1224" s="12" t="s">
        <v>26</v>
      </c>
      <c r="B1224" s="49">
        <f>B1222-clrCover-J1221-(IF(M1228&gt;1,1.5*J1227,0.5*J1227))</f>
        <v>440</v>
      </c>
      <c r="C1224" s="64">
        <v>3.4829669482023742E-4</v>
      </c>
      <c r="D1224" s="17">
        <v>-3.1024773120259175</v>
      </c>
      <c r="E1224" s="18">
        <v>73.685721533393064</v>
      </c>
      <c r="F1224" s="18">
        <v>-8.2117423971794759E-15</v>
      </c>
      <c r="G1224" s="19">
        <v>-3.3299585311397092E-15</v>
      </c>
      <c r="H1224" s="6">
        <v>250</v>
      </c>
      <c r="I1224" s="59" t="s">
        <v>71</v>
      </c>
      <c r="J1224" s="60"/>
      <c r="K1224" s="61"/>
      <c r="L1224" s="25">
        <f>MAX(ABS(E1226),ABS(E1227))*1000/(B1229*B1221)</f>
        <v>1.0090865597725489</v>
      </c>
      <c r="M1224" s="25">
        <f>L1224-phiVc</f>
        <v>0.34657712587745326</v>
      </c>
      <c r="N1224" s="26">
        <f>M1224*O1224*B1221/(phiV*fys*0.25*PI()*(J1221^2))</f>
        <v>0.64185556649866138</v>
      </c>
      <c r="O1224" s="15">
        <v>100</v>
      </c>
    </row>
    <row r="1225" spans="1:19" x14ac:dyDescent="0.25">
      <c r="A1225" s="12" t="s">
        <v>27</v>
      </c>
      <c r="B1225" s="50">
        <f>K1228*R1227</f>
        <v>628</v>
      </c>
      <c r="C1225" s="64">
        <v>-3.4829425132775214E-4</v>
      </c>
      <c r="D1225" s="17">
        <v>3.1024773120259161</v>
      </c>
      <c r="E1225" s="18">
        <v>39.976499331699102</v>
      </c>
      <c r="F1225" s="18">
        <v>-5.1898041419917721E-15</v>
      </c>
      <c r="G1225" s="19">
        <v>-5.7411853049416103E-16</v>
      </c>
      <c r="H1225" s="6">
        <v>300</v>
      </c>
    </row>
    <row r="1226" spans="1:19" x14ac:dyDescent="0.25">
      <c r="A1226" s="12" t="s">
        <v>28</v>
      </c>
      <c r="B1226" s="51">
        <f>-phi*B1221*(B1224^2)*J1228*fy*(1-(0.588*J1228*fy/fc))/1000000</f>
        <v>-98.540570449152</v>
      </c>
      <c r="C1226" s="64">
        <v>1.8716884369496258E-9</v>
      </c>
      <c r="D1226" s="18">
        <v>-2.13020712180878E-15</v>
      </c>
      <c r="E1226" s="17">
        <v>-133.19942588997648</v>
      </c>
      <c r="F1226" s="18">
        <v>3.8633374554360345E-13</v>
      </c>
      <c r="G1226" s="19">
        <v>5.1703218128955925E-15</v>
      </c>
      <c r="I1226" s="90" t="s">
        <v>68</v>
      </c>
      <c r="J1226" s="91"/>
      <c r="K1226" s="94" t="s">
        <v>35</v>
      </c>
      <c r="L1226" s="79" t="s">
        <v>36</v>
      </c>
      <c r="M1226" s="96" t="s">
        <v>37</v>
      </c>
      <c r="N1226" s="98" t="s">
        <v>38</v>
      </c>
      <c r="O1226" s="96" t="s">
        <v>72</v>
      </c>
      <c r="Q1226" s="34" t="s">
        <v>73</v>
      </c>
    </row>
    <row r="1227" spans="1:19" x14ac:dyDescent="0.25">
      <c r="A1227" s="23" t="s">
        <v>33</v>
      </c>
      <c r="B1227" s="13"/>
      <c r="C1227" s="64">
        <v>1.8716884369496258E-9</v>
      </c>
      <c r="D1227" s="18">
        <v>-2.13020712180878E-15</v>
      </c>
      <c r="E1227" s="17">
        <v>131.23692259768549</v>
      </c>
      <c r="F1227" s="18">
        <v>-1.3574208423960953E-14</v>
      </c>
      <c r="G1227" s="19">
        <v>-5.1471715778461653E-15</v>
      </c>
      <c r="I1227" s="14" t="s">
        <v>23</v>
      </c>
      <c r="J1227" s="41">
        <v>20</v>
      </c>
      <c r="K1227" s="95"/>
      <c r="L1227" s="40" t="s">
        <v>9</v>
      </c>
      <c r="M1227" s="97"/>
      <c r="N1227" s="99"/>
      <c r="O1227" s="97"/>
      <c r="Q1227" s="14" t="s">
        <v>75</v>
      </c>
      <c r="R1227" s="21">
        <f>IF(J1227=16,201,IF(J1227=20,314,IF(J1227=25,490,"Err")))</f>
        <v>314</v>
      </c>
      <c r="S1227" s="16" t="s">
        <v>25</v>
      </c>
    </row>
    <row r="1228" spans="1:19" x14ac:dyDescent="0.25">
      <c r="A1228" s="20" t="s">
        <v>39</v>
      </c>
      <c r="B1228" s="13"/>
      <c r="C1228" s="64">
        <v>2.1840076707681875E-3</v>
      </c>
      <c r="D1228" s="18">
        <v>9.2330054712874692E-14</v>
      </c>
      <c r="E1228" s="18">
        <v>-40.588314205866901</v>
      </c>
      <c r="F1228" s="17">
        <v>-1.0318052225086115E-11</v>
      </c>
      <c r="G1228" s="19">
        <v>-1.4181357772971692E-13</v>
      </c>
      <c r="I1228" s="14" t="s">
        <v>40</v>
      </c>
      <c r="J1228" s="24">
        <f>MAX(rhoMin,(K1228*R1227/(B1221*B1224)))</f>
        <v>4.7575757575757573E-3</v>
      </c>
      <c r="K1228" s="15">
        <v>2</v>
      </c>
      <c r="L1228" s="39">
        <f>IF(M1228&lt;2,(B1221-(2*(J1221+clrCover))-(K1228*J1227))/(K1228-1),(B1221-(2*(J1221+clrCover))-(N1228*J1227))/((N1228)-1))</f>
        <v>160</v>
      </c>
      <c r="M1228" s="15">
        <v>1</v>
      </c>
      <c r="N1228" s="22">
        <f>IF(M1228&lt;2,K1228,CEILING(K1228/2,1))</f>
        <v>2</v>
      </c>
      <c r="O1228" s="22">
        <f>K1228-N1228</f>
        <v>0</v>
      </c>
      <c r="Q1228" s="37" t="s">
        <v>74</v>
      </c>
      <c r="R1228" s="38">
        <f>rhoMin*B1221*B1224</f>
        <v>435.6</v>
      </c>
      <c r="S1228" s="22">
        <f>ROUNDUP(R1228/R1227,0)</f>
        <v>2</v>
      </c>
    </row>
    <row r="1229" spans="1:19" x14ac:dyDescent="0.25">
      <c r="A1229" s="12" t="s">
        <v>26</v>
      </c>
      <c r="B1229" s="49">
        <f>B1222-clrCover-J1221-(IF(M1231&gt;1,1.5*J1230,0.5*J1230))</f>
        <v>440</v>
      </c>
      <c r="C1229" s="64">
        <v>1.8716884369496258E-9</v>
      </c>
      <c r="D1229" s="18">
        <v>-2.13020712180878E-15</v>
      </c>
      <c r="E1229" s="18">
        <v>2.7231064623376291</v>
      </c>
      <c r="F1229" s="17">
        <v>178.69155031820279</v>
      </c>
      <c r="G1229" s="19">
        <v>1.157511752471289E-17</v>
      </c>
      <c r="I1229" s="90" t="s">
        <v>69</v>
      </c>
      <c r="J1229" s="91"/>
      <c r="K1229" s="96" t="s">
        <v>35</v>
      </c>
      <c r="L1229" s="79" t="s">
        <v>36</v>
      </c>
      <c r="M1229" s="96">
        <v>2</v>
      </c>
      <c r="N1229" s="98" t="s">
        <v>38</v>
      </c>
      <c r="O1229" s="96" t="s">
        <v>72</v>
      </c>
      <c r="R1229" s="36"/>
    </row>
    <row r="1230" spans="1:19" x14ac:dyDescent="0.25">
      <c r="A1230" s="12" t="s">
        <v>27</v>
      </c>
      <c r="B1230" s="50">
        <f>K1231*R1230</f>
        <v>1256</v>
      </c>
      <c r="C1230" s="64">
        <v>-3.4829425132775214E-4</v>
      </c>
      <c r="D1230" s="18">
        <v>3.4724223496596094E-15</v>
      </c>
      <c r="E1230" s="18">
        <v>0.81065708947886694</v>
      </c>
      <c r="F1230" s="18">
        <v>54.294959456259761</v>
      </c>
      <c r="G1230" s="17">
        <v>-3.756652209313553</v>
      </c>
      <c r="I1230" s="14" t="s">
        <v>23</v>
      </c>
      <c r="J1230" s="41">
        <v>20</v>
      </c>
      <c r="K1230" s="97"/>
      <c r="L1230" s="40" t="s">
        <v>9</v>
      </c>
      <c r="M1230" s="97"/>
      <c r="N1230" s="99"/>
      <c r="O1230" s="97"/>
      <c r="Q1230" s="14" t="s">
        <v>75</v>
      </c>
      <c r="R1230" s="21">
        <f>IF(J1230=16,201,IF(J1230=20,314,IF(J1230=25,490,"Err")))</f>
        <v>314</v>
      </c>
      <c r="S1230" s="16" t="s">
        <v>25</v>
      </c>
    </row>
    <row r="1231" spans="1:19" x14ac:dyDescent="0.25">
      <c r="A1231" s="27" t="s">
        <v>28</v>
      </c>
      <c r="B1231" s="52">
        <f>phi*B1221*(B1229^2)*J1231*fy*(1-(0.588*J1231*fy/fc))/1000000</f>
        <v>188.24861779660799</v>
      </c>
      <c r="C1231" s="53">
        <v>3.4829604699334596E-4</v>
      </c>
      <c r="D1231" s="28">
        <v>-4.7130299662967445E-15</v>
      </c>
      <c r="E1231" s="28">
        <v>0.80274832876467739</v>
      </c>
      <c r="F1231" s="28">
        <v>54.311211669072129</v>
      </c>
      <c r="G1231" s="17">
        <v>3.756652209313553</v>
      </c>
      <c r="I1231" s="14" t="s">
        <v>40</v>
      </c>
      <c r="J1231" s="24">
        <f>MAX(rhoMin,(K1231*R1230/(B1221*B1229)))</f>
        <v>9.5151515151515147E-3</v>
      </c>
      <c r="K1231" s="15">
        <v>4</v>
      </c>
      <c r="L1231" s="21">
        <f>IF(M1231&lt;2,(B1221-(2*(J1221+clrCover))-(K1231*J1230))/(K1231-1),(B1221-(2*(J1221+clrCover))-(N1231*J1230))/((N1231)-1))</f>
        <v>40</v>
      </c>
      <c r="M1231" s="15">
        <v>1</v>
      </c>
      <c r="N1231" s="22">
        <f>IF(M1231&lt;2,K1231,CEILING(K1231/2,1))</f>
        <v>4</v>
      </c>
      <c r="O1231" s="22">
        <f>K1231-N1231</f>
        <v>0</v>
      </c>
      <c r="Q1231" s="37" t="s">
        <v>74</v>
      </c>
      <c r="R1231" s="38">
        <f>rhoMin*B1221*B1229</f>
        <v>435.6</v>
      </c>
      <c r="S1231" s="22">
        <f>ROUNDUP(R1231/R1230,0)</f>
        <v>2</v>
      </c>
    </row>
    <row r="1232" spans="1:19" x14ac:dyDescent="0.25">
      <c r="A1232" s="65" t="s">
        <v>76</v>
      </c>
    </row>
  </sheetData>
  <dataConsolidate/>
  <mergeCells count="1128">
    <mergeCell ref="L1222:M1222"/>
    <mergeCell ref="I1226:J1226"/>
    <mergeCell ref="K1226:K1227"/>
    <mergeCell ref="M1226:M1227"/>
    <mergeCell ref="N1226:N1227"/>
    <mergeCell ref="O1226:O1227"/>
    <mergeCell ref="I1229:J1229"/>
    <mergeCell ref="K1229:K1230"/>
    <mergeCell ref="M1229:M1230"/>
    <mergeCell ref="N1229:N1230"/>
    <mergeCell ref="O1229:O1230"/>
    <mergeCell ref="K1151:K1152"/>
    <mergeCell ref="M1151:M1152"/>
    <mergeCell ref="N1151:N1152"/>
    <mergeCell ref="O1151:O1152"/>
    <mergeCell ref="I1207:J1207"/>
    <mergeCell ref="L1209:M1209"/>
    <mergeCell ref="I1213:J1213"/>
    <mergeCell ref="K1213:K1214"/>
    <mergeCell ref="M1213:M1214"/>
    <mergeCell ref="N1213:N1214"/>
    <mergeCell ref="O1213:O1214"/>
    <mergeCell ref="I1216:J1216"/>
    <mergeCell ref="K1216:K1217"/>
    <mergeCell ref="M1216:M1217"/>
    <mergeCell ref="N1216:N1217"/>
    <mergeCell ref="O1216:O1217"/>
    <mergeCell ref="I1220:J1220"/>
    <mergeCell ref="I1194:J1194"/>
    <mergeCell ref="L1196:M1196"/>
    <mergeCell ref="I1200:J1200"/>
    <mergeCell ref="K1200:K1201"/>
    <mergeCell ref="M1200:M1201"/>
    <mergeCell ref="N1200:N1201"/>
    <mergeCell ref="O1200:O1201"/>
    <mergeCell ref="I1203:J1203"/>
    <mergeCell ref="K1203:K1204"/>
    <mergeCell ref="M1203:M1204"/>
    <mergeCell ref="N1203:N1204"/>
    <mergeCell ref="O1203:O1204"/>
    <mergeCell ref="I1142:J1142"/>
    <mergeCell ref="L1144:M1144"/>
    <mergeCell ref="I1148:J1148"/>
    <mergeCell ref="K1148:K1149"/>
    <mergeCell ref="M1148:M1149"/>
    <mergeCell ref="N1148:N1149"/>
    <mergeCell ref="O1148:O1149"/>
    <mergeCell ref="I1151:J1151"/>
    <mergeCell ref="I1177:J1177"/>
    <mergeCell ref="K1177:K1178"/>
    <mergeCell ref="M1177:M1178"/>
    <mergeCell ref="N1177:N1178"/>
    <mergeCell ref="O1177:O1178"/>
    <mergeCell ref="I1181:J1181"/>
    <mergeCell ref="L1183:M1183"/>
    <mergeCell ref="I1187:J1187"/>
    <mergeCell ref="K1187:K1188"/>
    <mergeCell ref="M1187:M1188"/>
    <mergeCell ref="N1187:N1188"/>
    <mergeCell ref="O1187:O1188"/>
    <mergeCell ref="I1190:J1190"/>
    <mergeCell ref="K1190:K1191"/>
    <mergeCell ref="M1190:M1191"/>
    <mergeCell ref="N1190:N1191"/>
    <mergeCell ref="O1190:O1191"/>
    <mergeCell ref="I1155:J1155"/>
    <mergeCell ref="L1157:M1157"/>
    <mergeCell ref="I1161:J1161"/>
    <mergeCell ref="K1161:K1162"/>
    <mergeCell ref="M1161:M1162"/>
    <mergeCell ref="N1161:N1162"/>
    <mergeCell ref="O1161:O1162"/>
    <mergeCell ref="I1164:J1164"/>
    <mergeCell ref="K1164:K1165"/>
    <mergeCell ref="M1164:M1165"/>
    <mergeCell ref="N1164:N1165"/>
    <mergeCell ref="O1164:O1165"/>
    <mergeCell ref="I1168:J1168"/>
    <mergeCell ref="L1170:M1170"/>
    <mergeCell ref="I1174:J1174"/>
    <mergeCell ref="K1174:K1175"/>
    <mergeCell ref="M1174:M1175"/>
    <mergeCell ref="N1174:N1175"/>
    <mergeCell ref="O1174:O1175"/>
    <mergeCell ref="I813:J813"/>
    <mergeCell ref="K813:K814"/>
    <mergeCell ref="M813:M814"/>
    <mergeCell ref="N813:N814"/>
    <mergeCell ref="O813:O814"/>
    <mergeCell ref="I817:J817"/>
    <mergeCell ref="L819:M819"/>
    <mergeCell ref="I823:J823"/>
    <mergeCell ref="K823:K824"/>
    <mergeCell ref="M823:M824"/>
    <mergeCell ref="N823:N824"/>
    <mergeCell ref="O823:O824"/>
    <mergeCell ref="I826:J826"/>
    <mergeCell ref="K826:K827"/>
    <mergeCell ref="M826:M827"/>
    <mergeCell ref="N826:N827"/>
    <mergeCell ref="O826:O827"/>
    <mergeCell ref="I791:J791"/>
    <mergeCell ref="L793:M793"/>
    <mergeCell ref="I797:J797"/>
    <mergeCell ref="K797:K798"/>
    <mergeCell ref="M797:M798"/>
    <mergeCell ref="N797:N798"/>
    <mergeCell ref="O797:O798"/>
    <mergeCell ref="I800:J800"/>
    <mergeCell ref="K800:K801"/>
    <mergeCell ref="M800:M801"/>
    <mergeCell ref="N800:N801"/>
    <mergeCell ref="O800:O801"/>
    <mergeCell ref="I804:J804"/>
    <mergeCell ref="L806:M806"/>
    <mergeCell ref="I810:J810"/>
    <mergeCell ref="K810:K811"/>
    <mergeCell ref="M810:M811"/>
    <mergeCell ref="N810:N811"/>
    <mergeCell ref="O810:O811"/>
    <mergeCell ref="I774:J774"/>
    <mergeCell ref="K774:K775"/>
    <mergeCell ref="M774:M775"/>
    <mergeCell ref="N774:N775"/>
    <mergeCell ref="O774:O775"/>
    <mergeCell ref="I778:J778"/>
    <mergeCell ref="L780:M780"/>
    <mergeCell ref="I784:J784"/>
    <mergeCell ref="K784:K785"/>
    <mergeCell ref="M784:M785"/>
    <mergeCell ref="N784:N785"/>
    <mergeCell ref="O784:O785"/>
    <mergeCell ref="I787:J787"/>
    <mergeCell ref="K787:K788"/>
    <mergeCell ref="M787:M788"/>
    <mergeCell ref="N787:N788"/>
    <mergeCell ref="O787:O788"/>
    <mergeCell ref="I752:J752"/>
    <mergeCell ref="L754:M754"/>
    <mergeCell ref="I758:J758"/>
    <mergeCell ref="K758:K759"/>
    <mergeCell ref="M758:M759"/>
    <mergeCell ref="N758:N759"/>
    <mergeCell ref="O758:O759"/>
    <mergeCell ref="I761:J761"/>
    <mergeCell ref="K761:K762"/>
    <mergeCell ref="M761:M762"/>
    <mergeCell ref="N761:N762"/>
    <mergeCell ref="O761:O762"/>
    <mergeCell ref="I765:J765"/>
    <mergeCell ref="L767:M767"/>
    <mergeCell ref="I771:J771"/>
    <mergeCell ref="K771:K772"/>
    <mergeCell ref="M771:M772"/>
    <mergeCell ref="N771:N772"/>
    <mergeCell ref="O771:O772"/>
    <mergeCell ref="I735:J735"/>
    <mergeCell ref="K735:K736"/>
    <mergeCell ref="M735:M736"/>
    <mergeCell ref="N735:N736"/>
    <mergeCell ref="O735:O736"/>
    <mergeCell ref="I739:J739"/>
    <mergeCell ref="L741:M741"/>
    <mergeCell ref="I745:J745"/>
    <mergeCell ref="K745:K746"/>
    <mergeCell ref="M745:M746"/>
    <mergeCell ref="N745:N746"/>
    <mergeCell ref="O745:O746"/>
    <mergeCell ref="I748:J748"/>
    <mergeCell ref="K748:K749"/>
    <mergeCell ref="M748:M749"/>
    <mergeCell ref="N748:N749"/>
    <mergeCell ref="O748:O749"/>
    <mergeCell ref="I713:J713"/>
    <mergeCell ref="L715:M715"/>
    <mergeCell ref="I719:J719"/>
    <mergeCell ref="K719:K720"/>
    <mergeCell ref="M719:M720"/>
    <mergeCell ref="N719:N720"/>
    <mergeCell ref="O719:O720"/>
    <mergeCell ref="I722:J722"/>
    <mergeCell ref="K722:K723"/>
    <mergeCell ref="M722:M723"/>
    <mergeCell ref="N722:N723"/>
    <mergeCell ref="O722:O723"/>
    <mergeCell ref="I726:J726"/>
    <mergeCell ref="L728:M728"/>
    <mergeCell ref="I732:J732"/>
    <mergeCell ref="K732:K733"/>
    <mergeCell ref="M732:M733"/>
    <mergeCell ref="N732:N733"/>
    <mergeCell ref="O732:O733"/>
    <mergeCell ref="I696:J696"/>
    <mergeCell ref="K696:K697"/>
    <mergeCell ref="M696:M697"/>
    <mergeCell ref="N696:N697"/>
    <mergeCell ref="O696:O697"/>
    <mergeCell ref="I700:J700"/>
    <mergeCell ref="L702:M702"/>
    <mergeCell ref="I706:J706"/>
    <mergeCell ref="K706:K707"/>
    <mergeCell ref="M706:M707"/>
    <mergeCell ref="N706:N707"/>
    <mergeCell ref="O706:O707"/>
    <mergeCell ref="I709:J709"/>
    <mergeCell ref="K709:K710"/>
    <mergeCell ref="M709:M710"/>
    <mergeCell ref="N709:N710"/>
    <mergeCell ref="O709:O710"/>
    <mergeCell ref="I674:J674"/>
    <mergeCell ref="L676:M676"/>
    <mergeCell ref="I680:J680"/>
    <mergeCell ref="K680:K681"/>
    <mergeCell ref="M680:M681"/>
    <mergeCell ref="N680:N681"/>
    <mergeCell ref="O680:O681"/>
    <mergeCell ref="I683:J683"/>
    <mergeCell ref="K683:K684"/>
    <mergeCell ref="M683:M684"/>
    <mergeCell ref="N683:N684"/>
    <mergeCell ref="O683:O684"/>
    <mergeCell ref="I687:J687"/>
    <mergeCell ref="L689:M689"/>
    <mergeCell ref="I693:J693"/>
    <mergeCell ref="K693:K694"/>
    <mergeCell ref="M693:M694"/>
    <mergeCell ref="N693:N694"/>
    <mergeCell ref="O693:O694"/>
    <mergeCell ref="I657:J657"/>
    <mergeCell ref="K657:K658"/>
    <mergeCell ref="M657:M658"/>
    <mergeCell ref="N657:N658"/>
    <mergeCell ref="O657:O658"/>
    <mergeCell ref="I661:J661"/>
    <mergeCell ref="L663:M663"/>
    <mergeCell ref="I667:J667"/>
    <mergeCell ref="K667:K668"/>
    <mergeCell ref="M667:M668"/>
    <mergeCell ref="N667:N668"/>
    <mergeCell ref="O667:O668"/>
    <mergeCell ref="I670:J670"/>
    <mergeCell ref="K670:K671"/>
    <mergeCell ref="M670:M671"/>
    <mergeCell ref="N670:N671"/>
    <mergeCell ref="O670:O671"/>
    <mergeCell ref="I488:J488"/>
    <mergeCell ref="K488:K489"/>
    <mergeCell ref="M488:M489"/>
    <mergeCell ref="N488:N489"/>
    <mergeCell ref="O488:O489"/>
    <mergeCell ref="I648:J648"/>
    <mergeCell ref="L650:M650"/>
    <mergeCell ref="I654:J654"/>
    <mergeCell ref="K654:K655"/>
    <mergeCell ref="M654:M655"/>
    <mergeCell ref="N654:N655"/>
    <mergeCell ref="O654:O655"/>
    <mergeCell ref="I492:J492"/>
    <mergeCell ref="L494:M494"/>
    <mergeCell ref="I498:J498"/>
    <mergeCell ref="K498:K499"/>
    <mergeCell ref="M498:M499"/>
    <mergeCell ref="N498:N499"/>
    <mergeCell ref="O498:O499"/>
    <mergeCell ref="I501:J501"/>
    <mergeCell ref="K501:K502"/>
    <mergeCell ref="M501:M502"/>
    <mergeCell ref="N501:N502"/>
    <mergeCell ref="O501:O502"/>
    <mergeCell ref="I518:J518"/>
    <mergeCell ref="L520:M520"/>
    <mergeCell ref="I524:J524"/>
    <mergeCell ref="K524:K525"/>
    <mergeCell ref="M524:M525"/>
    <mergeCell ref="N524:N525"/>
    <mergeCell ref="O524:O525"/>
    <mergeCell ref="I527:J527"/>
    <mergeCell ref="I466:J466"/>
    <mergeCell ref="L468:M468"/>
    <mergeCell ref="I472:J472"/>
    <mergeCell ref="K472:K473"/>
    <mergeCell ref="M472:M473"/>
    <mergeCell ref="N472:N473"/>
    <mergeCell ref="O472:O473"/>
    <mergeCell ref="I475:J475"/>
    <mergeCell ref="K475:K476"/>
    <mergeCell ref="M475:M476"/>
    <mergeCell ref="N475:N476"/>
    <mergeCell ref="O475:O476"/>
    <mergeCell ref="I479:J479"/>
    <mergeCell ref="L481:M481"/>
    <mergeCell ref="I485:J485"/>
    <mergeCell ref="K485:K486"/>
    <mergeCell ref="M485:M486"/>
    <mergeCell ref="N485:N486"/>
    <mergeCell ref="O485:O486"/>
    <mergeCell ref="I449:J449"/>
    <mergeCell ref="K449:K450"/>
    <mergeCell ref="M449:M450"/>
    <mergeCell ref="N449:N450"/>
    <mergeCell ref="O449:O450"/>
    <mergeCell ref="I453:J453"/>
    <mergeCell ref="L455:M455"/>
    <mergeCell ref="I459:J459"/>
    <mergeCell ref="K459:K460"/>
    <mergeCell ref="M459:M460"/>
    <mergeCell ref="N459:N460"/>
    <mergeCell ref="O459:O460"/>
    <mergeCell ref="I462:J462"/>
    <mergeCell ref="K462:K463"/>
    <mergeCell ref="M462:M463"/>
    <mergeCell ref="N462:N463"/>
    <mergeCell ref="O462:O463"/>
    <mergeCell ref="I427:J427"/>
    <mergeCell ref="L429:M429"/>
    <mergeCell ref="I433:J433"/>
    <mergeCell ref="K433:K434"/>
    <mergeCell ref="M433:M434"/>
    <mergeCell ref="N433:N434"/>
    <mergeCell ref="O433:O434"/>
    <mergeCell ref="I436:J436"/>
    <mergeCell ref="K436:K437"/>
    <mergeCell ref="M436:M437"/>
    <mergeCell ref="N436:N437"/>
    <mergeCell ref="O436:O437"/>
    <mergeCell ref="I440:J440"/>
    <mergeCell ref="I423:J423"/>
    <mergeCell ref="L442:M442"/>
    <mergeCell ref="I446:J446"/>
    <mergeCell ref="K446:K447"/>
    <mergeCell ref="M446:M447"/>
    <mergeCell ref="N446:N447"/>
    <mergeCell ref="O446:O447"/>
    <mergeCell ref="K202:K203"/>
    <mergeCell ref="M202:M203"/>
    <mergeCell ref="N202:N203"/>
    <mergeCell ref="O202:O203"/>
    <mergeCell ref="I232:J232"/>
    <mergeCell ref="L234:M234"/>
    <mergeCell ref="I238:J238"/>
    <mergeCell ref="K238:K239"/>
    <mergeCell ref="M238:M239"/>
    <mergeCell ref="N238:N239"/>
    <mergeCell ref="O238:O239"/>
    <mergeCell ref="I241:J241"/>
    <mergeCell ref="K241:K242"/>
    <mergeCell ref="M241:M242"/>
    <mergeCell ref="N241:N242"/>
    <mergeCell ref="K423:K424"/>
    <mergeCell ref="M423:M424"/>
    <mergeCell ref="N423:N424"/>
    <mergeCell ref="O423:O424"/>
    <mergeCell ref="O241:O242"/>
    <mergeCell ref="I219:J219"/>
    <mergeCell ref="L221:M221"/>
    <mergeCell ref="I225:J225"/>
    <mergeCell ref="K225:K226"/>
    <mergeCell ref="M225:M226"/>
    <mergeCell ref="N225:N226"/>
    <mergeCell ref="O225:O226"/>
    <mergeCell ref="I228:J228"/>
    <mergeCell ref="K228:K229"/>
    <mergeCell ref="M228:M229"/>
    <mergeCell ref="N228:N229"/>
    <mergeCell ref="O228:O229"/>
    <mergeCell ref="I176:J176"/>
    <mergeCell ref="K176:K177"/>
    <mergeCell ref="M176:M177"/>
    <mergeCell ref="N176:N177"/>
    <mergeCell ref="O176:O177"/>
    <mergeCell ref="I180:J180"/>
    <mergeCell ref="L182:M182"/>
    <mergeCell ref="I186:J186"/>
    <mergeCell ref="K186:K187"/>
    <mergeCell ref="M186:M187"/>
    <mergeCell ref="N186:N187"/>
    <mergeCell ref="O186:O187"/>
    <mergeCell ref="I189:J189"/>
    <mergeCell ref="K189:K190"/>
    <mergeCell ref="M189:M190"/>
    <mergeCell ref="N189:N190"/>
    <mergeCell ref="O189:O190"/>
    <mergeCell ref="I154:J154"/>
    <mergeCell ref="L156:M156"/>
    <mergeCell ref="I160:J160"/>
    <mergeCell ref="K160:K161"/>
    <mergeCell ref="M160:M161"/>
    <mergeCell ref="N160:N161"/>
    <mergeCell ref="O160:O161"/>
    <mergeCell ref="I163:J163"/>
    <mergeCell ref="K163:K164"/>
    <mergeCell ref="M163:M164"/>
    <mergeCell ref="N163:N164"/>
    <mergeCell ref="O163:O164"/>
    <mergeCell ref="I167:J167"/>
    <mergeCell ref="L169:M169"/>
    <mergeCell ref="I173:J173"/>
    <mergeCell ref="K173:K174"/>
    <mergeCell ref="M173:M174"/>
    <mergeCell ref="N173:N174"/>
    <mergeCell ref="O173:O174"/>
    <mergeCell ref="I33:J33"/>
    <mergeCell ref="K33:K34"/>
    <mergeCell ref="M33:M34"/>
    <mergeCell ref="N33:N34"/>
    <mergeCell ref="O33:O34"/>
    <mergeCell ref="I37:J37"/>
    <mergeCell ref="L39:M39"/>
    <mergeCell ref="I43:J43"/>
    <mergeCell ref="K43:K44"/>
    <mergeCell ref="M43:M44"/>
    <mergeCell ref="N43:N44"/>
    <mergeCell ref="O43:O44"/>
    <mergeCell ref="I46:J46"/>
    <mergeCell ref="K46:K47"/>
    <mergeCell ref="M46:M47"/>
    <mergeCell ref="N46:N47"/>
    <mergeCell ref="O46:O47"/>
    <mergeCell ref="K17:K18"/>
    <mergeCell ref="K20:K21"/>
    <mergeCell ref="M17:M18"/>
    <mergeCell ref="I11:J11"/>
    <mergeCell ref="L13:M13"/>
    <mergeCell ref="I17:J17"/>
    <mergeCell ref="I20:J20"/>
    <mergeCell ref="N17:N18"/>
    <mergeCell ref="O17:O18"/>
    <mergeCell ref="O20:O21"/>
    <mergeCell ref="N20:N21"/>
    <mergeCell ref="M20:M21"/>
    <mergeCell ref="I24:J24"/>
    <mergeCell ref="L26:M26"/>
    <mergeCell ref="I30:J30"/>
    <mergeCell ref="K30:K31"/>
    <mergeCell ref="M30:M31"/>
    <mergeCell ref="N30:N31"/>
    <mergeCell ref="O30:O31"/>
    <mergeCell ref="I76:J76"/>
    <mergeCell ref="L78:M78"/>
    <mergeCell ref="I82:J82"/>
    <mergeCell ref="K82:K83"/>
    <mergeCell ref="M82:M83"/>
    <mergeCell ref="N56:N57"/>
    <mergeCell ref="O56:O57"/>
    <mergeCell ref="I59:J59"/>
    <mergeCell ref="K59:K60"/>
    <mergeCell ref="M59:M60"/>
    <mergeCell ref="N59:N60"/>
    <mergeCell ref="O59:O60"/>
    <mergeCell ref="I50:J50"/>
    <mergeCell ref="L52:M52"/>
    <mergeCell ref="I56:J56"/>
    <mergeCell ref="K56:K57"/>
    <mergeCell ref="M56:M57"/>
    <mergeCell ref="I63:J63"/>
    <mergeCell ref="L65:M65"/>
    <mergeCell ref="I69:J69"/>
    <mergeCell ref="K69:K70"/>
    <mergeCell ref="M69:M70"/>
    <mergeCell ref="N69:N70"/>
    <mergeCell ref="O69:O70"/>
    <mergeCell ref="I72:J72"/>
    <mergeCell ref="K72:K73"/>
    <mergeCell ref="M72:M73"/>
    <mergeCell ref="N72:N73"/>
    <mergeCell ref="O72:O73"/>
    <mergeCell ref="N95:N96"/>
    <mergeCell ref="O95:O96"/>
    <mergeCell ref="I98:J98"/>
    <mergeCell ref="K98:K99"/>
    <mergeCell ref="M98:M99"/>
    <mergeCell ref="N98:N99"/>
    <mergeCell ref="O98:O99"/>
    <mergeCell ref="I89:J89"/>
    <mergeCell ref="L91:M91"/>
    <mergeCell ref="I95:J95"/>
    <mergeCell ref="K95:K96"/>
    <mergeCell ref="M95:M96"/>
    <mergeCell ref="N82:N83"/>
    <mergeCell ref="O82:O83"/>
    <mergeCell ref="I85:J85"/>
    <mergeCell ref="K85:K86"/>
    <mergeCell ref="M85:M86"/>
    <mergeCell ref="N85:N86"/>
    <mergeCell ref="O85:O86"/>
    <mergeCell ref="I115:J115"/>
    <mergeCell ref="L117:M117"/>
    <mergeCell ref="I121:J121"/>
    <mergeCell ref="K121:K122"/>
    <mergeCell ref="M121:M122"/>
    <mergeCell ref="N108:N109"/>
    <mergeCell ref="O108:O109"/>
    <mergeCell ref="I111:J111"/>
    <mergeCell ref="K111:K112"/>
    <mergeCell ref="M111:M112"/>
    <mergeCell ref="N111:N112"/>
    <mergeCell ref="O111:O112"/>
    <mergeCell ref="I102:J102"/>
    <mergeCell ref="L104:M104"/>
    <mergeCell ref="I108:J108"/>
    <mergeCell ref="K108:K109"/>
    <mergeCell ref="M108:M109"/>
    <mergeCell ref="N134:N135"/>
    <mergeCell ref="O134:O135"/>
    <mergeCell ref="I137:J137"/>
    <mergeCell ref="K137:K138"/>
    <mergeCell ref="M137:M138"/>
    <mergeCell ref="N137:N138"/>
    <mergeCell ref="O137:O138"/>
    <mergeCell ref="I128:J128"/>
    <mergeCell ref="L130:M130"/>
    <mergeCell ref="I134:J134"/>
    <mergeCell ref="K134:K135"/>
    <mergeCell ref="M134:M135"/>
    <mergeCell ref="N121:N122"/>
    <mergeCell ref="O121:O122"/>
    <mergeCell ref="I124:J124"/>
    <mergeCell ref="K124:K125"/>
    <mergeCell ref="M124:M125"/>
    <mergeCell ref="N124:N125"/>
    <mergeCell ref="O124:O125"/>
    <mergeCell ref="I141:J141"/>
    <mergeCell ref="L143:M143"/>
    <mergeCell ref="I147:J147"/>
    <mergeCell ref="K147:K148"/>
    <mergeCell ref="M147:M148"/>
    <mergeCell ref="N147:N148"/>
    <mergeCell ref="O147:O148"/>
    <mergeCell ref="I150:J150"/>
    <mergeCell ref="K150:K151"/>
    <mergeCell ref="I206:J206"/>
    <mergeCell ref="L208:M208"/>
    <mergeCell ref="I212:J212"/>
    <mergeCell ref="K212:K213"/>
    <mergeCell ref="M212:M213"/>
    <mergeCell ref="N212:N213"/>
    <mergeCell ref="O212:O213"/>
    <mergeCell ref="I215:J215"/>
    <mergeCell ref="K215:K216"/>
    <mergeCell ref="M215:M216"/>
    <mergeCell ref="N215:N216"/>
    <mergeCell ref="O215:O216"/>
    <mergeCell ref="I193:J193"/>
    <mergeCell ref="L195:M195"/>
    <mergeCell ref="I199:J199"/>
    <mergeCell ref="K199:K200"/>
    <mergeCell ref="M199:M200"/>
    <mergeCell ref="N199:N200"/>
    <mergeCell ref="O199:O200"/>
    <mergeCell ref="I202:J202"/>
    <mergeCell ref="M150:M151"/>
    <mergeCell ref="N150:N151"/>
    <mergeCell ref="O150:O151"/>
    <mergeCell ref="I258:J258"/>
    <mergeCell ref="L260:M260"/>
    <mergeCell ref="I264:J264"/>
    <mergeCell ref="K264:K265"/>
    <mergeCell ref="M264:M265"/>
    <mergeCell ref="N264:N265"/>
    <mergeCell ref="O264:O265"/>
    <mergeCell ref="I267:J267"/>
    <mergeCell ref="K267:K268"/>
    <mergeCell ref="M267:M268"/>
    <mergeCell ref="N267:N268"/>
    <mergeCell ref="O267:O268"/>
    <mergeCell ref="I245:J245"/>
    <mergeCell ref="L247:M247"/>
    <mergeCell ref="I251:J251"/>
    <mergeCell ref="K251:K252"/>
    <mergeCell ref="M251:M252"/>
    <mergeCell ref="N251:N252"/>
    <mergeCell ref="O251:O252"/>
    <mergeCell ref="I254:J254"/>
    <mergeCell ref="K254:K255"/>
    <mergeCell ref="M254:M255"/>
    <mergeCell ref="N254:N255"/>
    <mergeCell ref="O254:O255"/>
    <mergeCell ref="I284:J284"/>
    <mergeCell ref="L286:M286"/>
    <mergeCell ref="I290:J290"/>
    <mergeCell ref="K290:K291"/>
    <mergeCell ref="M290:M291"/>
    <mergeCell ref="N290:N291"/>
    <mergeCell ref="O290:O291"/>
    <mergeCell ref="I293:J293"/>
    <mergeCell ref="K293:K294"/>
    <mergeCell ref="M293:M294"/>
    <mergeCell ref="N293:N294"/>
    <mergeCell ref="O293:O294"/>
    <mergeCell ref="I271:J271"/>
    <mergeCell ref="L273:M273"/>
    <mergeCell ref="I277:J277"/>
    <mergeCell ref="K277:K278"/>
    <mergeCell ref="M277:M278"/>
    <mergeCell ref="N277:N278"/>
    <mergeCell ref="O277:O278"/>
    <mergeCell ref="I280:J280"/>
    <mergeCell ref="K280:K281"/>
    <mergeCell ref="M280:M281"/>
    <mergeCell ref="N280:N281"/>
    <mergeCell ref="O280:O281"/>
    <mergeCell ref="I310:J310"/>
    <mergeCell ref="L312:M312"/>
    <mergeCell ref="I316:J316"/>
    <mergeCell ref="K316:K317"/>
    <mergeCell ref="M316:M317"/>
    <mergeCell ref="N316:N317"/>
    <mergeCell ref="O316:O317"/>
    <mergeCell ref="I319:J319"/>
    <mergeCell ref="K319:K320"/>
    <mergeCell ref="M319:M320"/>
    <mergeCell ref="N319:N320"/>
    <mergeCell ref="O319:O320"/>
    <mergeCell ref="I297:J297"/>
    <mergeCell ref="L299:M299"/>
    <mergeCell ref="I303:J303"/>
    <mergeCell ref="K303:K304"/>
    <mergeCell ref="M303:M304"/>
    <mergeCell ref="N303:N304"/>
    <mergeCell ref="O303:O304"/>
    <mergeCell ref="I306:J306"/>
    <mergeCell ref="K306:K307"/>
    <mergeCell ref="M306:M307"/>
    <mergeCell ref="N306:N307"/>
    <mergeCell ref="O306:O307"/>
    <mergeCell ref="I336:J336"/>
    <mergeCell ref="L338:M338"/>
    <mergeCell ref="I342:J342"/>
    <mergeCell ref="K342:K343"/>
    <mergeCell ref="M342:M343"/>
    <mergeCell ref="N342:N343"/>
    <mergeCell ref="O342:O343"/>
    <mergeCell ref="I345:J345"/>
    <mergeCell ref="K345:K346"/>
    <mergeCell ref="M345:M346"/>
    <mergeCell ref="N345:N346"/>
    <mergeCell ref="O345:O346"/>
    <mergeCell ref="I323:J323"/>
    <mergeCell ref="L325:M325"/>
    <mergeCell ref="I329:J329"/>
    <mergeCell ref="K329:K330"/>
    <mergeCell ref="M329:M330"/>
    <mergeCell ref="N329:N330"/>
    <mergeCell ref="O329:O330"/>
    <mergeCell ref="I332:J332"/>
    <mergeCell ref="K332:K333"/>
    <mergeCell ref="M332:M333"/>
    <mergeCell ref="N332:N333"/>
    <mergeCell ref="O332:O333"/>
    <mergeCell ref="I375:J375"/>
    <mergeCell ref="L377:M377"/>
    <mergeCell ref="I381:J381"/>
    <mergeCell ref="K381:K382"/>
    <mergeCell ref="M381:M382"/>
    <mergeCell ref="N381:N382"/>
    <mergeCell ref="O381:O382"/>
    <mergeCell ref="I384:J384"/>
    <mergeCell ref="K384:K385"/>
    <mergeCell ref="M384:M385"/>
    <mergeCell ref="N384:N385"/>
    <mergeCell ref="O384:O385"/>
    <mergeCell ref="I362:J362"/>
    <mergeCell ref="L364:M364"/>
    <mergeCell ref="I368:J368"/>
    <mergeCell ref="K368:K369"/>
    <mergeCell ref="M368:M369"/>
    <mergeCell ref="N368:N369"/>
    <mergeCell ref="O368:O369"/>
    <mergeCell ref="I371:J371"/>
    <mergeCell ref="K371:K372"/>
    <mergeCell ref="M371:M372"/>
    <mergeCell ref="N371:N372"/>
    <mergeCell ref="O371:O372"/>
    <mergeCell ref="I388:J388"/>
    <mergeCell ref="L390:M390"/>
    <mergeCell ref="I394:J394"/>
    <mergeCell ref="K394:K395"/>
    <mergeCell ref="M394:M395"/>
    <mergeCell ref="N394:N395"/>
    <mergeCell ref="O394:O395"/>
    <mergeCell ref="I397:J397"/>
    <mergeCell ref="K397:K398"/>
    <mergeCell ref="M397:M398"/>
    <mergeCell ref="N397:N398"/>
    <mergeCell ref="O397:O398"/>
    <mergeCell ref="I414:J414"/>
    <mergeCell ref="L416:M416"/>
    <mergeCell ref="I420:J420"/>
    <mergeCell ref="K420:K421"/>
    <mergeCell ref="M420:M421"/>
    <mergeCell ref="N420:N421"/>
    <mergeCell ref="O420:O421"/>
    <mergeCell ref="I401:J401"/>
    <mergeCell ref="L403:M403"/>
    <mergeCell ref="I407:J407"/>
    <mergeCell ref="K407:K408"/>
    <mergeCell ref="M407:M408"/>
    <mergeCell ref="N407:N408"/>
    <mergeCell ref="O407:O408"/>
    <mergeCell ref="I410:J410"/>
    <mergeCell ref="K410:K411"/>
    <mergeCell ref="M410:M411"/>
    <mergeCell ref="N410:N411"/>
    <mergeCell ref="O410:O411"/>
    <mergeCell ref="K527:K528"/>
    <mergeCell ref="M527:M528"/>
    <mergeCell ref="N527:N528"/>
    <mergeCell ref="O527:O528"/>
    <mergeCell ref="I505:J505"/>
    <mergeCell ref="L507:M507"/>
    <mergeCell ref="I511:J511"/>
    <mergeCell ref="K511:K512"/>
    <mergeCell ref="M511:M512"/>
    <mergeCell ref="N511:N512"/>
    <mergeCell ref="O511:O512"/>
    <mergeCell ref="I514:J514"/>
    <mergeCell ref="K514:K515"/>
    <mergeCell ref="M514:M515"/>
    <mergeCell ref="N514:N515"/>
    <mergeCell ref="O514:O515"/>
    <mergeCell ref="L546:M546"/>
    <mergeCell ref="I550:J550"/>
    <mergeCell ref="K550:K551"/>
    <mergeCell ref="M550:M551"/>
    <mergeCell ref="N550:N551"/>
    <mergeCell ref="O550:O551"/>
    <mergeCell ref="I553:J553"/>
    <mergeCell ref="K553:K554"/>
    <mergeCell ref="M553:M554"/>
    <mergeCell ref="N553:N554"/>
    <mergeCell ref="O553:O554"/>
    <mergeCell ref="I531:J531"/>
    <mergeCell ref="L533:M533"/>
    <mergeCell ref="I537:J537"/>
    <mergeCell ref="K537:K538"/>
    <mergeCell ref="M537:M538"/>
    <mergeCell ref="N537:N538"/>
    <mergeCell ref="O537:O538"/>
    <mergeCell ref="I540:J540"/>
    <mergeCell ref="K540:K541"/>
    <mergeCell ref="M540:M541"/>
    <mergeCell ref="N540:N541"/>
    <mergeCell ref="O540:O541"/>
    <mergeCell ref="I592:J592"/>
    <mergeCell ref="K592:K593"/>
    <mergeCell ref="M592:M593"/>
    <mergeCell ref="N592:N593"/>
    <mergeCell ref="O592:O593"/>
    <mergeCell ref="I570:J570"/>
    <mergeCell ref="L572:M572"/>
    <mergeCell ref="I576:J576"/>
    <mergeCell ref="K576:K577"/>
    <mergeCell ref="M576:M577"/>
    <mergeCell ref="N576:N577"/>
    <mergeCell ref="O576:O577"/>
    <mergeCell ref="I579:J579"/>
    <mergeCell ref="K579:K580"/>
    <mergeCell ref="M579:M580"/>
    <mergeCell ref="N579:N580"/>
    <mergeCell ref="O579:O580"/>
    <mergeCell ref="I349:J349"/>
    <mergeCell ref="L351:M351"/>
    <mergeCell ref="I355:J355"/>
    <mergeCell ref="K355:K356"/>
    <mergeCell ref="M355:M356"/>
    <mergeCell ref="N355:N356"/>
    <mergeCell ref="O355:O356"/>
    <mergeCell ref="I358:J358"/>
    <mergeCell ref="K358:K359"/>
    <mergeCell ref="M358:M359"/>
    <mergeCell ref="N358:N359"/>
    <mergeCell ref="O358:O359"/>
    <mergeCell ref="I583:J583"/>
    <mergeCell ref="L585:M585"/>
    <mergeCell ref="I589:J589"/>
    <mergeCell ref="K589:K590"/>
    <mergeCell ref="M589:M590"/>
    <mergeCell ref="N589:N590"/>
    <mergeCell ref="O589:O590"/>
    <mergeCell ref="I557:J557"/>
    <mergeCell ref="L559:M559"/>
    <mergeCell ref="I563:J563"/>
    <mergeCell ref="K563:K564"/>
    <mergeCell ref="M563:M564"/>
    <mergeCell ref="N563:N564"/>
    <mergeCell ref="O563:O564"/>
    <mergeCell ref="I566:J566"/>
    <mergeCell ref="K566:K567"/>
    <mergeCell ref="M566:M567"/>
    <mergeCell ref="N566:N567"/>
    <mergeCell ref="O566:O567"/>
    <mergeCell ref="I544:J544"/>
    <mergeCell ref="I609:J609"/>
    <mergeCell ref="L611:M611"/>
    <mergeCell ref="I615:J615"/>
    <mergeCell ref="K615:K616"/>
    <mergeCell ref="M615:M616"/>
    <mergeCell ref="N615:N616"/>
    <mergeCell ref="O615:O616"/>
    <mergeCell ref="I618:J618"/>
    <mergeCell ref="K618:K619"/>
    <mergeCell ref="M618:M619"/>
    <mergeCell ref="N618:N619"/>
    <mergeCell ref="O618:O619"/>
    <mergeCell ref="I596:J596"/>
    <mergeCell ref="L598:M598"/>
    <mergeCell ref="I602:J602"/>
    <mergeCell ref="K602:K603"/>
    <mergeCell ref="M602:M603"/>
    <mergeCell ref="N602:N603"/>
    <mergeCell ref="O602:O603"/>
    <mergeCell ref="I605:J605"/>
    <mergeCell ref="K605:K606"/>
    <mergeCell ref="M605:M606"/>
    <mergeCell ref="N605:N606"/>
    <mergeCell ref="O605:O606"/>
    <mergeCell ref="I635:J635"/>
    <mergeCell ref="L637:M637"/>
    <mergeCell ref="I641:J641"/>
    <mergeCell ref="K641:K642"/>
    <mergeCell ref="M641:M642"/>
    <mergeCell ref="N641:N642"/>
    <mergeCell ref="O641:O642"/>
    <mergeCell ref="I644:J644"/>
    <mergeCell ref="K644:K645"/>
    <mergeCell ref="M644:M645"/>
    <mergeCell ref="N644:N645"/>
    <mergeCell ref="O644:O645"/>
    <mergeCell ref="I622:J622"/>
    <mergeCell ref="L624:M624"/>
    <mergeCell ref="I628:J628"/>
    <mergeCell ref="K628:K629"/>
    <mergeCell ref="M628:M629"/>
    <mergeCell ref="N628:N629"/>
    <mergeCell ref="O628:O629"/>
    <mergeCell ref="I631:J631"/>
    <mergeCell ref="K631:K632"/>
    <mergeCell ref="M631:M632"/>
    <mergeCell ref="N631:N632"/>
    <mergeCell ref="O631:O632"/>
    <mergeCell ref="I843:J843"/>
    <mergeCell ref="L845:M845"/>
    <mergeCell ref="I849:J849"/>
    <mergeCell ref="K849:K850"/>
    <mergeCell ref="M849:M850"/>
    <mergeCell ref="N849:N850"/>
    <mergeCell ref="O849:O850"/>
    <mergeCell ref="I852:J852"/>
    <mergeCell ref="K852:K853"/>
    <mergeCell ref="M852:M853"/>
    <mergeCell ref="N852:N853"/>
    <mergeCell ref="O852:O853"/>
    <mergeCell ref="I830:J830"/>
    <mergeCell ref="L832:M832"/>
    <mergeCell ref="I836:J836"/>
    <mergeCell ref="K836:K837"/>
    <mergeCell ref="M836:M837"/>
    <mergeCell ref="N836:N837"/>
    <mergeCell ref="O836:O837"/>
    <mergeCell ref="I839:J839"/>
    <mergeCell ref="K839:K840"/>
    <mergeCell ref="M839:M840"/>
    <mergeCell ref="N839:N840"/>
    <mergeCell ref="O839:O840"/>
    <mergeCell ref="I869:J869"/>
    <mergeCell ref="L871:M871"/>
    <mergeCell ref="I875:J875"/>
    <mergeCell ref="K875:K876"/>
    <mergeCell ref="M875:M876"/>
    <mergeCell ref="N875:N876"/>
    <mergeCell ref="O875:O876"/>
    <mergeCell ref="I878:J878"/>
    <mergeCell ref="K878:K879"/>
    <mergeCell ref="M878:M879"/>
    <mergeCell ref="N878:N879"/>
    <mergeCell ref="O878:O879"/>
    <mergeCell ref="I856:J856"/>
    <mergeCell ref="L858:M858"/>
    <mergeCell ref="I862:J862"/>
    <mergeCell ref="K862:K863"/>
    <mergeCell ref="M862:M863"/>
    <mergeCell ref="N862:N863"/>
    <mergeCell ref="O862:O863"/>
    <mergeCell ref="I865:J865"/>
    <mergeCell ref="K865:K866"/>
    <mergeCell ref="M865:M866"/>
    <mergeCell ref="N865:N866"/>
    <mergeCell ref="O865:O866"/>
    <mergeCell ref="I895:J895"/>
    <mergeCell ref="L897:M897"/>
    <mergeCell ref="I901:J901"/>
    <mergeCell ref="K901:K902"/>
    <mergeCell ref="M901:M902"/>
    <mergeCell ref="N901:N902"/>
    <mergeCell ref="O901:O902"/>
    <mergeCell ref="I904:J904"/>
    <mergeCell ref="K904:K905"/>
    <mergeCell ref="M904:M905"/>
    <mergeCell ref="N904:N905"/>
    <mergeCell ref="O904:O905"/>
    <mergeCell ref="I882:J882"/>
    <mergeCell ref="L884:M884"/>
    <mergeCell ref="I888:J888"/>
    <mergeCell ref="K888:K889"/>
    <mergeCell ref="M888:M889"/>
    <mergeCell ref="N888:N889"/>
    <mergeCell ref="O888:O889"/>
    <mergeCell ref="I891:J891"/>
    <mergeCell ref="K891:K892"/>
    <mergeCell ref="M891:M892"/>
    <mergeCell ref="N891:N892"/>
    <mergeCell ref="O891:O892"/>
    <mergeCell ref="I921:J921"/>
    <mergeCell ref="L923:M923"/>
    <mergeCell ref="I927:J927"/>
    <mergeCell ref="K927:K928"/>
    <mergeCell ref="M927:M928"/>
    <mergeCell ref="N927:N928"/>
    <mergeCell ref="O927:O928"/>
    <mergeCell ref="I930:J930"/>
    <mergeCell ref="K930:K931"/>
    <mergeCell ref="M930:M931"/>
    <mergeCell ref="N930:N931"/>
    <mergeCell ref="O930:O931"/>
    <mergeCell ref="I908:J908"/>
    <mergeCell ref="L910:M910"/>
    <mergeCell ref="I914:J914"/>
    <mergeCell ref="K914:K915"/>
    <mergeCell ref="M914:M915"/>
    <mergeCell ref="N914:N915"/>
    <mergeCell ref="O914:O915"/>
    <mergeCell ref="I917:J917"/>
    <mergeCell ref="K917:K918"/>
    <mergeCell ref="M917:M918"/>
    <mergeCell ref="N917:N918"/>
    <mergeCell ref="O917:O918"/>
    <mergeCell ref="I947:J947"/>
    <mergeCell ref="L949:M949"/>
    <mergeCell ref="I953:J953"/>
    <mergeCell ref="K953:K954"/>
    <mergeCell ref="M953:M954"/>
    <mergeCell ref="N953:N954"/>
    <mergeCell ref="O953:O954"/>
    <mergeCell ref="I956:J956"/>
    <mergeCell ref="K956:K957"/>
    <mergeCell ref="M956:M957"/>
    <mergeCell ref="N956:N957"/>
    <mergeCell ref="O956:O957"/>
    <mergeCell ref="I934:J934"/>
    <mergeCell ref="L936:M936"/>
    <mergeCell ref="I940:J940"/>
    <mergeCell ref="K940:K941"/>
    <mergeCell ref="M940:M941"/>
    <mergeCell ref="N940:N941"/>
    <mergeCell ref="O940:O941"/>
    <mergeCell ref="I943:J943"/>
    <mergeCell ref="K943:K944"/>
    <mergeCell ref="M943:M944"/>
    <mergeCell ref="N943:N944"/>
    <mergeCell ref="O943:O944"/>
    <mergeCell ref="I973:J973"/>
    <mergeCell ref="L975:M975"/>
    <mergeCell ref="I979:J979"/>
    <mergeCell ref="K979:K980"/>
    <mergeCell ref="M979:M980"/>
    <mergeCell ref="N979:N980"/>
    <mergeCell ref="O979:O980"/>
    <mergeCell ref="I982:J982"/>
    <mergeCell ref="K982:K983"/>
    <mergeCell ref="M982:M983"/>
    <mergeCell ref="N982:N983"/>
    <mergeCell ref="O982:O983"/>
    <mergeCell ref="I960:J960"/>
    <mergeCell ref="L962:M962"/>
    <mergeCell ref="I966:J966"/>
    <mergeCell ref="K966:K967"/>
    <mergeCell ref="M966:M967"/>
    <mergeCell ref="N966:N967"/>
    <mergeCell ref="O966:O967"/>
    <mergeCell ref="I969:J969"/>
    <mergeCell ref="K969:K970"/>
    <mergeCell ref="M969:M970"/>
    <mergeCell ref="N969:N970"/>
    <mergeCell ref="O969:O970"/>
    <mergeCell ref="I999:J999"/>
    <mergeCell ref="L1001:M1001"/>
    <mergeCell ref="I1005:J1005"/>
    <mergeCell ref="K1005:K1006"/>
    <mergeCell ref="M1005:M1006"/>
    <mergeCell ref="N1005:N1006"/>
    <mergeCell ref="O1005:O1006"/>
    <mergeCell ref="I1008:J1008"/>
    <mergeCell ref="K1008:K1009"/>
    <mergeCell ref="M1008:M1009"/>
    <mergeCell ref="N1008:N1009"/>
    <mergeCell ref="O1008:O1009"/>
    <mergeCell ref="I986:J986"/>
    <mergeCell ref="L988:M988"/>
    <mergeCell ref="I992:J992"/>
    <mergeCell ref="K992:K993"/>
    <mergeCell ref="M992:M993"/>
    <mergeCell ref="N992:N993"/>
    <mergeCell ref="O992:O993"/>
    <mergeCell ref="I995:J995"/>
    <mergeCell ref="K995:K996"/>
    <mergeCell ref="M995:M996"/>
    <mergeCell ref="N995:N996"/>
    <mergeCell ref="O995:O996"/>
    <mergeCell ref="I1025:J1025"/>
    <mergeCell ref="L1027:M1027"/>
    <mergeCell ref="I1031:J1031"/>
    <mergeCell ref="K1031:K1032"/>
    <mergeCell ref="M1031:M1032"/>
    <mergeCell ref="N1031:N1032"/>
    <mergeCell ref="O1031:O1032"/>
    <mergeCell ref="I1034:J1034"/>
    <mergeCell ref="K1034:K1035"/>
    <mergeCell ref="M1034:M1035"/>
    <mergeCell ref="N1034:N1035"/>
    <mergeCell ref="O1034:O1035"/>
    <mergeCell ref="I1012:J1012"/>
    <mergeCell ref="L1014:M1014"/>
    <mergeCell ref="I1018:J1018"/>
    <mergeCell ref="K1018:K1019"/>
    <mergeCell ref="M1018:M1019"/>
    <mergeCell ref="N1018:N1019"/>
    <mergeCell ref="O1018:O1019"/>
    <mergeCell ref="I1021:J1021"/>
    <mergeCell ref="K1021:K1022"/>
    <mergeCell ref="M1021:M1022"/>
    <mergeCell ref="N1021:N1022"/>
    <mergeCell ref="O1021:O1022"/>
    <mergeCell ref="I1051:J1051"/>
    <mergeCell ref="L1053:M1053"/>
    <mergeCell ref="I1057:J1057"/>
    <mergeCell ref="K1057:K1058"/>
    <mergeCell ref="M1057:M1058"/>
    <mergeCell ref="N1057:N1058"/>
    <mergeCell ref="O1057:O1058"/>
    <mergeCell ref="I1060:J1060"/>
    <mergeCell ref="K1060:K1061"/>
    <mergeCell ref="M1060:M1061"/>
    <mergeCell ref="N1060:N1061"/>
    <mergeCell ref="O1060:O1061"/>
    <mergeCell ref="I1038:J1038"/>
    <mergeCell ref="L1040:M1040"/>
    <mergeCell ref="I1044:J1044"/>
    <mergeCell ref="K1044:K1045"/>
    <mergeCell ref="M1044:M1045"/>
    <mergeCell ref="N1044:N1045"/>
    <mergeCell ref="O1044:O1045"/>
    <mergeCell ref="I1047:J1047"/>
    <mergeCell ref="K1047:K1048"/>
    <mergeCell ref="M1047:M1048"/>
    <mergeCell ref="N1047:N1048"/>
    <mergeCell ref="O1047:O1048"/>
    <mergeCell ref="I1077:J1077"/>
    <mergeCell ref="L1079:M1079"/>
    <mergeCell ref="I1083:J1083"/>
    <mergeCell ref="K1083:K1084"/>
    <mergeCell ref="M1083:M1084"/>
    <mergeCell ref="N1083:N1084"/>
    <mergeCell ref="O1083:O1084"/>
    <mergeCell ref="I1086:J1086"/>
    <mergeCell ref="K1086:K1087"/>
    <mergeCell ref="M1086:M1087"/>
    <mergeCell ref="N1086:N1087"/>
    <mergeCell ref="O1086:O1087"/>
    <mergeCell ref="I1064:J1064"/>
    <mergeCell ref="L1066:M1066"/>
    <mergeCell ref="I1070:J1070"/>
    <mergeCell ref="K1070:K1071"/>
    <mergeCell ref="M1070:M1071"/>
    <mergeCell ref="N1070:N1071"/>
    <mergeCell ref="O1070:O1071"/>
    <mergeCell ref="I1073:J1073"/>
    <mergeCell ref="K1073:K1074"/>
    <mergeCell ref="M1073:M1074"/>
    <mergeCell ref="N1073:N1074"/>
    <mergeCell ref="O1073:O1074"/>
    <mergeCell ref="I1103:J1103"/>
    <mergeCell ref="L1105:M1105"/>
    <mergeCell ref="I1109:J1109"/>
    <mergeCell ref="K1109:K1110"/>
    <mergeCell ref="M1109:M1110"/>
    <mergeCell ref="N1109:N1110"/>
    <mergeCell ref="O1109:O1110"/>
    <mergeCell ref="I1112:J1112"/>
    <mergeCell ref="K1112:K1113"/>
    <mergeCell ref="M1112:M1113"/>
    <mergeCell ref="N1112:N1113"/>
    <mergeCell ref="O1112:O1113"/>
    <mergeCell ref="I1090:J1090"/>
    <mergeCell ref="L1092:M1092"/>
    <mergeCell ref="I1096:J1096"/>
    <mergeCell ref="K1096:K1097"/>
    <mergeCell ref="M1096:M1097"/>
    <mergeCell ref="N1096:N1097"/>
    <mergeCell ref="O1096:O1097"/>
    <mergeCell ref="I1099:J1099"/>
    <mergeCell ref="K1099:K1100"/>
    <mergeCell ref="M1099:M1100"/>
    <mergeCell ref="N1099:N1100"/>
    <mergeCell ref="O1099:O1100"/>
    <mergeCell ref="I1129:J1129"/>
    <mergeCell ref="L1131:M1131"/>
    <mergeCell ref="I1135:J1135"/>
    <mergeCell ref="K1135:K1136"/>
    <mergeCell ref="M1135:M1136"/>
    <mergeCell ref="N1135:N1136"/>
    <mergeCell ref="O1135:O1136"/>
    <mergeCell ref="I1138:J1138"/>
    <mergeCell ref="K1138:K1139"/>
    <mergeCell ref="M1138:M1139"/>
    <mergeCell ref="N1138:N1139"/>
    <mergeCell ref="O1138:O1139"/>
    <mergeCell ref="I1116:J1116"/>
    <mergeCell ref="L1118:M1118"/>
    <mergeCell ref="I1122:J1122"/>
    <mergeCell ref="K1122:K1123"/>
    <mergeCell ref="M1122:M1123"/>
    <mergeCell ref="N1122:N1123"/>
    <mergeCell ref="O1122:O1123"/>
    <mergeCell ref="I1125:J1125"/>
    <mergeCell ref="K1125:K1126"/>
    <mergeCell ref="M1125:M1126"/>
    <mergeCell ref="N1125:N1126"/>
    <mergeCell ref="O1125:O1126"/>
  </mergeCells>
  <conditionalFormatting sqref="J19 J22">
    <cfRule type="cellIs" dxfId="573" priority="612" operator="greaterThanOrEqual">
      <formula>$B$7</formula>
    </cfRule>
  </conditionalFormatting>
  <conditionalFormatting sqref="L19 L22">
    <cfRule type="cellIs" dxfId="572" priority="611" operator="lessThan">
      <formula>$B$8</formula>
    </cfRule>
  </conditionalFormatting>
  <conditionalFormatting sqref="B17">
    <cfRule type="cellIs" dxfId="571" priority="610" operator="greaterThan">
      <formula>$F19</formula>
    </cfRule>
  </conditionalFormatting>
  <conditionalFormatting sqref="B22">
    <cfRule type="cellIs" dxfId="570" priority="609" operator="lessThanOrEqual">
      <formula>$F20</formula>
    </cfRule>
  </conditionalFormatting>
  <conditionalFormatting sqref="J32 J35">
    <cfRule type="cellIs" dxfId="569" priority="606" operator="greaterThanOrEqual">
      <formula>$B$7</formula>
    </cfRule>
  </conditionalFormatting>
  <conditionalFormatting sqref="L32 L35">
    <cfRule type="cellIs" dxfId="568" priority="605" operator="lessThan">
      <formula>$B$8</formula>
    </cfRule>
  </conditionalFormatting>
  <conditionalFormatting sqref="J45 J48">
    <cfRule type="cellIs" dxfId="567" priority="602" operator="greaterThanOrEqual">
      <formula>$B$7</formula>
    </cfRule>
  </conditionalFormatting>
  <conditionalFormatting sqref="L45 L48">
    <cfRule type="cellIs" dxfId="566" priority="601" operator="lessThan">
      <formula>$B$8</formula>
    </cfRule>
  </conditionalFormatting>
  <conditionalFormatting sqref="J58 J61">
    <cfRule type="cellIs" dxfId="565" priority="594" operator="greaterThanOrEqual">
      <formula>$B$7</formula>
    </cfRule>
  </conditionalFormatting>
  <conditionalFormatting sqref="L58 L61">
    <cfRule type="cellIs" dxfId="564" priority="593" operator="lessThan">
      <formula>$B$8</formula>
    </cfRule>
  </conditionalFormatting>
  <conditionalFormatting sqref="J84 J87">
    <cfRule type="cellIs" dxfId="563" priority="590" operator="greaterThanOrEqual">
      <formula>$B$7</formula>
    </cfRule>
  </conditionalFormatting>
  <conditionalFormatting sqref="L84 L87">
    <cfRule type="cellIs" dxfId="562" priority="589" operator="lessThan">
      <formula>$B$8</formula>
    </cfRule>
  </conditionalFormatting>
  <conditionalFormatting sqref="J97 J100">
    <cfRule type="cellIs" dxfId="561" priority="586" operator="greaterThanOrEqual">
      <formula>$B$7</formula>
    </cfRule>
  </conditionalFormatting>
  <conditionalFormatting sqref="L97 L100">
    <cfRule type="cellIs" dxfId="560" priority="585" operator="lessThan">
      <formula>$B$8</formula>
    </cfRule>
  </conditionalFormatting>
  <conditionalFormatting sqref="B30">
    <cfRule type="cellIs" dxfId="559" priority="582" operator="greaterThan">
      <formula>$F32</formula>
    </cfRule>
  </conditionalFormatting>
  <conditionalFormatting sqref="B43">
    <cfRule type="cellIs" dxfId="558" priority="581" operator="greaterThan">
      <formula>$F45</formula>
    </cfRule>
  </conditionalFormatting>
  <conditionalFormatting sqref="B56">
    <cfRule type="cellIs" dxfId="557" priority="580" operator="greaterThan">
      <formula>$F58</formula>
    </cfRule>
  </conditionalFormatting>
  <conditionalFormatting sqref="B82">
    <cfRule type="cellIs" dxfId="556" priority="579" operator="greaterThan">
      <formula>$F84</formula>
    </cfRule>
  </conditionalFormatting>
  <conditionalFormatting sqref="B95">
    <cfRule type="cellIs" dxfId="555" priority="578" operator="greaterThan">
      <formula>$F97</formula>
    </cfRule>
  </conditionalFormatting>
  <conditionalFormatting sqref="B35">
    <cfRule type="cellIs" dxfId="554" priority="577" operator="lessThanOrEqual">
      <formula>$F33</formula>
    </cfRule>
  </conditionalFormatting>
  <conditionalFormatting sqref="B48">
    <cfRule type="cellIs" dxfId="553" priority="576" operator="lessThanOrEqual">
      <formula>$F46</formula>
    </cfRule>
  </conditionalFormatting>
  <conditionalFormatting sqref="B61">
    <cfRule type="cellIs" dxfId="552" priority="575" operator="lessThanOrEqual">
      <formula>$F59</formula>
    </cfRule>
  </conditionalFormatting>
  <conditionalFormatting sqref="B87">
    <cfRule type="cellIs" dxfId="551" priority="574" operator="lessThanOrEqual">
      <formula>$F85</formula>
    </cfRule>
  </conditionalFormatting>
  <conditionalFormatting sqref="B100">
    <cfRule type="cellIs" dxfId="550" priority="573" operator="lessThanOrEqual">
      <formula>$F98</formula>
    </cfRule>
  </conditionalFormatting>
  <conditionalFormatting sqref="B16">
    <cfRule type="cellIs" dxfId="549" priority="572" operator="lessThan">
      <formula>$R19</formula>
    </cfRule>
  </conditionalFormatting>
  <conditionalFormatting sqref="B29">
    <cfRule type="cellIs" dxfId="548" priority="571" operator="lessThan">
      <formula>$R32</formula>
    </cfRule>
  </conditionalFormatting>
  <conditionalFormatting sqref="B42">
    <cfRule type="cellIs" dxfId="547" priority="570" operator="lessThan">
      <formula>$R45</formula>
    </cfRule>
  </conditionalFormatting>
  <conditionalFormatting sqref="B55">
    <cfRule type="cellIs" dxfId="546" priority="569" operator="lessThan">
      <formula>$R58</formula>
    </cfRule>
  </conditionalFormatting>
  <conditionalFormatting sqref="B81">
    <cfRule type="cellIs" dxfId="545" priority="568" operator="lessThan">
      <formula>$R84</formula>
    </cfRule>
  </conditionalFormatting>
  <conditionalFormatting sqref="B94">
    <cfRule type="cellIs" dxfId="544" priority="567" operator="lessThan">
      <formula>$R97</formula>
    </cfRule>
  </conditionalFormatting>
  <conditionalFormatting sqref="B21">
    <cfRule type="cellIs" dxfId="543" priority="566" operator="lessThan">
      <formula>$R22</formula>
    </cfRule>
  </conditionalFormatting>
  <conditionalFormatting sqref="B34">
    <cfRule type="cellIs" dxfId="542" priority="565" operator="lessThan">
      <formula>$R35</formula>
    </cfRule>
  </conditionalFormatting>
  <conditionalFormatting sqref="B47">
    <cfRule type="cellIs" dxfId="541" priority="564" operator="lessThan">
      <formula>$R48</formula>
    </cfRule>
  </conditionalFormatting>
  <conditionalFormatting sqref="B60">
    <cfRule type="cellIs" dxfId="540" priority="563" operator="lessThan">
      <formula>$R61</formula>
    </cfRule>
  </conditionalFormatting>
  <conditionalFormatting sqref="B86">
    <cfRule type="cellIs" dxfId="539" priority="562" operator="lessThan">
      <formula>$R87</formula>
    </cfRule>
  </conditionalFormatting>
  <conditionalFormatting sqref="B99">
    <cfRule type="cellIs" dxfId="538" priority="561" operator="lessThan">
      <formula>$R100</formula>
    </cfRule>
  </conditionalFormatting>
  <conditionalFormatting sqref="J110 J113">
    <cfRule type="cellIs" dxfId="537" priority="559" operator="greaterThanOrEqual">
      <formula>$B$7</formula>
    </cfRule>
  </conditionalFormatting>
  <conditionalFormatting sqref="L110 L113">
    <cfRule type="cellIs" dxfId="536" priority="558" operator="lessThan">
      <formula>$B$8</formula>
    </cfRule>
  </conditionalFormatting>
  <conditionalFormatting sqref="B108">
    <cfRule type="cellIs" dxfId="535" priority="557" operator="greaterThan">
      <formula>$F110</formula>
    </cfRule>
  </conditionalFormatting>
  <conditionalFormatting sqref="B113">
    <cfRule type="cellIs" dxfId="534" priority="556" operator="lessThanOrEqual">
      <formula>$F111</formula>
    </cfRule>
  </conditionalFormatting>
  <conditionalFormatting sqref="B107">
    <cfRule type="cellIs" dxfId="533" priority="555" operator="lessThan">
      <formula>$R110</formula>
    </cfRule>
  </conditionalFormatting>
  <conditionalFormatting sqref="B112">
    <cfRule type="cellIs" dxfId="532" priority="554" operator="lessThan">
      <formula>$R113</formula>
    </cfRule>
  </conditionalFormatting>
  <conditionalFormatting sqref="J123 J126">
    <cfRule type="cellIs" dxfId="531" priority="553" operator="greaterThanOrEqual">
      <formula>$B$7</formula>
    </cfRule>
  </conditionalFormatting>
  <conditionalFormatting sqref="L123 L126">
    <cfRule type="cellIs" dxfId="530" priority="552" operator="lessThan">
      <formula>$B$8</formula>
    </cfRule>
  </conditionalFormatting>
  <conditionalFormatting sqref="B121">
    <cfRule type="cellIs" dxfId="529" priority="551" operator="greaterThan">
      <formula>$F123</formula>
    </cfRule>
  </conditionalFormatting>
  <conditionalFormatting sqref="B126">
    <cfRule type="cellIs" dxfId="528" priority="550" operator="lessThanOrEqual">
      <formula>$F124</formula>
    </cfRule>
  </conditionalFormatting>
  <conditionalFormatting sqref="B120">
    <cfRule type="cellIs" dxfId="527" priority="549" operator="lessThan">
      <formula>$R123</formula>
    </cfRule>
  </conditionalFormatting>
  <conditionalFormatting sqref="B125">
    <cfRule type="cellIs" dxfId="526" priority="548" operator="lessThan">
      <formula>$R126</formula>
    </cfRule>
  </conditionalFormatting>
  <conditionalFormatting sqref="J136 J139">
    <cfRule type="cellIs" dxfId="525" priority="547" operator="greaterThanOrEqual">
      <formula>$B$7</formula>
    </cfRule>
  </conditionalFormatting>
  <conditionalFormatting sqref="L136 L139">
    <cfRule type="cellIs" dxfId="524" priority="546" operator="lessThan">
      <formula>$B$8</formula>
    </cfRule>
  </conditionalFormatting>
  <conditionalFormatting sqref="B134">
    <cfRule type="cellIs" dxfId="523" priority="545" operator="greaterThan">
      <formula>$F136</formula>
    </cfRule>
  </conditionalFormatting>
  <conditionalFormatting sqref="B139">
    <cfRule type="cellIs" dxfId="522" priority="544" operator="lessThanOrEqual">
      <formula>$F137</formula>
    </cfRule>
  </conditionalFormatting>
  <conditionalFormatting sqref="B133">
    <cfRule type="cellIs" dxfId="521" priority="543" operator="lessThan">
      <formula>$R136</formula>
    </cfRule>
  </conditionalFormatting>
  <conditionalFormatting sqref="B138">
    <cfRule type="cellIs" dxfId="520" priority="542" operator="lessThan">
      <formula>$R139</formula>
    </cfRule>
  </conditionalFormatting>
  <conditionalFormatting sqref="J149 J152">
    <cfRule type="cellIs" dxfId="519" priority="541" operator="greaterThanOrEqual">
      <formula>$B$7</formula>
    </cfRule>
  </conditionalFormatting>
  <conditionalFormatting sqref="L149 L152">
    <cfRule type="cellIs" dxfId="518" priority="540" operator="lessThan">
      <formula>$B$8</formula>
    </cfRule>
  </conditionalFormatting>
  <conditionalFormatting sqref="B147">
    <cfRule type="cellIs" dxfId="517" priority="539" operator="greaterThan">
      <formula>$F149</formula>
    </cfRule>
  </conditionalFormatting>
  <conditionalFormatting sqref="B152">
    <cfRule type="cellIs" dxfId="516" priority="538" operator="lessThanOrEqual">
      <formula>$F150</formula>
    </cfRule>
  </conditionalFormatting>
  <conditionalFormatting sqref="B146">
    <cfRule type="cellIs" dxfId="515" priority="537" operator="lessThan">
      <formula>$R149</formula>
    </cfRule>
  </conditionalFormatting>
  <conditionalFormatting sqref="B151">
    <cfRule type="cellIs" dxfId="514" priority="536" operator="lessThan">
      <formula>$R152</formula>
    </cfRule>
  </conditionalFormatting>
  <conditionalFormatting sqref="J162 J165">
    <cfRule type="cellIs" dxfId="513" priority="535" operator="greaterThanOrEqual">
      <formula>$B$7</formula>
    </cfRule>
  </conditionalFormatting>
  <conditionalFormatting sqref="L162 L165">
    <cfRule type="cellIs" dxfId="512" priority="534" operator="lessThan">
      <formula>$B$8</formula>
    </cfRule>
  </conditionalFormatting>
  <conditionalFormatting sqref="B160">
    <cfRule type="cellIs" dxfId="511" priority="533" operator="greaterThan">
      <formula>$F162</formula>
    </cfRule>
  </conditionalFormatting>
  <conditionalFormatting sqref="B165">
    <cfRule type="cellIs" dxfId="510" priority="532" operator="lessThanOrEqual">
      <formula>$F163</formula>
    </cfRule>
  </conditionalFormatting>
  <conditionalFormatting sqref="B159">
    <cfRule type="cellIs" dxfId="509" priority="531" operator="lessThan">
      <formula>$R162</formula>
    </cfRule>
  </conditionalFormatting>
  <conditionalFormatting sqref="B164">
    <cfRule type="cellIs" dxfId="508" priority="530" operator="lessThan">
      <formula>$R165</formula>
    </cfRule>
  </conditionalFormatting>
  <conditionalFormatting sqref="J175 J178">
    <cfRule type="cellIs" dxfId="507" priority="529" operator="greaterThanOrEqual">
      <formula>$B$7</formula>
    </cfRule>
  </conditionalFormatting>
  <conditionalFormatting sqref="L175 L178">
    <cfRule type="cellIs" dxfId="506" priority="528" operator="lessThan">
      <formula>$B$8</formula>
    </cfRule>
  </conditionalFormatting>
  <conditionalFormatting sqref="B173">
    <cfRule type="cellIs" dxfId="505" priority="527" operator="greaterThan">
      <formula>$F175</formula>
    </cfRule>
  </conditionalFormatting>
  <conditionalFormatting sqref="B178">
    <cfRule type="cellIs" dxfId="504" priority="526" operator="lessThanOrEqual">
      <formula>$F176</formula>
    </cfRule>
  </conditionalFormatting>
  <conditionalFormatting sqref="B172">
    <cfRule type="cellIs" dxfId="503" priority="525" operator="lessThan">
      <formula>$R175</formula>
    </cfRule>
  </conditionalFormatting>
  <conditionalFormatting sqref="B177">
    <cfRule type="cellIs" dxfId="502" priority="524" operator="lessThan">
      <formula>$R178</formula>
    </cfRule>
  </conditionalFormatting>
  <conditionalFormatting sqref="J188 J191">
    <cfRule type="cellIs" dxfId="501" priority="523" operator="greaterThanOrEqual">
      <formula>$B$7</formula>
    </cfRule>
  </conditionalFormatting>
  <conditionalFormatting sqref="L188 L191">
    <cfRule type="cellIs" dxfId="500" priority="522" operator="lessThan">
      <formula>$B$8</formula>
    </cfRule>
  </conditionalFormatting>
  <conditionalFormatting sqref="B186">
    <cfRule type="cellIs" dxfId="499" priority="521" operator="greaterThan">
      <formula>$F188</formula>
    </cfRule>
  </conditionalFormatting>
  <conditionalFormatting sqref="B191">
    <cfRule type="cellIs" dxfId="498" priority="520" operator="lessThanOrEqual">
      <formula>$F189</formula>
    </cfRule>
  </conditionalFormatting>
  <conditionalFormatting sqref="B185">
    <cfRule type="cellIs" dxfId="497" priority="519" operator="lessThan">
      <formula>$R188</formula>
    </cfRule>
  </conditionalFormatting>
  <conditionalFormatting sqref="B190">
    <cfRule type="cellIs" dxfId="496" priority="518" operator="lessThan">
      <formula>$R191</formula>
    </cfRule>
  </conditionalFormatting>
  <conditionalFormatting sqref="J201 J204">
    <cfRule type="cellIs" dxfId="495" priority="517" operator="greaterThanOrEqual">
      <formula>$B$7</formula>
    </cfRule>
  </conditionalFormatting>
  <conditionalFormatting sqref="L201 L204">
    <cfRule type="cellIs" dxfId="494" priority="516" operator="lessThan">
      <formula>$B$8</formula>
    </cfRule>
  </conditionalFormatting>
  <conditionalFormatting sqref="B199">
    <cfRule type="cellIs" dxfId="493" priority="515" operator="greaterThan">
      <formula>$F201</formula>
    </cfRule>
  </conditionalFormatting>
  <conditionalFormatting sqref="B204">
    <cfRule type="cellIs" dxfId="492" priority="514" operator="lessThanOrEqual">
      <formula>$F202</formula>
    </cfRule>
  </conditionalFormatting>
  <conditionalFormatting sqref="B198">
    <cfRule type="cellIs" dxfId="491" priority="513" operator="lessThan">
      <formula>$R201</formula>
    </cfRule>
  </conditionalFormatting>
  <conditionalFormatting sqref="B203">
    <cfRule type="cellIs" dxfId="490" priority="512" operator="lessThan">
      <formula>$R204</formula>
    </cfRule>
  </conditionalFormatting>
  <conditionalFormatting sqref="J71 J74">
    <cfRule type="cellIs" dxfId="489" priority="511" operator="greaterThanOrEqual">
      <formula>$B$7</formula>
    </cfRule>
  </conditionalFormatting>
  <conditionalFormatting sqref="L71 L74">
    <cfRule type="cellIs" dxfId="488" priority="510" operator="lessThan">
      <formula>$B$8</formula>
    </cfRule>
  </conditionalFormatting>
  <conditionalFormatting sqref="B69">
    <cfRule type="cellIs" dxfId="487" priority="509" operator="greaterThan">
      <formula>$F71</formula>
    </cfRule>
  </conditionalFormatting>
  <conditionalFormatting sqref="B74">
    <cfRule type="cellIs" dxfId="486" priority="508" operator="lessThanOrEqual">
      <formula>$F72</formula>
    </cfRule>
  </conditionalFormatting>
  <conditionalFormatting sqref="B68">
    <cfRule type="cellIs" dxfId="485" priority="507" operator="lessThan">
      <formula>$R71</formula>
    </cfRule>
  </conditionalFormatting>
  <conditionalFormatting sqref="B73">
    <cfRule type="cellIs" dxfId="484" priority="506" operator="lessThan">
      <formula>$R74</formula>
    </cfRule>
  </conditionalFormatting>
  <conditionalFormatting sqref="J214 J217">
    <cfRule type="cellIs" dxfId="483" priority="505" operator="greaterThanOrEqual">
      <formula>$B$7</formula>
    </cfRule>
  </conditionalFormatting>
  <conditionalFormatting sqref="L214 L217">
    <cfRule type="cellIs" dxfId="482" priority="504" operator="lessThan">
      <formula>$B$8</formula>
    </cfRule>
  </conditionalFormatting>
  <conditionalFormatting sqref="B212">
    <cfRule type="cellIs" dxfId="481" priority="503" operator="greaterThan">
      <formula>$F214</formula>
    </cfRule>
  </conditionalFormatting>
  <conditionalFormatting sqref="B217">
    <cfRule type="cellIs" dxfId="480" priority="502" operator="lessThanOrEqual">
      <formula>$F215</formula>
    </cfRule>
  </conditionalFormatting>
  <conditionalFormatting sqref="B211">
    <cfRule type="cellIs" dxfId="479" priority="501" operator="lessThan">
      <formula>$R214</formula>
    </cfRule>
  </conditionalFormatting>
  <conditionalFormatting sqref="B216">
    <cfRule type="cellIs" dxfId="478" priority="500" operator="lessThan">
      <formula>$R217</formula>
    </cfRule>
  </conditionalFormatting>
  <conditionalFormatting sqref="J227 J230">
    <cfRule type="cellIs" dxfId="477" priority="499" operator="greaterThanOrEqual">
      <formula>$B$7</formula>
    </cfRule>
  </conditionalFormatting>
  <conditionalFormatting sqref="L227 L230">
    <cfRule type="cellIs" dxfId="476" priority="498" operator="lessThan">
      <formula>$B$8</formula>
    </cfRule>
  </conditionalFormatting>
  <conditionalFormatting sqref="B225">
    <cfRule type="cellIs" dxfId="475" priority="497" operator="greaterThan">
      <formula>$F227</formula>
    </cfRule>
  </conditionalFormatting>
  <conditionalFormatting sqref="B230">
    <cfRule type="cellIs" dxfId="474" priority="496" operator="lessThanOrEqual">
      <formula>$F228</formula>
    </cfRule>
  </conditionalFormatting>
  <conditionalFormatting sqref="B224">
    <cfRule type="cellIs" dxfId="473" priority="495" operator="lessThan">
      <formula>$R227</formula>
    </cfRule>
  </conditionalFormatting>
  <conditionalFormatting sqref="B229">
    <cfRule type="cellIs" dxfId="472" priority="494" operator="lessThan">
      <formula>$R230</formula>
    </cfRule>
  </conditionalFormatting>
  <conditionalFormatting sqref="J240 J243">
    <cfRule type="cellIs" dxfId="471" priority="493" operator="greaterThanOrEqual">
      <formula>$B$7</formula>
    </cfRule>
  </conditionalFormatting>
  <conditionalFormatting sqref="L240 L243">
    <cfRule type="cellIs" dxfId="470" priority="492" operator="lessThan">
      <formula>$B$8</formula>
    </cfRule>
  </conditionalFormatting>
  <conditionalFormatting sqref="B238">
    <cfRule type="cellIs" dxfId="469" priority="491" operator="greaterThan">
      <formula>$F240</formula>
    </cfRule>
  </conditionalFormatting>
  <conditionalFormatting sqref="B243">
    <cfRule type="cellIs" dxfId="468" priority="490" operator="lessThanOrEqual">
      <formula>$F241</formula>
    </cfRule>
  </conditionalFormatting>
  <conditionalFormatting sqref="B237">
    <cfRule type="cellIs" dxfId="467" priority="489" operator="lessThan">
      <formula>$R240</formula>
    </cfRule>
  </conditionalFormatting>
  <conditionalFormatting sqref="B242">
    <cfRule type="cellIs" dxfId="466" priority="488" operator="lessThan">
      <formula>$R243</formula>
    </cfRule>
  </conditionalFormatting>
  <conditionalFormatting sqref="J253 J256">
    <cfRule type="cellIs" dxfId="465" priority="487" operator="greaterThanOrEqual">
      <formula>$B$7</formula>
    </cfRule>
  </conditionalFormatting>
  <conditionalFormatting sqref="L253 L256">
    <cfRule type="cellIs" dxfId="464" priority="486" operator="lessThan">
      <formula>$B$8</formula>
    </cfRule>
  </conditionalFormatting>
  <conditionalFormatting sqref="B251">
    <cfRule type="cellIs" dxfId="463" priority="485" operator="greaterThan">
      <formula>$F253</formula>
    </cfRule>
  </conditionalFormatting>
  <conditionalFormatting sqref="B256">
    <cfRule type="cellIs" dxfId="462" priority="484" operator="lessThanOrEqual">
      <formula>$F254</formula>
    </cfRule>
  </conditionalFormatting>
  <conditionalFormatting sqref="B250">
    <cfRule type="cellIs" dxfId="461" priority="483" operator="lessThan">
      <formula>$R253</formula>
    </cfRule>
  </conditionalFormatting>
  <conditionalFormatting sqref="B255">
    <cfRule type="cellIs" dxfId="460" priority="482" operator="lessThan">
      <formula>$R256</formula>
    </cfRule>
  </conditionalFormatting>
  <conditionalFormatting sqref="J266 J269">
    <cfRule type="cellIs" dxfId="459" priority="481" operator="greaterThanOrEqual">
      <formula>$B$7</formula>
    </cfRule>
  </conditionalFormatting>
  <conditionalFormatting sqref="L266 L269">
    <cfRule type="cellIs" dxfId="458" priority="480" operator="lessThan">
      <formula>$B$8</formula>
    </cfRule>
  </conditionalFormatting>
  <conditionalFormatting sqref="B264">
    <cfRule type="cellIs" dxfId="457" priority="479" operator="greaterThan">
      <formula>$F266</formula>
    </cfRule>
  </conditionalFormatting>
  <conditionalFormatting sqref="B269">
    <cfRule type="cellIs" dxfId="456" priority="478" operator="lessThanOrEqual">
      <formula>$F267</formula>
    </cfRule>
  </conditionalFormatting>
  <conditionalFormatting sqref="B263">
    <cfRule type="cellIs" dxfId="455" priority="477" operator="lessThan">
      <formula>$R266</formula>
    </cfRule>
  </conditionalFormatting>
  <conditionalFormatting sqref="B268">
    <cfRule type="cellIs" dxfId="454" priority="476" operator="lessThan">
      <formula>$R269</formula>
    </cfRule>
  </conditionalFormatting>
  <conditionalFormatting sqref="J279 J282">
    <cfRule type="cellIs" dxfId="453" priority="475" operator="greaterThanOrEqual">
      <formula>$B$7</formula>
    </cfRule>
  </conditionalFormatting>
  <conditionalFormatting sqref="L279 L282">
    <cfRule type="cellIs" dxfId="452" priority="474" operator="lessThan">
      <formula>$B$8</formula>
    </cfRule>
  </conditionalFormatting>
  <conditionalFormatting sqref="B277">
    <cfRule type="cellIs" dxfId="451" priority="473" operator="greaterThan">
      <formula>$F279</formula>
    </cfRule>
  </conditionalFormatting>
  <conditionalFormatting sqref="B282">
    <cfRule type="cellIs" dxfId="450" priority="472" operator="lessThanOrEqual">
      <formula>$F280</formula>
    </cfRule>
  </conditionalFormatting>
  <conditionalFormatting sqref="B276">
    <cfRule type="cellIs" dxfId="449" priority="471" operator="lessThan">
      <formula>$R279</formula>
    </cfRule>
  </conditionalFormatting>
  <conditionalFormatting sqref="B281">
    <cfRule type="cellIs" dxfId="448" priority="470" operator="lessThan">
      <formula>$R282</formula>
    </cfRule>
  </conditionalFormatting>
  <conditionalFormatting sqref="J292 J295">
    <cfRule type="cellIs" dxfId="447" priority="469" operator="greaterThanOrEqual">
      <formula>$B$7</formula>
    </cfRule>
  </conditionalFormatting>
  <conditionalFormatting sqref="L292 L295">
    <cfRule type="cellIs" dxfId="446" priority="468" operator="lessThan">
      <formula>$B$8</formula>
    </cfRule>
  </conditionalFormatting>
  <conditionalFormatting sqref="B290">
    <cfRule type="cellIs" dxfId="445" priority="467" operator="greaterThan">
      <formula>$F292</formula>
    </cfRule>
  </conditionalFormatting>
  <conditionalFormatting sqref="B295">
    <cfRule type="cellIs" dxfId="444" priority="466" operator="lessThanOrEqual">
      <formula>$F293</formula>
    </cfRule>
  </conditionalFormatting>
  <conditionalFormatting sqref="B289">
    <cfRule type="cellIs" dxfId="443" priority="465" operator="lessThan">
      <formula>$R292</formula>
    </cfRule>
  </conditionalFormatting>
  <conditionalFormatting sqref="B294">
    <cfRule type="cellIs" dxfId="442" priority="464" operator="lessThan">
      <formula>$R295</formula>
    </cfRule>
  </conditionalFormatting>
  <conditionalFormatting sqref="J305 J308">
    <cfRule type="cellIs" dxfId="441" priority="463" operator="greaterThanOrEqual">
      <formula>$B$7</formula>
    </cfRule>
  </conditionalFormatting>
  <conditionalFormatting sqref="L305 L308">
    <cfRule type="cellIs" dxfId="440" priority="462" operator="lessThan">
      <formula>$B$8</formula>
    </cfRule>
  </conditionalFormatting>
  <conditionalFormatting sqref="B303">
    <cfRule type="cellIs" dxfId="439" priority="461" operator="greaterThan">
      <formula>$F305</formula>
    </cfRule>
  </conditionalFormatting>
  <conditionalFormatting sqref="B308">
    <cfRule type="cellIs" dxfId="438" priority="460" operator="lessThanOrEqual">
      <formula>$F306</formula>
    </cfRule>
  </conditionalFormatting>
  <conditionalFormatting sqref="B302">
    <cfRule type="cellIs" dxfId="437" priority="459" operator="lessThan">
      <formula>$R305</formula>
    </cfRule>
  </conditionalFormatting>
  <conditionalFormatting sqref="B307">
    <cfRule type="cellIs" dxfId="436" priority="458" operator="lessThan">
      <formula>$R308</formula>
    </cfRule>
  </conditionalFormatting>
  <conditionalFormatting sqref="J318 J321">
    <cfRule type="cellIs" dxfId="435" priority="457" operator="greaterThanOrEqual">
      <formula>$B$7</formula>
    </cfRule>
  </conditionalFormatting>
  <conditionalFormatting sqref="L318 L321">
    <cfRule type="cellIs" dxfId="434" priority="456" operator="lessThan">
      <formula>$B$8</formula>
    </cfRule>
  </conditionalFormatting>
  <conditionalFormatting sqref="B316">
    <cfRule type="cellIs" dxfId="433" priority="455" operator="greaterThan">
      <formula>$F318</formula>
    </cfRule>
  </conditionalFormatting>
  <conditionalFormatting sqref="B321">
    <cfRule type="cellIs" dxfId="432" priority="454" operator="lessThanOrEqual">
      <formula>$F319</formula>
    </cfRule>
  </conditionalFormatting>
  <conditionalFormatting sqref="B315">
    <cfRule type="cellIs" dxfId="431" priority="453" operator="lessThan">
      <formula>$R318</formula>
    </cfRule>
  </conditionalFormatting>
  <conditionalFormatting sqref="B320">
    <cfRule type="cellIs" dxfId="430" priority="452" operator="lessThan">
      <formula>$R321</formula>
    </cfRule>
  </conditionalFormatting>
  <conditionalFormatting sqref="J331 J334">
    <cfRule type="cellIs" dxfId="429" priority="451" operator="greaterThanOrEqual">
      <formula>$B$7</formula>
    </cfRule>
  </conditionalFormatting>
  <conditionalFormatting sqref="L331 L334">
    <cfRule type="cellIs" dxfId="428" priority="450" operator="lessThan">
      <formula>$B$8</formula>
    </cfRule>
  </conditionalFormatting>
  <conditionalFormatting sqref="B329">
    <cfRule type="cellIs" dxfId="427" priority="449" operator="greaterThan">
      <formula>$F331</formula>
    </cfRule>
  </conditionalFormatting>
  <conditionalFormatting sqref="B334">
    <cfRule type="cellIs" dxfId="426" priority="448" operator="lessThanOrEqual">
      <formula>$F332</formula>
    </cfRule>
  </conditionalFormatting>
  <conditionalFormatting sqref="B328">
    <cfRule type="cellIs" dxfId="425" priority="447" operator="lessThan">
      <formula>$R331</formula>
    </cfRule>
  </conditionalFormatting>
  <conditionalFormatting sqref="B333">
    <cfRule type="cellIs" dxfId="424" priority="446" operator="lessThan">
      <formula>$R334</formula>
    </cfRule>
  </conditionalFormatting>
  <conditionalFormatting sqref="J344 J347">
    <cfRule type="cellIs" dxfId="423" priority="445" operator="greaterThanOrEqual">
      <formula>$B$7</formula>
    </cfRule>
  </conditionalFormatting>
  <conditionalFormatting sqref="L344 L347">
    <cfRule type="cellIs" dxfId="422" priority="444" operator="lessThan">
      <formula>$B$8</formula>
    </cfRule>
  </conditionalFormatting>
  <conditionalFormatting sqref="B342">
    <cfRule type="cellIs" dxfId="421" priority="443" operator="greaterThan">
      <formula>$F344</formula>
    </cfRule>
  </conditionalFormatting>
  <conditionalFormatting sqref="B347">
    <cfRule type="cellIs" dxfId="420" priority="442" operator="lessThanOrEqual">
      <formula>$F345</formula>
    </cfRule>
  </conditionalFormatting>
  <conditionalFormatting sqref="B341">
    <cfRule type="cellIs" dxfId="419" priority="441" operator="lessThan">
      <formula>$R344</formula>
    </cfRule>
  </conditionalFormatting>
  <conditionalFormatting sqref="B346">
    <cfRule type="cellIs" dxfId="418" priority="440" operator="lessThan">
      <formula>$R347</formula>
    </cfRule>
  </conditionalFormatting>
  <conditionalFormatting sqref="J370 J373">
    <cfRule type="cellIs" dxfId="417" priority="439" operator="greaterThanOrEqual">
      <formula>$B$7</formula>
    </cfRule>
  </conditionalFormatting>
  <conditionalFormatting sqref="L370 L373">
    <cfRule type="cellIs" dxfId="416" priority="438" operator="lessThan">
      <formula>$B$8</formula>
    </cfRule>
  </conditionalFormatting>
  <conditionalFormatting sqref="B368">
    <cfRule type="cellIs" dxfId="415" priority="437" operator="greaterThan">
      <formula>$F370</formula>
    </cfRule>
  </conditionalFormatting>
  <conditionalFormatting sqref="B373">
    <cfRule type="cellIs" dxfId="414" priority="436" operator="lessThanOrEqual">
      <formula>$F371</formula>
    </cfRule>
  </conditionalFormatting>
  <conditionalFormatting sqref="B367">
    <cfRule type="cellIs" dxfId="413" priority="435" operator="lessThan">
      <formula>$R370</formula>
    </cfRule>
  </conditionalFormatting>
  <conditionalFormatting sqref="B372">
    <cfRule type="cellIs" dxfId="412" priority="434" operator="lessThan">
      <formula>$R373</formula>
    </cfRule>
  </conditionalFormatting>
  <conditionalFormatting sqref="J383 J386">
    <cfRule type="cellIs" dxfId="411" priority="433" operator="greaterThanOrEqual">
      <formula>$B$7</formula>
    </cfRule>
  </conditionalFormatting>
  <conditionalFormatting sqref="L383 L386">
    <cfRule type="cellIs" dxfId="410" priority="432" operator="lessThan">
      <formula>$B$8</formula>
    </cfRule>
  </conditionalFormatting>
  <conditionalFormatting sqref="B381">
    <cfRule type="cellIs" dxfId="409" priority="431" operator="greaterThan">
      <formula>$F383</formula>
    </cfRule>
  </conditionalFormatting>
  <conditionalFormatting sqref="B386">
    <cfRule type="cellIs" dxfId="408" priority="430" operator="lessThanOrEqual">
      <formula>$F384</formula>
    </cfRule>
  </conditionalFormatting>
  <conditionalFormatting sqref="B380">
    <cfRule type="cellIs" dxfId="407" priority="429" operator="lessThan">
      <formula>$R383</formula>
    </cfRule>
  </conditionalFormatting>
  <conditionalFormatting sqref="B385">
    <cfRule type="cellIs" dxfId="406" priority="428" operator="lessThan">
      <formula>$R386</formula>
    </cfRule>
  </conditionalFormatting>
  <conditionalFormatting sqref="J396 J399">
    <cfRule type="cellIs" dxfId="405" priority="427" operator="greaterThanOrEqual">
      <formula>$B$7</formula>
    </cfRule>
  </conditionalFormatting>
  <conditionalFormatting sqref="L396 L399">
    <cfRule type="cellIs" dxfId="404" priority="426" operator="lessThan">
      <formula>$B$8</formula>
    </cfRule>
  </conditionalFormatting>
  <conditionalFormatting sqref="B394">
    <cfRule type="cellIs" dxfId="403" priority="425" operator="greaterThan">
      <formula>$F396</formula>
    </cfRule>
  </conditionalFormatting>
  <conditionalFormatting sqref="B399">
    <cfRule type="cellIs" dxfId="402" priority="424" operator="lessThanOrEqual">
      <formula>$F397</formula>
    </cfRule>
  </conditionalFormatting>
  <conditionalFormatting sqref="B393">
    <cfRule type="cellIs" dxfId="401" priority="423" operator="lessThan">
      <formula>$R396</formula>
    </cfRule>
  </conditionalFormatting>
  <conditionalFormatting sqref="B398">
    <cfRule type="cellIs" dxfId="400" priority="422" operator="lessThan">
      <formula>$R399</formula>
    </cfRule>
  </conditionalFormatting>
  <conditionalFormatting sqref="J409 J412">
    <cfRule type="cellIs" dxfId="399" priority="421" operator="greaterThanOrEqual">
      <formula>$B$7</formula>
    </cfRule>
  </conditionalFormatting>
  <conditionalFormatting sqref="L409 L412">
    <cfRule type="cellIs" dxfId="398" priority="420" operator="lessThan">
      <formula>$B$8</formula>
    </cfRule>
  </conditionalFormatting>
  <conditionalFormatting sqref="B407">
    <cfRule type="cellIs" dxfId="397" priority="419" operator="greaterThan">
      <formula>$F409</formula>
    </cfRule>
  </conditionalFormatting>
  <conditionalFormatting sqref="B412">
    <cfRule type="cellIs" dxfId="396" priority="418" operator="lessThanOrEqual">
      <formula>$F410</formula>
    </cfRule>
  </conditionalFormatting>
  <conditionalFormatting sqref="B406">
    <cfRule type="cellIs" dxfId="395" priority="417" operator="lessThan">
      <formula>$R409</formula>
    </cfRule>
  </conditionalFormatting>
  <conditionalFormatting sqref="B411">
    <cfRule type="cellIs" dxfId="394" priority="416" operator="lessThan">
      <formula>$R412</formula>
    </cfRule>
  </conditionalFormatting>
  <conditionalFormatting sqref="J422 J425">
    <cfRule type="cellIs" dxfId="393" priority="415" operator="greaterThanOrEqual">
      <formula>$B$7</formula>
    </cfRule>
  </conditionalFormatting>
  <conditionalFormatting sqref="L422 L425">
    <cfRule type="cellIs" dxfId="392" priority="414" operator="lessThan">
      <formula>$B$8</formula>
    </cfRule>
  </conditionalFormatting>
  <conditionalFormatting sqref="B420">
    <cfRule type="cellIs" dxfId="391" priority="413" operator="greaterThan">
      <formula>$F422</formula>
    </cfRule>
  </conditionalFormatting>
  <conditionalFormatting sqref="B425">
    <cfRule type="cellIs" dxfId="390" priority="412" operator="lessThanOrEqual">
      <formula>$F423</formula>
    </cfRule>
  </conditionalFormatting>
  <conditionalFormatting sqref="B419">
    <cfRule type="cellIs" dxfId="389" priority="411" operator="lessThan">
      <formula>$R422</formula>
    </cfRule>
  </conditionalFormatting>
  <conditionalFormatting sqref="B424">
    <cfRule type="cellIs" dxfId="388" priority="410" operator="lessThan">
      <formula>$R425</formula>
    </cfRule>
  </conditionalFormatting>
  <conditionalFormatting sqref="J435 J438">
    <cfRule type="cellIs" dxfId="387" priority="409" operator="greaterThanOrEqual">
      <formula>$B$7</formula>
    </cfRule>
  </conditionalFormatting>
  <conditionalFormatting sqref="L435 L438">
    <cfRule type="cellIs" dxfId="386" priority="408" operator="lessThan">
      <formula>$B$8</formula>
    </cfRule>
  </conditionalFormatting>
  <conditionalFormatting sqref="B433">
    <cfRule type="cellIs" dxfId="385" priority="407" operator="greaterThan">
      <formula>$F435</formula>
    </cfRule>
  </conditionalFormatting>
  <conditionalFormatting sqref="B438">
    <cfRule type="cellIs" dxfId="384" priority="406" operator="lessThanOrEqual">
      <formula>$F436</formula>
    </cfRule>
  </conditionalFormatting>
  <conditionalFormatting sqref="B432">
    <cfRule type="cellIs" dxfId="383" priority="405" operator="lessThan">
      <formula>$R435</formula>
    </cfRule>
  </conditionalFormatting>
  <conditionalFormatting sqref="B437">
    <cfRule type="cellIs" dxfId="382" priority="404" operator="lessThan">
      <formula>$R438</formula>
    </cfRule>
  </conditionalFormatting>
  <conditionalFormatting sqref="J448 J451">
    <cfRule type="cellIs" dxfId="381" priority="403" operator="greaterThanOrEqual">
      <formula>$B$7</formula>
    </cfRule>
  </conditionalFormatting>
  <conditionalFormatting sqref="L448 L451">
    <cfRule type="cellIs" dxfId="380" priority="402" operator="lessThan">
      <formula>$B$8</formula>
    </cfRule>
  </conditionalFormatting>
  <conditionalFormatting sqref="B446">
    <cfRule type="cellIs" dxfId="379" priority="401" operator="greaterThan">
      <formula>$F448</formula>
    </cfRule>
  </conditionalFormatting>
  <conditionalFormatting sqref="B451">
    <cfRule type="cellIs" dxfId="378" priority="400" operator="lessThanOrEqual">
      <formula>$F449</formula>
    </cfRule>
  </conditionalFormatting>
  <conditionalFormatting sqref="B445">
    <cfRule type="cellIs" dxfId="377" priority="399" operator="lessThan">
      <formula>$R448</formula>
    </cfRule>
  </conditionalFormatting>
  <conditionalFormatting sqref="B450">
    <cfRule type="cellIs" dxfId="376" priority="398" operator="lessThan">
      <formula>$R451</formula>
    </cfRule>
  </conditionalFormatting>
  <conditionalFormatting sqref="J461 J464">
    <cfRule type="cellIs" dxfId="375" priority="397" operator="greaterThanOrEqual">
      <formula>$B$7</formula>
    </cfRule>
  </conditionalFormatting>
  <conditionalFormatting sqref="L461 L464">
    <cfRule type="cellIs" dxfId="374" priority="396" operator="lessThan">
      <formula>$B$8</formula>
    </cfRule>
  </conditionalFormatting>
  <conditionalFormatting sqref="B459">
    <cfRule type="cellIs" dxfId="373" priority="395" operator="greaterThan">
      <formula>$F461</formula>
    </cfRule>
  </conditionalFormatting>
  <conditionalFormatting sqref="B464">
    <cfRule type="cellIs" dxfId="372" priority="394" operator="lessThanOrEqual">
      <formula>$F462</formula>
    </cfRule>
  </conditionalFormatting>
  <conditionalFormatting sqref="B458">
    <cfRule type="cellIs" dxfId="371" priority="393" operator="lessThan">
      <formula>$R461</formula>
    </cfRule>
  </conditionalFormatting>
  <conditionalFormatting sqref="B463">
    <cfRule type="cellIs" dxfId="370" priority="392" operator="lessThan">
      <formula>$R464</formula>
    </cfRule>
  </conditionalFormatting>
  <conditionalFormatting sqref="J474 J477">
    <cfRule type="cellIs" dxfId="369" priority="391" operator="greaterThanOrEqual">
      <formula>$B$7</formula>
    </cfRule>
  </conditionalFormatting>
  <conditionalFormatting sqref="L474 L477">
    <cfRule type="cellIs" dxfId="368" priority="390" operator="lessThan">
      <formula>$B$8</formula>
    </cfRule>
  </conditionalFormatting>
  <conditionalFormatting sqref="B472">
    <cfRule type="cellIs" dxfId="367" priority="389" operator="greaterThan">
      <formula>$F474</formula>
    </cfRule>
  </conditionalFormatting>
  <conditionalFormatting sqref="B477">
    <cfRule type="cellIs" dxfId="366" priority="388" operator="lessThanOrEqual">
      <formula>$F475</formula>
    </cfRule>
  </conditionalFormatting>
  <conditionalFormatting sqref="B471">
    <cfRule type="cellIs" dxfId="365" priority="387" operator="lessThan">
      <formula>$R474</formula>
    </cfRule>
  </conditionalFormatting>
  <conditionalFormatting sqref="B476">
    <cfRule type="cellIs" dxfId="364" priority="386" operator="lessThan">
      <formula>$R477</formula>
    </cfRule>
  </conditionalFormatting>
  <conditionalFormatting sqref="J487 J490">
    <cfRule type="cellIs" dxfId="363" priority="385" operator="greaterThanOrEqual">
      <formula>$B$7</formula>
    </cfRule>
  </conditionalFormatting>
  <conditionalFormatting sqref="L487 L490">
    <cfRule type="cellIs" dxfId="362" priority="384" operator="lessThan">
      <formula>$B$8</formula>
    </cfRule>
  </conditionalFormatting>
  <conditionalFormatting sqref="B485">
    <cfRule type="cellIs" dxfId="361" priority="383" operator="greaterThan">
      <formula>$F487</formula>
    </cfRule>
  </conditionalFormatting>
  <conditionalFormatting sqref="B490">
    <cfRule type="cellIs" dxfId="360" priority="382" operator="lessThanOrEqual">
      <formula>$F488</formula>
    </cfRule>
  </conditionalFormatting>
  <conditionalFormatting sqref="B484">
    <cfRule type="cellIs" dxfId="359" priority="381" operator="lessThan">
      <formula>$R487</formula>
    </cfRule>
  </conditionalFormatting>
  <conditionalFormatting sqref="B489">
    <cfRule type="cellIs" dxfId="358" priority="380" operator="lessThan">
      <formula>$R490</formula>
    </cfRule>
  </conditionalFormatting>
  <conditionalFormatting sqref="J500 J503">
    <cfRule type="cellIs" dxfId="357" priority="379" operator="greaterThanOrEqual">
      <formula>$B$7</formula>
    </cfRule>
  </conditionalFormatting>
  <conditionalFormatting sqref="L500 L503">
    <cfRule type="cellIs" dxfId="356" priority="378" operator="lessThan">
      <formula>$B$8</formula>
    </cfRule>
  </conditionalFormatting>
  <conditionalFormatting sqref="B498">
    <cfRule type="cellIs" dxfId="355" priority="377" operator="greaterThan">
      <formula>$F500</formula>
    </cfRule>
  </conditionalFormatting>
  <conditionalFormatting sqref="B503">
    <cfRule type="cellIs" dxfId="354" priority="376" operator="lessThanOrEqual">
      <formula>$F501</formula>
    </cfRule>
  </conditionalFormatting>
  <conditionalFormatting sqref="B497">
    <cfRule type="cellIs" dxfId="353" priority="375" operator="lessThan">
      <formula>$R500</formula>
    </cfRule>
  </conditionalFormatting>
  <conditionalFormatting sqref="B502">
    <cfRule type="cellIs" dxfId="352" priority="374" operator="lessThan">
      <formula>$R503</formula>
    </cfRule>
  </conditionalFormatting>
  <conditionalFormatting sqref="J513 J516">
    <cfRule type="cellIs" dxfId="351" priority="373" operator="greaterThanOrEqual">
      <formula>$B$7</formula>
    </cfRule>
  </conditionalFormatting>
  <conditionalFormatting sqref="L513 L516">
    <cfRule type="cellIs" dxfId="350" priority="372" operator="lessThan">
      <formula>$B$8</formula>
    </cfRule>
  </conditionalFormatting>
  <conditionalFormatting sqref="B511">
    <cfRule type="cellIs" dxfId="349" priority="371" operator="greaterThan">
      <formula>$F513</formula>
    </cfRule>
  </conditionalFormatting>
  <conditionalFormatting sqref="B516">
    <cfRule type="cellIs" dxfId="348" priority="370" operator="lessThanOrEqual">
      <formula>$F514</formula>
    </cfRule>
  </conditionalFormatting>
  <conditionalFormatting sqref="B510">
    <cfRule type="cellIs" dxfId="347" priority="369" operator="lessThan">
      <formula>$R513</formula>
    </cfRule>
  </conditionalFormatting>
  <conditionalFormatting sqref="B515">
    <cfRule type="cellIs" dxfId="346" priority="368" operator="lessThan">
      <formula>$R516</formula>
    </cfRule>
  </conditionalFormatting>
  <conditionalFormatting sqref="J526 J529">
    <cfRule type="cellIs" dxfId="345" priority="367" operator="greaterThanOrEqual">
      <formula>$B$7</formula>
    </cfRule>
  </conditionalFormatting>
  <conditionalFormatting sqref="L526 L529">
    <cfRule type="cellIs" dxfId="344" priority="366" operator="lessThan">
      <formula>$B$8</formula>
    </cfRule>
  </conditionalFormatting>
  <conditionalFormatting sqref="B524">
    <cfRule type="cellIs" dxfId="343" priority="365" operator="greaterThan">
      <formula>$F526</formula>
    </cfRule>
  </conditionalFormatting>
  <conditionalFormatting sqref="B529">
    <cfRule type="cellIs" dxfId="342" priority="364" operator="lessThanOrEqual">
      <formula>$F527</formula>
    </cfRule>
  </conditionalFormatting>
  <conditionalFormatting sqref="B523">
    <cfRule type="cellIs" dxfId="341" priority="363" operator="lessThan">
      <formula>$R526</formula>
    </cfRule>
  </conditionalFormatting>
  <conditionalFormatting sqref="B528">
    <cfRule type="cellIs" dxfId="340" priority="362" operator="lessThan">
      <formula>$R529</formula>
    </cfRule>
  </conditionalFormatting>
  <conditionalFormatting sqref="J539 J542">
    <cfRule type="cellIs" dxfId="339" priority="361" operator="greaterThanOrEqual">
      <formula>$B$7</formula>
    </cfRule>
  </conditionalFormatting>
  <conditionalFormatting sqref="L539 L542">
    <cfRule type="cellIs" dxfId="338" priority="360" operator="lessThan">
      <formula>$B$8</formula>
    </cfRule>
  </conditionalFormatting>
  <conditionalFormatting sqref="B537">
    <cfRule type="cellIs" dxfId="337" priority="359" operator="greaterThan">
      <formula>$F539</formula>
    </cfRule>
  </conditionalFormatting>
  <conditionalFormatting sqref="B542">
    <cfRule type="cellIs" dxfId="336" priority="358" operator="lessThanOrEqual">
      <formula>$F540</formula>
    </cfRule>
  </conditionalFormatting>
  <conditionalFormatting sqref="B536">
    <cfRule type="cellIs" dxfId="335" priority="357" operator="lessThan">
      <formula>$R539</formula>
    </cfRule>
  </conditionalFormatting>
  <conditionalFormatting sqref="B541">
    <cfRule type="cellIs" dxfId="334" priority="356" operator="lessThan">
      <formula>$R542</formula>
    </cfRule>
  </conditionalFormatting>
  <conditionalFormatting sqref="J552 J555">
    <cfRule type="cellIs" dxfId="333" priority="355" operator="greaterThanOrEqual">
      <formula>$B$7</formula>
    </cfRule>
  </conditionalFormatting>
  <conditionalFormatting sqref="L552 L555">
    <cfRule type="cellIs" dxfId="332" priority="354" operator="lessThan">
      <formula>$B$8</formula>
    </cfRule>
  </conditionalFormatting>
  <conditionalFormatting sqref="B550">
    <cfRule type="cellIs" dxfId="331" priority="353" operator="greaterThan">
      <formula>$F552</formula>
    </cfRule>
  </conditionalFormatting>
  <conditionalFormatting sqref="B555">
    <cfRule type="cellIs" dxfId="330" priority="352" operator="lessThanOrEqual">
      <formula>$F553</formula>
    </cfRule>
  </conditionalFormatting>
  <conditionalFormatting sqref="B549">
    <cfRule type="cellIs" dxfId="329" priority="351" operator="lessThan">
      <formula>$R552</formula>
    </cfRule>
  </conditionalFormatting>
  <conditionalFormatting sqref="B554">
    <cfRule type="cellIs" dxfId="328" priority="350" operator="lessThan">
      <formula>$R555</formula>
    </cfRule>
  </conditionalFormatting>
  <conditionalFormatting sqref="J565 J568">
    <cfRule type="cellIs" dxfId="327" priority="349" operator="greaterThanOrEqual">
      <formula>$B$7</formula>
    </cfRule>
  </conditionalFormatting>
  <conditionalFormatting sqref="L565 L568">
    <cfRule type="cellIs" dxfId="326" priority="348" operator="lessThan">
      <formula>$B$8</formula>
    </cfRule>
  </conditionalFormatting>
  <conditionalFormatting sqref="B563">
    <cfRule type="cellIs" dxfId="325" priority="347" operator="greaterThan">
      <formula>$F565</formula>
    </cfRule>
  </conditionalFormatting>
  <conditionalFormatting sqref="B568">
    <cfRule type="cellIs" dxfId="324" priority="346" operator="lessThanOrEqual">
      <formula>$F566</formula>
    </cfRule>
  </conditionalFormatting>
  <conditionalFormatting sqref="B562">
    <cfRule type="cellIs" dxfId="323" priority="345" operator="lessThan">
      <formula>$R565</formula>
    </cfRule>
  </conditionalFormatting>
  <conditionalFormatting sqref="B567">
    <cfRule type="cellIs" dxfId="322" priority="344" operator="lessThan">
      <formula>$R568</formula>
    </cfRule>
  </conditionalFormatting>
  <conditionalFormatting sqref="J578 J581">
    <cfRule type="cellIs" dxfId="321" priority="343" operator="greaterThanOrEqual">
      <formula>$B$7</formula>
    </cfRule>
  </conditionalFormatting>
  <conditionalFormatting sqref="L578 L581">
    <cfRule type="cellIs" dxfId="320" priority="342" operator="lessThan">
      <formula>$B$8</formula>
    </cfRule>
  </conditionalFormatting>
  <conditionalFormatting sqref="B576">
    <cfRule type="cellIs" dxfId="319" priority="341" operator="greaterThan">
      <formula>$F578</formula>
    </cfRule>
  </conditionalFormatting>
  <conditionalFormatting sqref="B581">
    <cfRule type="cellIs" dxfId="318" priority="340" operator="lessThanOrEqual">
      <formula>$F579</formula>
    </cfRule>
  </conditionalFormatting>
  <conditionalFormatting sqref="B575">
    <cfRule type="cellIs" dxfId="317" priority="339" operator="lessThan">
      <formula>$R578</formula>
    </cfRule>
  </conditionalFormatting>
  <conditionalFormatting sqref="B580">
    <cfRule type="cellIs" dxfId="316" priority="338" operator="lessThan">
      <formula>$R581</formula>
    </cfRule>
  </conditionalFormatting>
  <conditionalFormatting sqref="J591 J594">
    <cfRule type="cellIs" dxfId="315" priority="337" operator="greaterThanOrEqual">
      <formula>$B$7</formula>
    </cfRule>
  </conditionalFormatting>
  <conditionalFormatting sqref="L591 L594">
    <cfRule type="cellIs" dxfId="314" priority="336" operator="lessThan">
      <formula>$B$8</formula>
    </cfRule>
  </conditionalFormatting>
  <conditionalFormatting sqref="B589">
    <cfRule type="cellIs" dxfId="313" priority="335" operator="greaterThan">
      <formula>$F591</formula>
    </cfRule>
  </conditionalFormatting>
  <conditionalFormatting sqref="B594">
    <cfRule type="cellIs" dxfId="312" priority="334" operator="lessThanOrEqual">
      <formula>$F592</formula>
    </cfRule>
  </conditionalFormatting>
  <conditionalFormatting sqref="B588">
    <cfRule type="cellIs" dxfId="311" priority="333" operator="lessThan">
      <formula>$R591</formula>
    </cfRule>
  </conditionalFormatting>
  <conditionalFormatting sqref="B593">
    <cfRule type="cellIs" dxfId="310" priority="332" operator="lessThan">
      <formula>$R594</formula>
    </cfRule>
  </conditionalFormatting>
  <conditionalFormatting sqref="J357 J360">
    <cfRule type="cellIs" dxfId="309" priority="331" operator="greaterThanOrEqual">
      <formula>$B$7</formula>
    </cfRule>
  </conditionalFormatting>
  <conditionalFormatting sqref="L357 L360">
    <cfRule type="cellIs" dxfId="308" priority="330" operator="lessThan">
      <formula>$B$8</formula>
    </cfRule>
  </conditionalFormatting>
  <conditionalFormatting sqref="B355">
    <cfRule type="cellIs" dxfId="307" priority="329" operator="greaterThan">
      <formula>$F357</formula>
    </cfRule>
  </conditionalFormatting>
  <conditionalFormatting sqref="B360">
    <cfRule type="cellIs" dxfId="306" priority="328" operator="lessThanOrEqual">
      <formula>$F358</formula>
    </cfRule>
  </conditionalFormatting>
  <conditionalFormatting sqref="B354">
    <cfRule type="cellIs" dxfId="305" priority="327" operator="lessThan">
      <formula>$R357</formula>
    </cfRule>
  </conditionalFormatting>
  <conditionalFormatting sqref="B359">
    <cfRule type="cellIs" dxfId="304" priority="326" operator="lessThan">
      <formula>$R360</formula>
    </cfRule>
  </conditionalFormatting>
  <conditionalFormatting sqref="J604 J607">
    <cfRule type="cellIs" dxfId="303" priority="325" operator="greaterThanOrEqual">
      <formula>$B$7</formula>
    </cfRule>
  </conditionalFormatting>
  <conditionalFormatting sqref="L604 L607">
    <cfRule type="cellIs" dxfId="302" priority="324" operator="lessThan">
      <formula>$B$8</formula>
    </cfRule>
  </conditionalFormatting>
  <conditionalFormatting sqref="B602">
    <cfRule type="cellIs" dxfId="301" priority="323" operator="greaterThan">
      <formula>$F604</formula>
    </cfRule>
  </conditionalFormatting>
  <conditionalFormatting sqref="B607">
    <cfRule type="cellIs" dxfId="300" priority="322" operator="lessThanOrEqual">
      <formula>$F605</formula>
    </cfRule>
  </conditionalFormatting>
  <conditionalFormatting sqref="B601">
    <cfRule type="cellIs" dxfId="299" priority="321" operator="lessThan">
      <formula>$R604</formula>
    </cfRule>
  </conditionalFormatting>
  <conditionalFormatting sqref="B606">
    <cfRule type="cellIs" dxfId="298" priority="320" operator="lessThan">
      <formula>$R607</formula>
    </cfRule>
  </conditionalFormatting>
  <conditionalFormatting sqref="J617 J620">
    <cfRule type="cellIs" dxfId="297" priority="319" operator="greaterThanOrEqual">
      <formula>$B$7</formula>
    </cfRule>
  </conditionalFormatting>
  <conditionalFormatting sqref="L617 L620">
    <cfRule type="cellIs" dxfId="296" priority="318" operator="lessThan">
      <formula>$B$8</formula>
    </cfRule>
  </conditionalFormatting>
  <conditionalFormatting sqref="B615">
    <cfRule type="cellIs" dxfId="295" priority="317" operator="greaterThan">
      <formula>$F617</formula>
    </cfRule>
  </conditionalFormatting>
  <conditionalFormatting sqref="B620">
    <cfRule type="cellIs" dxfId="294" priority="316" operator="lessThanOrEqual">
      <formula>$F618</formula>
    </cfRule>
  </conditionalFormatting>
  <conditionalFormatting sqref="B614">
    <cfRule type="cellIs" dxfId="293" priority="315" operator="lessThan">
      <formula>$R617</formula>
    </cfRule>
  </conditionalFormatting>
  <conditionalFormatting sqref="B619">
    <cfRule type="cellIs" dxfId="292" priority="314" operator="lessThan">
      <formula>$R620</formula>
    </cfRule>
  </conditionalFormatting>
  <conditionalFormatting sqref="J630 J633">
    <cfRule type="cellIs" dxfId="291" priority="313" operator="greaterThanOrEqual">
      <formula>$B$7</formula>
    </cfRule>
  </conditionalFormatting>
  <conditionalFormatting sqref="L630 L633">
    <cfRule type="cellIs" dxfId="290" priority="312" operator="lessThan">
      <formula>$B$8</formula>
    </cfRule>
  </conditionalFormatting>
  <conditionalFormatting sqref="B628">
    <cfRule type="cellIs" dxfId="289" priority="311" operator="greaterThan">
      <formula>$F630</formula>
    </cfRule>
  </conditionalFormatting>
  <conditionalFormatting sqref="B633">
    <cfRule type="cellIs" dxfId="288" priority="310" operator="lessThanOrEqual">
      <formula>$F631</formula>
    </cfRule>
  </conditionalFormatting>
  <conditionalFormatting sqref="B627">
    <cfRule type="cellIs" dxfId="287" priority="309" operator="lessThan">
      <formula>$R630</formula>
    </cfRule>
  </conditionalFormatting>
  <conditionalFormatting sqref="B632">
    <cfRule type="cellIs" dxfId="286" priority="308" operator="lessThan">
      <formula>$R633</formula>
    </cfRule>
  </conditionalFormatting>
  <conditionalFormatting sqref="J643 J646">
    <cfRule type="cellIs" dxfId="285" priority="307" operator="greaterThanOrEqual">
      <formula>$B$7</formula>
    </cfRule>
  </conditionalFormatting>
  <conditionalFormatting sqref="L643 L646">
    <cfRule type="cellIs" dxfId="284" priority="306" operator="lessThan">
      <formula>$B$8</formula>
    </cfRule>
  </conditionalFormatting>
  <conditionalFormatting sqref="B641">
    <cfRule type="cellIs" dxfId="283" priority="305" operator="greaterThan">
      <formula>$F643</formula>
    </cfRule>
  </conditionalFormatting>
  <conditionalFormatting sqref="B646">
    <cfRule type="cellIs" dxfId="282" priority="304" operator="lessThanOrEqual">
      <formula>$F644</formula>
    </cfRule>
  </conditionalFormatting>
  <conditionalFormatting sqref="B640">
    <cfRule type="cellIs" dxfId="281" priority="303" operator="lessThan">
      <formula>$R643</formula>
    </cfRule>
  </conditionalFormatting>
  <conditionalFormatting sqref="B645">
    <cfRule type="cellIs" dxfId="280" priority="302" operator="lessThan">
      <formula>$R646</formula>
    </cfRule>
  </conditionalFormatting>
  <conditionalFormatting sqref="J656 J659">
    <cfRule type="cellIs" dxfId="279" priority="301" operator="greaterThanOrEqual">
      <formula>$B$7</formula>
    </cfRule>
  </conditionalFormatting>
  <conditionalFormatting sqref="L656 L659">
    <cfRule type="cellIs" dxfId="278" priority="300" operator="lessThan">
      <formula>$B$8</formula>
    </cfRule>
  </conditionalFormatting>
  <conditionalFormatting sqref="B654">
    <cfRule type="cellIs" dxfId="277" priority="299" operator="greaterThan">
      <formula>$F656</formula>
    </cfRule>
  </conditionalFormatting>
  <conditionalFormatting sqref="B659">
    <cfRule type="cellIs" dxfId="276" priority="298" operator="lessThanOrEqual">
      <formula>$F657</formula>
    </cfRule>
  </conditionalFormatting>
  <conditionalFormatting sqref="B653">
    <cfRule type="cellIs" dxfId="275" priority="297" operator="lessThan">
      <formula>$R656</formula>
    </cfRule>
  </conditionalFormatting>
  <conditionalFormatting sqref="B658">
    <cfRule type="cellIs" dxfId="274" priority="296" operator="lessThan">
      <formula>$R659</formula>
    </cfRule>
  </conditionalFormatting>
  <conditionalFormatting sqref="J669 J672">
    <cfRule type="cellIs" dxfId="273" priority="295" operator="greaterThanOrEqual">
      <formula>$B$7</formula>
    </cfRule>
  </conditionalFormatting>
  <conditionalFormatting sqref="L669 L672">
    <cfRule type="cellIs" dxfId="272" priority="294" operator="lessThan">
      <formula>$B$8</formula>
    </cfRule>
  </conditionalFormatting>
  <conditionalFormatting sqref="B667">
    <cfRule type="cellIs" dxfId="271" priority="293" operator="greaterThan">
      <formula>$F669</formula>
    </cfRule>
  </conditionalFormatting>
  <conditionalFormatting sqref="B672">
    <cfRule type="cellIs" dxfId="270" priority="292" operator="lessThanOrEqual">
      <formula>$F670</formula>
    </cfRule>
  </conditionalFormatting>
  <conditionalFormatting sqref="B666">
    <cfRule type="cellIs" dxfId="269" priority="291" operator="lessThan">
      <formula>$R669</formula>
    </cfRule>
  </conditionalFormatting>
  <conditionalFormatting sqref="B671">
    <cfRule type="cellIs" dxfId="268" priority="290" operator="lessThan">
      <formula>$R672</formula>
    </cfRule>
  </conditionalFormatting>
  <conditionalFormatting sqref="J682 J685">
    <cfRule type="cellIs" dxfId="267" priority="289" operator="greaterThanOrEqual">
      <formula>$B$7</formula>
    </cfRule>
  </conditionalFormatting>
  <conditionalFormatting sqref="L682 L685">
    <cfRule type="cellIs" dxfId="266" priority="288" operator="lessThan">
      <formula>$B$8</formula>
    </cfRule>
  </conditionalFormatting>
  <conditionalFormatting sqref="B680">
    <cfRule type="cellIs" dxfId="265" priority="287" operator="greaterThan">
      <formula>$F682</formula>
    </cfRule>
  </conditionalFormatting>
  <conditionalFormatting sqref="B685">
    <cfRule type="cellIs" dxfId="264" priority="286" operator="lessThanOrEqual">
      <formula>$F683</formula>
    </cfRule>
  </conditionalFormatting>
  <conditionalFormatting sqref="B679">
    <cfRule type="cellIs" dxfId="263" priority="285" operator="lessThan">
      <formula>$R682</formula>
    </cfRule>
  </conditionalFormatting>
  <conditionalFormatting sqref="B684">
    <cfRule type="cellIs" dxfId="262" priority="284" operator="lessThan">
      <formula>$R685</formula>
    </cfRule>
  </conditionalFormatting>
  <conditionalFormatting sqref="J695 J698">
    <cfRule type="cellIs" dxfId="261" priority="283" operator="greaterThanOrEqual">
      <formula>$B$7</formula>
    </cfRule>
  </conditionalFormatting>
  <conditionalFormatting sqref="L695 L698">
    <cfRule type="cellIs" dxfId="260" priority="282" operator="lessThan">
      <formula>$B$8</formula>
    </cfRule>
  </conditionalFormatting>
  <conditionalFormatting sqref="B693">
    <cfRule type="cellIs" dxfId="259" priority="281" operator="greaterThan">
      <formula>$F695</formula>
    </cfRule>
  </conditionalFormatting>
  <conditionalFormatting sqref="B698">
    <cfRule type="cellIs" dxfId="258" priority="280" operator="lessThanOrEqual">
      <formula>$F696</formula>
    </cfRule>
  </conditionalFormatting>
  <conditionalFormatting sqref="B692">
    <cfRule type="cellIs" dxfId="257" priority="279" operator="lessThan">
      <formula>$R695</formula>
    </cfRule>
  </conditionalFormatting>
  <conditionalFormatting sqref="B697">
    <cfRule type="cellIs" dxfId="256" priority="278" operator="lessThan">
      <formula>$R698</formula>
    </cfRule>
  </conditionalFormatting>
  <conditionalFormatting sqref="J708 J711">
    <cfRule type="cellIs" dxfId="255" priority="277" operator="greaterThanOrEqual">
      <formula>$B$7</formula>
    </cfRule>
  </conditionalFormatting>
  <conditionalFormatting sqref="L708 L711">
    <cfRule type="cellIs" dxfId="254" priority="276" operator="lessThan">
      <formula>$B$8</formula>
    </cfRule>
  </conditionalFormatting>
  <conditionalFormatting sqref="B706">
    <cfRule type="cellIs" dxfId="253" priority="275" operator="greaterThan">
      <formula>$F708</formula>
    </cfRule>
  </conditionalFormatting>
  <conditionalFormatting sqref="B711">
    <cfRule type="cellIs" dxfId="252" priority="274" operator="lessThanOrEqual">
      <formula>$F709</formula>
    </cfRule>
  </conditionalFormatting>
  <conditionalFormatting sqref="B705">
    <cfRule type="cellIs" dxfId="251" priority="273" operator="lessThan">
      <formula>$R708</formula>
    </cfRule>
  </conditionalFormatting>
  <conditionalFormatting sqref="B710">
    <cfRule type="cellIs" dxfId="250" priority="272" operator="lessThan">
      <formula>$R711</formula>
    </cfRule>
  </conditionalFormatting>
  <conditionalFormatting sqref="J721 J724">
    <cfRule type="cellIs" dxfId="249" priority="271" operator="greaterThanOrEqual">
      <formula>$B$7</formula>
    </cfRule>
  </conditionalFormatting>
  <conditionalFormatting sqref="L721 L724">
    <cfRule type="cellIs" dxfId="248" priority="270" operator="lessThan">
      <formula>$B$8</formula>
    </cfRule>
  </conditionalFormatting>
  <conditionalFormatting sqref="B719">
    <cfRule type="cellIs" dxfId="247" priority="269" operator="greaterThan">
      <formula>$F721</formula>
    </cfRule>
  </conditionalFormatting>
  <conditionalFormatting sqref="B724">
    <cfRule type="cellIs" dxfId="246" priority="268" operator="lessThanOrEqual">
      <formula>$F722</formula>
    </cfRule>
  </conditionalFormatting>
  <conditionalFormatting sqref="B718">
    <cfRule type="cellIs" dxfId="245" priority="267" operator="lessThan">
      <formula>$R721</formula>
    </cfRule>
  </conditionalFormatting>
  <conditionalFormatting sqref="B723">
    <cfRule type="cellIs" dxfId="244" priority="266" operator="lessThan">
      <formula>$R724</formula>
    </cfRule>
  </conditionalFormatting>
  <conditionalFormatting sqref="J734 J737">
    <cfRule type="cellIs" dxfId="243" priority="265" operator="greaterThanOrEqual">
      <formula>$B$7</formula>
    </cfRule>
  </conditionalFormatting>
  <conditionalFormatting sqref="L734 L737">
    <cfRule type="cellIs" dxfId="242" priority="264" operator="lessThan">
      <formula>$B$8</formula>
    </cfRule>
  </conditionalFormatting>
  <conditionalFormatting sqref="B732">
    <cfRule type="cellIs" dxfId="241" priority="263" operator="greaterThan">
      <formula>$F734</formula>
    </cfRule>
  </conditionalFormatting>
  <conditionalFormatting sqref="B737">
    <cfRule type="cellIs" dxfId="240" priority="262" operator="lessThanOrEqual">
      <formula>$F735</formula>
    </cfRule>
  </conditionalFormatting>
  <conditionalFormatting sqref="B731">
    <cfRule type="cellIs" dxfId="239" priority="261" operator="lessThan">
      <formula>$R734</formula>
    </cfRule>
  </conditionalFormatting>
  <conditionalFormatting sqref="B736">
    <cfRule type="cellIs" dxfId="238" priority="260" operator="lessThan">
      <formula>$R737</formula>
    </cfRule>
  </conditionalFormatting>
  <conditionalFormatting sqref="J747 J750">
    <cfRule type="cellIs" dxfId="237" priority="259" operator="greaterThanOrEqual">
      <formula>$B$7</formula>
    </cfRule>
  </conditionalFormatting>
  <conditionalFormatting sqref="L747 L750">
    <cfRule type="cellIs" dxfId="236" priority="258" operator="lessThan">
      <formula>$B$8</formula>
    </cfRule>
  </conditionalFormatting>
  <conditionalFormatting sqref="B745">
    <cfRule type="cellIs" dxfId="235" priority="257" operator="greaterThan">
      <formula>$F747</formula>
    </cfRule>
  </conditionalFormatting>
  <conditionalFormatting sqref="B750">
    <cfRule type="cellIs" dxfId="234" priority="256" operator="lessThanOrEqual">
      <formula>$F748</formula>
    </cfRule>
  </conditionalFormatting>
  <conditionalFormatting sqref="B744">
    <cfRule type="cellIs" dxfId="233" priority="255" operator="lessThan">
      <formula>$R747</formula>
    </cfRule>
  </conditionalFormatting>
  <conditionalFormatting sqref="B749">
    <cfRule type="cellIs" dxfId="232" priority="254" operator="lessThan">
      <formula>$R750</formula>
    </cfRule>
  </conditionalFormatting>
  <conditionalFormatting sqref="J760 J763">
    <cfRule type="cellIs" dxfId="231" priority="253" operator="greaterThanOrEqual">
      <formula>$B$7</formula>
    </cfRule>
  </conditionalFormatting>
  <conditionalFormatting sqref="L760 L763">
    <cfRule type="cellIs" dxfId="230" priority="252" operator="lessThan">
      <formula>$B$8</formula>
    </cfRule>
  </conditionalFormatting>
  <conditionalFormatting sqref="B758">
    <cfRule type="cellIs" dxfId="229" priority="251" operator="greaterThan">
      <formula>$F760</formula>
    </cfRule>
  </conditionalFormatting>
  <conditionalFormatting sqref="B763">
    <cfRule type="cellIs" dxfId="228" priority="250" operator="lessThanOrEqual">
      <formula>$F761</formula>
    </cfRule>
  </conditionalFormatting>
  <conditionalFormatting sqref="B757">
    <cfRule type="cellIs" dxfId="227" priority="249" operator="lessThan">
      <formula>$R760</formula>
    </cfRule>
  </conditionalFormatting>
  <conditionalFormatting sqref="B762">
    <cfRule type="cellIs" dxfId="226" priority="248" operator="lessThan">
      <formula>$R763</formula>
    </cfRule>
  </conditionalFormatting>
  <conditionalFormatting sqref="J773 J776">
    <cfRule type="cellIs" dxfId="225" priority="247" operator="greaterThanOrEqual">
      <formula>$B$7</formula>
    </cfRule>
  </conditionalFormatting>
  <conditionalFormatting sqref="L773 L776">
    <cfRule type="cellIs" dxfId="224" priority="246" operator="lessThan">
      <formula>$B$8</formula>
    </cfRule>
  </conditionalFormatting>
  <conditionalFormatting sqref="B771">
    <cfRule type="cellIs" dxfId="223" priority="245" operator="greaterThan">
      <formula>$F773</formula>
    </cfRule>
  </conditionalFormatting>
  <conditionalFormatting sqref="B776">
    <cfRule type="cellIs" dxfId="222" priority="244" operator="lessThanOrEqual">
      <formula>$F774</formula>
    </cfRule>
  </conditionalFormatting>
  <conditionalFormatting sqref="B770">
    <cfRule type="cellIs" dxfId="221" priority="243" operator="lessThan">
      <formula>$R773</formula>
    </cfRule>
  </conditionalFormatting>
  <conditionalFormatting sqref="B775">
    <cfRule type="cellIs" dxfId="220" priority="242" operator="lessThan">
      <formula>$R776</formula>
    </cfRule>
  </conditionalFormatting>
  <conditionalFormatting sqref="J786 J789">
    <cfRule type="cellIs" dxfId="219" priority="241" operator="greaterThanOrEqual">
      <formula>$B$7</formula>
    </cfRule>
  </conditionalFormatting>
  <conditionalFormatting sqref="L786 L789">
    <cfRule type="cellIs" dxfId="218" priority="240" operator="lessThan">
      <formula>$B$8</formula>
    </cfRule>
  </conditionalFormatting>
  <conditionalFormatting sqref="B784">
    <cfRule type="cellIs" dxfId="217" priority="239" operator="greaterThan">
      <formula>$F786</formula>
    </cfRule>
  </conditionalFormatting>
  <conditionalFormatting sqref="B789">
    <cfRule type="cellIs" dxfId="216" priority="238" operator="lessThanOrEqual">
      <formula>$F787</formula>
    </cfRule>
  </conditionalFormatting>
  <conditionalFormatting sqref="B783">
    <cfRule type="cellIs" dxfId="215" priority="237" operator="lessThan">
      <formula>$R786</formula>
    </cfRule>
  </conditionalFormatting>
  <conditionalFormatting sqref="B788">
    <cfRule type="cellIs" dxfId="214" priority="236" operator="lessThan">
      <formula>$R789</formula>
    </cfRule>
  </conditionalFormatting>
  <conditionalFormatting sqref="J799 J802">
    <cfRule type="cellIs" dxfId="213" priority="235" operator="greaterThanOrEqual">
      <formula>$B$7</formula>
    </cfRule>
  </conditionalFormatting>
  <conditionalFormatting sqref="L799 L802">
    <cfRule type="cellIs" dxfId="212" priority="234" operator="lessThan">
      <formula>$B$8</formula>
    </cfRule>
  </conditionalFormatting>
  <conditionalFormatting sqref="B797">
    <cfRule type="cellIs" dxfId="211" priority="233" operator="greaterThan">
      <formula>$F799</formula>
    </cfRule>
  </conditionalFormatting>
  <conditionalFormatting sqref="B802">
    <cfRule type="cellIs" dxfId="210" priority="232" operator="lessThanOrEqual">
      <formula>$F800</formula>
    </cfRule>
  </conditionalFormatting>
  <conditionalFormatting sqref="B796">
    <cfRule type="cellIs" dxfId="209" priority="231" operator="lessThan">
      <formula>$R799</formula>
    </cfRule>
  </conditionalFormatting>
  <conditionalFormatting sqref="B801">
    <cfRule type="cellIs" dxfId="208" priority="230" operator="lessThan">
      <formula>$R802</formula>
    </cfRule>
  </conditionalFormatting>
  <conditionalFormatting sqref="J812 J815">
    <cfRule type="cellIs" dxfId="207" priority="229" operator="greaterThanOrEqual">
      <formula>$B$7</formula>
    </cfRule>
  </conditionalFormatting>
  <conditionalFormatting sqref="L812 L815">
    <cfRule type="cellIs" dxfId="206" priority="228" operator="lessThan">
      <formula>$B$8</formula>
    </cfRule>
  </conditionalFormatting>
  <conditionalFormatting sqref="B810">
    <cfRule type="cellIs" dxfId="205" priority="227" operator="greaterThan">
      <formula>$F812</formula>
    </cfRule>
  </conditionalFormatting>
  <conditionalFormatting sqref="B815">
    <cfRule type="cellIs" dxfId="204" priority="226" operator="lessThanOrEqual">
      <formula>$F813</formula>
    </cfRule>
  </conditionalFormatting>
  <conditionalFormatting sqref="B809">
    <cfRule type="cellIs" dxfId="203" priority="225" operator="lessThan">
      <formula>$R812</formula>
    </cfRule>
  </conditionalFormatting>
  <conditionalFormatting sqref="B814">
    <cfRule type="cellIs" dxfId="202" priority="224" operator="lessThan">
      <formula>$R815</formula>
    </cfRule>
  </conditionalFormatting>
  <conditionalFormatting sqref="J825 J828">
    <cfRule type="cellIs" dxfId="201" priority="223" operator="greaterThanOrEqual">
      <formula>$B$7</formula>
    </cfRule>
  </conditionalFormatting>
  <conditionalFormatting sqref="L825 L828">
    <cfRule type="cellIs" dxfId="200" priority="222" operator="lessThan">
      <formula>$B$8</formula>
    </cfRule>
  </conditionalFormatting>
  <conditionalFormatting sqref="B823">
    <cfRule type="cellIs" dxfId="199" priority="221" operator="greaterThan">
      <formula>$F825</formula>
    </cfRule>
  </conditionalFormatting>
  <conditionalFormatting sqref="B828">
    <cfRule type="cellIs" dxfId="198" priority="220" operator="lessThanOrEqual">
      <formula>$F826</formula>
    </cfRule>
  </conditionalFormatting>
  <conditionalFormatting sqref="B822">
    <cfRule type="cellIs" dxfId="197" priority="219" operator="lessThan">
      <formula>$R825</formula>
    </cfRule>
  </conditionalFormatting>
  <conditionalFormatting sqref="B827">
    <cfRule type="cellIs" dxfId="196" priority="218" operator="lessThan">
      <formula>$R828</formula>
    </cfRule>
  </conditionalFormatting>
  <conditionalFormatting sqref="J838 J841">
    <cfRule type="cellIs" dxfId="195" priority="217" operator="greaterThanOrEqual">
      <formula>$B$7</formula>
    </cfRule>
  </conditionalFormatting>
  <conditionalFormatting sqref="L838 L841">
    <cfRule type="cellIs" dxfId="194" priority="216" operator="lessThan">
      <formula>$B$8</formula>
    </cfRule>
  </conditionalFormatting>
  <conditionalFormatting sqref="B836">
    <cfRule type="cellIs" dxfId="193" priority="215" operator="greaterThan">
      <formula>$F838</formula>
    </cfRule>
  </conditionalFormatting>
  <conditionalFormatting sqref="B841">
    <cfRule type="cellIs" dxfId="192" priority="214" operator="lessThanOrEqual">
      <formula>$F839</formula>
    </cfRule>
  </conditionalFormatting>
  <conditionalFormatting sqref="B835">
    <cfRule type="cellIs" dxfId="191" priority="213" operator="lessThan">
      <formula>$R838</formula>
    </cfRule>
  </conditionalFormatting>
  <conditionalFormatting sqref="B840">
    <cfRule type="cellIs" dxfId="190" priority="212" operator="lessThan">
      <formula>$R841</formula>
    </cfRule>
  </conditionalFormatting>
  <conditionalFormatting sqref="J851 J854">
    <cfRule type="cellIs" dxfId="189" priority="211" operator="greaterThanOrEqual">
      <formula>$B$7</formula>
    </cfRule>
  </conditionalFormatting>
  <conditionalFormatting sqref="L851 L854">
    <cfRule type="cellIs" dxfId="188" priority="210" operator="lessThan">
      <formula>$B$8</formula>
    </cfRule>
  </conditionalFormatting>
  <conditionalFormatting sqref="B849">
    <cfRule type="cellIs" dxfId="187" priority="209" operator="greaterThan">
      <formula>$F851</formula>
    </cfRule>
  </conditionalFormatting>
  <conditionalFormatting sqref="B854">
    <cfRule type="cellIs" dxfId="186" priority="208" operator="lessThanOrEqual">
      <formula>$F852</formula>
    </cfRule>
  </conditionalFormatting>
  <conditionalFormatting sqref="B848">
    <cfRule type="cellIs" dxfId="185" priority="207" operator="lessThan">
      <formula>$R851</formula>
    </cfRule>
  </conditionalFormatting>
  <conditionalFormatting sqref="B853">
    <cfRule type="cellIs" dxfId="184" priority="206" operator="lessThan">
      <formula>$R854</formula>
    </cfRule>
  </conditionalFormatting>
  <conditionalFormatting sqref="J864 J867">
    <cfRule type="cellIs" dxfId="183" priority="205" operator="greaterThanOrEqual">
      <formula>$B$7</formula>
    </cfRule>
  </conditionalFormatting>
  <conditionalFormatting sqref="L864 L867">
    <cfRule type="cellIs" dxfId="182" priority="204" operator="lessThan">
      <formula>$B$8</formula>
    </cfRule>
  </conditionalFormatting>
  <conditionalFormatting sqref="B862">
    <cfRule type="cellIs" dxfId="181" priority="203" operator="greaterThan">
      <formula>$F864</formula>
    </cfRule>
  </conditionalFormatting>
  <conditionalFormatting sqref="B867">
    <cfRule type="cellIs" dxfId="180" priority="202" operator="lessThanOrEqual">
      <formula>$F865</formula>
    </cfRule>
  </conditionalFormatting>
  <conditionalFormatting sqref="B861">
    <cfRule type="cellIs" dxfId="179" priority="201" operator="lessThan">
      <formula>$R864</formula>
    </cfRule>
  </conditionalFormatting>
  <conditionalFormatting sqref="B866">
    <cfRule type="cellIs" dxfId="178" priority="200" operator="lessThan">
      <formula>$R867</formula>
    </cfRule>
  </conditionalFormatting>
  <conditionalFormatting sqref="J877 J880">
    <cfRule type="cellIs" dxfId="177" priority="199" operator="greaterThanOrEqual">
      <formula>$B$7</formula>
    </cfRule>
  </conditionalFormatting>
  <conditionalFormatting sqref="L877 L880">
    <cfRule type="cellIs" dxfId="176" priority="198" operator="lessThan">
      <formula>$B$8</formula>
    </cfRule>
  </conditionalFormatting>
  <conditionalFormatting sqref="B875">
    <cfRule type="cellIs" dxfId="175" priority="197" operator="greaterThan">
      <formula>$F877</formula>
    </cfRule>
  </conditionalFormatting>
  <conditionalFormatting sqref="B880">
    <cfRule type="cellIs" dxfId="174" priority="196" operator="lessThanOrEqual">
      <formula>$F878</formula>
    </cfRule>
  </conditionalFormatting>
  <conditionalFormatting sqref="B874">
    <cfRule type="cellIs" dxfId="173" priority="195" operator="lessThan">
      <formula>$R877</formula>
    </cfRule>
  </conditionalFormatting>
  <conditionalFormatting sqref="B879">
    <cfRule type="cellIs" dxfId="172" priority="194" operator="lessThan">
      <formula>$R880</formula>
    </cfRule>
  </conditionalFormatting>
  <conditionalFormatting sqref="J890 J893">
    <cfRule type="cellIs" dxfId="171" priority="193" operator="greaterThanOrEqual">
      <formula>$B$7</formula>
    </cfRule>
  </conditionalFormatting>
  <conditionalFormatting sqref="L890 L893">
    <cfRule type="cellIs" dxfId="170" priority="192" operator="lessThan">
      <formula>$B$8</formula>
    </cfRule>
  </conditionalFormatting>
  <conditionalFormatting sqref="B888">
    <cfRule type="cellIs" dxfId="169" priority="191" operator="greaterThan">
      <formula>$F890</formula>
    </cfRule>
  </conditionalFormatting>
  <conditionalFormatting sqref="B893">
    <cfRule type="cellIs" dxfId="168" priority="190" operator="lessThanOrEqual">
      <formula>$F891</formula>
    </cfRule>
  </conditionalFormatting>
  <conditionalFormatting sqref="B887">
    <cfRule type="cellIs" dxfId="167" priority="189" operator="lessThan">
      <formula>$R890</formula>
    </cfRule>
  </conditionalFormatting>
  <conditionalFormatting sqref="B892">
    <cfRule type="cellIs" dxfId="166" priority="188" operator="lessThan">
      <formula>$R893</formula>
    </cfRule>
  </conditionalFormatting>
  <conditionalFormatting sqref="J903 J906">
    <cfRule type="cellIs" dxfId="165" priority="187" operator="greaterThanOrEqual">
      <formula>$B$7</formula>
    </cfRule>
  </conditionalFormatting>
  <conditionalFormatting sqref="L903 L906">
    <cfRule type="cellIs" dxfId="164" priority="186" operator="lessThan">
      <formula>$B$8</formula>
    </cfRule>
  </conditionalFormatting>
  <conditionalFormatting sqref="B901">
    <cfRule type="cellIs" dxfId="163" priority="185" operator="greaterThan">
      <formula>$F903</formula>
    </cfRule>
  </conditionalFormatting>
  <conditionalFormatting sqref="B906">
    <cfRule type="cellIs" dxfId="162" priority="184" operator="lessThanOrEqual">
      <formula>$F904</formula>
    </cfRule>
  </conditionalFormatting>
  <conditionalFormatting sqref="B900">
    <cfRule type="cellIs" dxfId="161" priority="183" operator="lessThan">
      <formula>$R903</formula>
    </cfRule>
  </conditionalFormatting>
  <conditionalFormatting sqref="B905">
    <cfRule type="cellIs" dxfId="160" priority="182" operator="lessThan">
      <formula>$R906</formula>
    </cfRule>
  </conditionalFormatting>
  <conditionalFormatting sqref="J916 J919">
    <cfRule type="cellIs" dxfId="159" priority="181" operator="greaterThanOrEqual">
      <formula>$B$7</formula>
    </cfRule>
  </conditionalFormatting>
  <conditionalFormatting sqref="L916 L919">
    <cfRule type="cellIs" dxfId="158" priority="180" operator="lessThan">
      <formula>$B$8</formula>
    </cfRule>
  </conditionalFormatting>
  <conditionalFormatting sqref="B914">
    <cfRule type="cellIs" dxfId="157" priority="179" operator="greaterThan">
      <formula>$F916</formula>
    </cfRule>
  </conditionalFormatting>
  <conditionalFormatting sqref="B919">
    <cfRule type="cellIs" dxfId="156" priority="178" operator="lessThanOrEqual">
      <formula>$F917</formula>
    </cfRule>
  </conditionalFormatting>
  <conditionalFormatting sqref="B913">
    <cfRule type="cellIs" dxfId="155" priority="177" operator="lessThan">
      <formula>$R916</formula>
    </cfRule>
  </conditionalFormatting>
  <conditionalFormatting sqref="B918">
    <cfRule type="cellIs" dxfId="154" priority="176" operator="lessThan">
      <formula>$R919</formula>
    </cfRule>
  </conditionalFormatting>
  <conditionalFormatting sqref="J929 J932">
    <cfRule type="cellIs" dxfId="153" priority="175" operator="greaterThanOrEqual">
      <formula>$B$7</formula>
    </cfRule>
  </conditionalFormatting>
  <conditionalFormatting sqref="L929 L932">
    <cfRule type="cellIs" dxfId="152" priority="174" operator="lessThan">
      <formula>$B$8</formula>
    </cfRule>
  </conditionalFormatting>
  <conditionalFormatting sqref="B927">
    <cfRule type="cellIs" dxfId="151" priority="173" operator="greaterThan">
      <formula>$F929</formula>
    </cfRule>
  </conditionalFormatting>
  <conditionalFormatting sqref="B932">
    <cfRule type="cellIs" dxfId="150" priority="172" operator="lessThanOrEqual">
      <formula>$F930</formula>
    </cfRule>
  </conditionalFormatting>
  <conditionalFormatting sqref="B926">
    <cfRule type="cellIs" dxfId="149" priority="171" operator="lessThan">
      <formula>$R929</formula>
    </cfRule>
  </conditionalFormatting>
  <conditionalFormatting sqref="B931">
    <cfRule type="cellIs" dxfId="148" priority="170" operator="lessThan">
      <formula>$R932</formula>
    </cfRule>
  </conditionalFormatting>
  <conditionalFormatting sqref="J942 J945">
    <cfRule type="cellIs" dxfId="147" priority="169" operator="greaterThanOrEqual">
      <formula>$B$7</formula>
    </cfRule>
  </conditionalFormatting>
  <conditionalFormatting sqref="L942 L945">
    <cfRule type="cellIs" dxfId="146" priority="168" operator="lessThan">
      <formula>$B$8</formula>
    </cfRule>
  </conditionalFormatting>
  <conditionalFormatting sqref="B940">
    <cfRule type="cellIs" dxfId="145" priority="167" operator="greaterThan">
      <formula>$F942</formula>
    </cfRule>
  </conditionalFormatting>
  <conditionalFormatting sqref="B945">
    <cfRule type="cellIs" dxfId="144" priority="166" operator="lessThanOrEqual">
      <formula>$F943</formula>
    </cfRule>
  </conditionalFormatting>
  <conditionalFormatting sqref="B939">
    <cfRule type="cellIs" dxfId="143" priority="165" operator="lessThan">
      <formula>$R942</formula>
    </cfRule>
  </conditionalFormatting>
  <conditionalFormatting sqref="B944">
    <cfRule type="cellIs" dxfId="142" priority="164" operator="lessThan">
      <formula>$R945</formula>
    </cfRule>
  </conditionalFormatting>
  <conditionalFormatting sqref="J955 J958">
    <cfRule type="cellIs" dxfId="141" priority="163" operator="greaterThanOrEqual">
      <formula>$B$7</formula>
    </cfRule>
  </conditionalFormatting>
  <conditionalFormatting sqref="L955 L958">
    <cfRule type="cellIs" dxfId="140" priority="162" operator="lessThan">
      <formula>$B$8</formula>
    </cfRule>
  </conditionalFormatting>
  <conditionalFormatting sqref="B953">
    <cfRule type="cellIs" dxfId="139" priority="161" operator="greaterThan">
      <formula>$F955</formula>
    </cfRule>
  </conditionalFormatting>
  <conditionalFormatting sqref="B958">
    <cfRule type="cellIs" dxfId="138" priority="160" operator="lessThanOrEqual">
      <formula>$F956</formula>
    </cfRule>
  </conditionalFormatting>
  <conditionalFormatting sqref="B952">
    <cfRule type="cellIs" dxfId="137" priority="159" operator="lessThan">
      <formula>$R955</formula>
    </cfRule>
  </conditionalFormatting>
  <conditionalFormatting sqref="B957">
    <cfRule type="cellIs" dxfId="136" priority="158" operator="lessThan">
      <formula>$R958</formula>
    </cfRule>
  </conditionalFormatting>
  <conditionalFormatting sqref="J968 J971">
    <cfRule type="cellIs" dxfId="135" priority="157" operator="greaterThanOrEqual">
      <formula>$B$7</formula>
    </cfRule>
  </conditionalFormatting>
  <conditionalFormatting sqref="L968 L971">
    <cfRule type="cellIs" dxfId="134" priority="156" operator="lessThan">
      <formula>$B$8</formula>
    </cfRule>
  </conditionalFormatting>
  <conditionalFormatting sqref="B966">
    <cfRule type="cellIs" dxfId="133" priority="155" operator="greaterThan">
      <formula>$F968</formula>
    </cfRule>
  </conditionalFormatting>
  <conditionalFormatting sqref="B971">
    <cfRule type="cellIs" dxfId="132" priority="154" operator="lessThanOrEqual">
      <formula>$F969</formula>
    </cfRule>
  </conditionalFormatting>
  <conditionalFormatting sqref="B965">
    <cfRule type="cellIs" dxfId="131" priority="153" operator="lessThan">
      <formula>$R968</formula>
    </cfRule>
  </conditionalFormatting>
  <conditionalFormatting sqref="B970">
    <cfRule type="cellIs" dxfId="130" priority="152" operator="lessThan">
      <formula>$R971</formula>
    </cfRule>
  </conditionalFormatting>
  <conditionalFormatting sqref="J981 J984">
    <cfRule type="cellIs" dxfId="129" priority="151" operator="greaterThanOrEqual">
      <formula>$B$7</formula>
    </cfRule>
  </conditionalFormatting>
  <conditionalFormatting sqref="L981 L984">
    <cfRule type="cellIs" dxfId="128" priority="150" operator="lessThan">
      <formula>$B$8</formula>
    </cfRule>
  </conditionalFormatting>
  <conditionalFormatting sqref="B979">
    <cfRule type="cellIs" dxfId="127" priority="149" operator="greaterThan">
      <formula>$F981</formula>
    </cfRule>
  </conditionalFormatting>
  <conditionalFormatting sqref="B984">
    <cfRule type="cellIs" dxfId="126" priority="148" operator="lessThanOrEqual">
      <formula>$F982</formula>
    </cfRule>
  </conditionalFormatting>
  <conditionalFormatting sqref="B978">
    <cfRule type="cellIs" dxfId="125" priority="147" operator="lessThan">
      <formula>$R981</formula>
    </cfRule>
  </conditionalFormatting>
  <conditionalFormatting sqref="B983">
    <cfRule type="cellIs" dxfId="124" priority="146" operator="lessThan">
      <formula>$R984</formula>
    </cfRule>
  </conditionalFormatting>
  <conditionalFormatting sqref="J994 J997">
    <cfRule type="cellIs" dxfId="123" priority="145" operator="greaterThanOrEqual">
      <formula>$B$7</formula>
    </cfRule>
  </conditionalFormatting>
  <conditionalFormatting sqref="L994 L997">
    <cfRule type="cellIs" dxfId="122" priority="144" operator="lessThan">
      <formula>$B$8</formula>
    </cfRule>
  </conditionalFormatting>
  <conditionalFormatting sqref="B992">
    <cfRule type="cellIs" dxfId="121" priority="143" operator="greaterThan">
      <formula>$F994</formula>
    </cfRule>
  </conditionalFormatting>
  <conditionalFormatting sqref="B997">
    <cfRule type="cellIs" dxfId="120" priority="142" operator="lessThanOrEqual">
      <formula>$F995</formula>
    </cfRule>
  </conditionalFormatting>
  <conditionalFormatting sqref="B991">
    <cfRule type="cellIs" dxfId="119" priority="141" operator="lessThan">
      <formula>$R994</formula>
    </cfRule>
  </conditionalFormatting>
  <conditionalFormatting sqref="B996">
    <cfRule type="cellIs" dxfId="118" priority="140" operator="lessThan">
      <formula>$R997</formula>
    </cfRule>
  </conditionalFormatting>
  <conditionalFormatting sqref="J1007 J1010">
    <cfRule type="cellIs" dxfId="117" priority="139" operator="greaterThanOrEqual">
      <formula>$B$7</formula>
    </cfRule>
  </conditionalFormatting>
  <conditionalFormatting sqref="L1007 L1010">
    <cfRule type="cellIs" dxfId="116" priority="138" operator="lessThan">
      <formula>$B$8</formula>
    </cfRule>
  </conditionalFormatting>
  <conditionalFormatting sqref="B1005">
    <cfRule type="cellIs" dxfId="115" priority="137" operator="greaterThan">
      <formula>$F1007</formula>
    </cfRule>
  </conditionalFormatting>
  <conditionalFormatting sqref="B1010">
    <cfRule type="cellIs" dxfId="114" priority="136" operator="lessThanOrEqual">
      <formula>$F1008</formula>
    </cfRule>
  </conditionalFormatting>
  <conditionalFormatting sqref="B1004">
    <cfRule type="cellIs" dxfId="113" priority="135" operator="lessThan">
      <formula>$R1007</formula>
    </cfRule>
  </conditionalFormatting>
  <conditionalFormatting sqref="B1009">
    <cfRule type="cellIs" dxfId="112" priority="134" operator="lessThan">
      <formula>$R1010</formula>
    </cfRule>
  </conditionalFormatting>
  <conditionalFormatting sqref="J1020 J1023">
    <cfRule type="cellIs" dxfId="111" priority="133" operator="greaterThanOrEqual">
      <formula>$B$7</formula>
    </cfRule>
  </conditionalFormatting>
  <conditionalFormatting sqref="L1020 L1023">
    <cfRule type="cellIs" dxfId="110" priority="132" operator="lessThan">
      <formula>$B$8</formula>
    </cfRule>
  </conditionalFormatting>
  <conditionalFormatting sqref="B1018">
    <cfRule type="cellIs" dxfId="109" priority="131" operator="greaterThan">
      <formula>$F1020</formula>
    </cfRule>
  </conditionalFormatting>
  <conditionalFormatting sqref="B1023">
    <cfRule type="cellIs" dxfId="108" priority="130" operator="lessThanOrEqual">
      <formula>$F1021</formula>
    </cfRule>
  </conditionalFormatting>
  <conditionalFormatting sqref="B1017">
    <cfRule type="cellIs" dxfId="107" priority="129" operator="lessThan">
      <formula>$R1020</formula>
    </cfRule>
  </conditionalFormatting>
  <conditionalFormatting sqref="B1022">
    <cfRule type="cellIs" dxfId="106" priority="128" operator="lessThan">
      <formula>$R1023</formula>
    </cfRule>
  </conditionalFormatting>
  <conditionalFormatting sqref="J1033 J1036">
    <cfRule type="cellIs" dxfId="105" priority="127" operator="greaterThanOrEqual">
      <formula>$B$7</formula>
    </cfRule>
  </conditionalFormatting>
  <conditionalFormatting sqref="L1033 L1036">
    <cfRule type="cellIs" dxfId="104" priority="126" operator="lessThan">
      <formula>$B$8</formula>
    </cfRule>
  </conditionalFormatting>
  <conditionalFormatting sqref="B1031">
    <cfRule type="cellIs" dxfId="103" priority="125" operator="greaterThan">
      <formula>$F1033</formula>
    </cfRule>
  </conditionalFormatting>
  <conditionalFormatting sqref="B1036">
    <cfRule type="cellIs" dxfId="102" priority="124" operator="lessThanOrEqual">
      <formula>$F1034</formula>
    </cfRule>
  </conditionalFormatting>
  <conditionalFormatting sqref="B1030">
    <cfRule type="cellIs" dxfId="101" priority="123" operator="lessThan">
      <formula>$R1033</formula>
    </cfRule>
  </conditionalFormatting>
  <conditionalFormatting sqref="B1035">
    <cfRule type="cellIs" dxfId="100" priority="122" operator="lessThan">
      <formula>$R1036</formula>
    </cfRule>
  </conditionalFormatting>
  <conditionalFormatting sqref="J1046 J1049">
    <cfRule type="cellIs" dxfId="99" priority="121" operator="greaterThanOrEqual">
      <formula>$B$7</formula>
    </cfRule>
  </conditionalFormatting>
  <conditionalFormatting sqref="L1046 L1049">
    <cfRule type="cellIs" dxfId="98" priority="120" operator="lessThan">
      <formula>$B$8</formula>
    </cfRule>
  </conditionalFormatting>
  <conditionalFormatting sqref="B1044">
    <cfRule type="cellIs" dxfId="97" priority="119" operator="greaterThan">
      <formula>$F1046</formula>
    </cfRule>
  </conditionalFormatting>
  <conditionalFormatting sqref="B1049">
    <cfRule type="cellIs" dxfId="96" priority="118" operator="lessThanOrEqual">
      <formula>$F1047</formula>
    </cfRule>
  </conditionalFormatting>
  <conditionalFormatting sqref="B1043">
    <cfRule type="cellIs" dxfId="95" priority="117" operator="lessThan">
      <formula>$R1046</formula>
    </cfRule>
  </conditionalFormatting>
  <conditionalFormatting sqref="B1048">
    <cfRule type="cellIs" dxfId="94" priority="116" operator="lessThan">
      <formula>$R1049</formula>
    </cfRule>
  </conditionalFormatting>
  <conditionalFormatting sqref="J1059 J1062">
    <cfRule type="cellIs" dxfId="93" priority="115" operator="greaterThanOrEqual">
      <formula>$B$7</formula>
    </cfRule>
  </conditionalFormatting>
  <conditionalFormatting sqref="L1059 L1062">
    <cfRule type="cellIs" dxfId="92" priority="114" operator="lessThan">
      <formula>$B$8</formula>
    </cfRule>
  </conditionalFormatting>
  <conditionalFormatting sqref="B1057">
    <cfRule type="cellIs" dxfId="91" priority="113" operator="greaterThan">
      <formula>$F1059</formula>
    </cfRule>
  </conditionalFormatting>
  <conditionalFormatting sqref="B1062">
    <cfRule type="cellIs" dxfId="90" priority="112" operator="lessThanOrEqual">
      <formula>$F1060</formula>
    </cfRule>
  </conditionalFormatting>
  <conditionalFormatting sqref="B1056">
    <cfRule type="cellIs" dxfId="89" priority="111" operator="lessThan">
      <formula>$R1059</formula>
    </cfRule>
  </conditionalFormatting>
  <conditionalFormatting sqref="B1061">
    <cfRule type="cellIs" dxfId="88" priority="110" operator="lessThan">
      <formula>$R1062</formula>
    </cfRule>
  </conditionalFormatting>
  <conditionalFormatting sqref="J1072 J1075">
    <cfRule type="cellIs" dxfId="87" priority="109" operator="greaterThanOrEqual">
      <formula>$B$7</formula>
    </cfRule>
  </conditionalFormatting>
  <conditionalFormatting sqref="L1072 L1075">
    <cfRule type="cellIs" dxfId="86" priority="108" operator="lessThan">
      <formula>$B$8</formula>
    </cfRule>
  </conditionalFormatting>
  <conditionalFormatting sqref="B1070">
    <cfRule type="cellIs" dxfId="85" priority="107" operator="greaterThan">
      <formula>$F1072</formula>
    </cfRule>
  </conditionalFormatting>
  <conditionalFormatting sqref="B1075">
    <cfRule type="cellIs" dxfId="84" priority="106" operator="lessThanOrEqual">
      <formula>$F1073</formula>
    </cfRule>
  </conditionalFormatting>
  <conditionalFormatting sqref="B1069">
    <cfRule type="cellIs" dxfId="83" priority="105" operator="lessThan">
      <formula>$R1072</formula>
    </cfRule>
  </conditionalFormatting>
  <conditionalFormatting sqref="B1074">
    <cfRule type="cellIs" dxfId="82" priority="104" operator="lessThan">
      <formula>$R1075</formula>
    </cfRule>
  </conditionalFormatting>
  <conditionalFormatting sqref="J1085 J1088">
    <cfRule type="cellIs" dxfId="81" priority="103" operator="greaterThanOrEqual">
      <formula>$B$7</formula>
    </cfRule>
  </conditionalFormatting>
  <conditionalFormatting sqref="L1085 L1088">
    <cfRule type="cellIs" dxfId="80" priority="102" operator="lessThan">
      <formula>$B$8</formula>
    </cfRule>
  </conditionalFormatting>
  <conditionalFormatting sqref="B1083">
    <cfRule type="cellIs" dxfId="79" priority="101" operator="greaterThan">
      <formula>$F1085</formula>
    </cfRule>
  </conditionalFormatting>
  <conditionalFormatting sqref="B1088">
    <cfRule type="cellIs" dxfId="78" priority="100" operator="lessThanOrEqual">
      <formula>$F1086</formula>
    </cfRule>
  </conditionalFormatting>
  <conditionalFormatting sqref="B1082">
    <cfRule type="cellIs" dxfId="77" priority="99" operator="lessThan">
      <formula>$R1085</formula>
    </cfRule>
  </conditionalFormatting>
  <conditionalFormatting sqref="B1087">
    <cfRule type="cellIs" dxfId="76" priority="98" operator="lessThan">
      <formula>$R1088</formula>
    </cfRule>
  </conditionalFormatting>
  <conditionalFormatting sqref="J1098 J1101">
    <cfRule type="cellIs" dxfId="75" priority="97" operator="greaterThanOrEqual">
      <formula>$B$7</formula>
    </cfRule>
  </conditionalFormatting>
  <conditionalFormatting sqref="L1098 L1101">
    <cfRule type="cellIs" dxfId="74" priority="96" operator="lessThan">
      <formula>$B$8</formula>
    </cfRule>
  </conditionalFormatting>
  <conditionalFormatting sqref="B1096">
    <cfRule type="cellIs" dxfId="73" priority="95" operator="greaterThan">
      <formula>$F1098</formula>
    </cfRule>
  </conditionalFormatting>
  <conditionalFormatting sqref="B1101">
    <cfRule type="cellIs" dxfId="72" priority="94" operator="lessThanOrEqual">
      <formula>$F1099</formula>
    </cfRule>
  </conditionalFormatting>
  <conditionalFormatting sqref="B1095">
    <cfRule type="cellIs" dxfId="71" priority="93" operator="lessThan">
      <formula>$R1098</formula>
    </cfRule>
  </conditionalFormatting>
  <conditionalFormatting sqref="B1100">
    <cfRule type="cellIs" dxfId="70" priority="92" operator="lessThan">
      <formula>$R1101</formula>
    </cfRule>
  </conditionalFormatting>
  <conditionalFormatting sqref="J1111 J1114">
    <cfRule type="cellIs" dxfId="69" priority="77" operator="greaterThanOrEqual">
      <formula>$B$7</formula>
    </cfRule>
  </conditionalFormatting>
  <conditionalFormatting sqref="L1114">
    <cfRule type="cellIs" dxfId="68" priority="76" operator="lessThan">
      <formula>$B$8</formula>
    </cfRule>
  </conditionalFormatting>
  <conditionalFormatting sqref="B1109">
    <cfRule type="cellIs" dxfId="67" priority="75" operator="greaterThan">
      <formula>$F1111</formula>
    </cfRule>
  </conditionalFormatting>
  <conditionalFormatting sqref="B1114">
    <cfRule type="cellIs" dxfId="66" priority="74" operator="lessThanOrEqual">
      <formula>$F1112</formula>
    </cfRule>
  </conditionalFormatting>
  <conditionalFormatting sqref="B1108">
    <cfRule type="cellIs" dxfId="65" priority="73" operator="lessThan">
      <formula>$R1111</formula>
    </cfRule>
  </conditionalFormatting>
  <conditionalFormatting sqref="B1113">
    <cfRule type="cellIs" dxfId="64" priority="72" operator="lessThan">
      <formula>$R1114</formula>
    </cfRule>
  </conditionalFormatting>
  <conditionalFormatting sqref="L1111">
    <cfRule type="cellIs" dxfId="63" priority="71" operator="lessThan">
      <formula>$B$8</formula>
    </cfRule>
  </conditionalFormatting>
  <conditionalFormatting sqref="J1124 J1127">
    <cfRule type="cellIs" dxfId="62" priority="70" operator="greaterThanOrEqual">
      <formula>$B$7</formula>
    </cfRule>
  </conditionalFormatting>
  <conditionalFormatting sqref="L1127">
    <cfRule type="cellIs" dxfId="61" priority="69" operator="lessThan">
      <formula>$B$8</formula>
    </cfRule>
  </conditionalFormatting>
  <conditionalFormatting sqref="B1122">
    <cfRule type="cellIs" dxfId="60" priority="68" operator="greaterThan">
      <formula>$F1124</formula>
    </cfRule>
  </conditionalFormatting>
  <conditionalFormatting sqref="B1127">
    <cfRule type="cellIs" dxfId="59" priority="67" operator="lessThanOrEqual">
      <formula>$F1125</formula>
    </cfRule>
  </conditionalFormatting>
  <conditionalFormatting sqref="B1121">
    <cfRule type="cellIs" dxfId="58" priority="66" operator="lessThan">
      <formula>$R1124</formula>
    </cfRule>
  </conditionalFormatting>
  <conditionalFormatting sqref="B1126">
    <cfRule type="cellIs" dxfId="57" priority="65" operator="lessThan">
      <formula>$R1127</formula>
    </cfRule>
  </conditionalFormatting>
  <conditionalFormatting sqref="L1124">
    <cfRule type="cellIs" dxfId="56" priority="64" operator="lessThan">
      <formula>$B$8</formula>
    </cfRule>
  </conditionalFormatting>
  <conditionalFormatting sqref="J1137 J1140:J1141">
    <cfRule type="cellIs" dxfId="55" priority="63" operator="greaterThanOrEqual">
      <formula>$B$7</formula>
    </cfRule>
  </conditionalFormatting>
  <conditionalFormatting sqref="L1140:L1141">
    <cfRule type="cellIs" dxfId="54" priority="62" operator="lessThan">
      <formula>$B$8</formula>
    </cfRule>
  </conditionalFormatting>
  <conditionalFormatting sqref="B1135">
    <cfRule type="cellIs" dxfId="53" priority="61" operator="greaterThan">
      <formula>$F1137</formula>
    </cfRule>
  </conditionalFormatting>
  <conditionalFormatting sqref="B1140:B1141">
    <cfRule type="cellIs" dxfId="52" priority="60" operator="lessThanOrEqual">
      <formula>$F1138</formula>
    </cfRule>
  </conditionalFormatting>
  <conditionalFormatting sqref="B1134">
    <cfRule type="cellIs" dxfId="51" priority="59" operator="lessThan">
      <formula>$R1137</formula>
    </cfRule>
  </conditionalFormatting>
  <conditionalFormatting sqref="B1139">
    <cfRule type="cellIs" dxfId="50" priority="58" operator="lessThan">
      <formula>$R1140</formula>
    </cfRule>
  </conditionalFormatting>
  <conditionalFormatting sqref="L1137">
    <cfRule type="cellIs" dxfId="49" priority="57" operator="lessThan">
      <formula>$B$8</formula>
    </cfRule>
  </conditionalFormatting>
  <conditionalFormatting sqref="J1163 J1166">
    <cfRule type="cellIs" dxfId="48" priority="56" operator="greaterThanOrEqual">
      <formula>$B$7</formula>
    </cfRule>
  </conditionalFormatting>
  <conditionalFormatting sqref="L1166">
    <cfRule type="cellIs" dxfId="47" priority="55" operator="lessThan">
      <formula>$B$8</formula>
    </cfRule>
  </conditionalFormatting>
  <conditionalFormatting sqref="B1161">
    <cfRule type="cellIs" dxfId="46" priority="54" operator="greaterThan">
      <formula>$F1163</formula>
    </cfRule>
  </conditionalFormatting>
  <conditionalFormatting sqref="B1166">
    <cfRule type="cellIs" dxfId="45" priority="53" operator="lessThanOrEqual">
      <formula>$F1164</formula>
    </cfRule>
  </conditionalFormatting>
  <conditionalFormatting sqref="B1160">
    <cfRule type="cellIs" dxfId="44" priority="52" operator="lessThan">
      <formula>$R1163</formula>
    </cfRule>
  </conditionalFormatting>
  <conditionalFormatting sqref="B1165">
    <cfRule type="cellIs" dxfId="43" priority="51" operator="lessThan">
      <formula>$R1166</formula>
    </cfRule>
  </conditionalFormatting>
  <conditionalFormatting sqref="L1163">
    <cfRule type="cellIs" dxfId="42" priority="50" operator="lessThan">
      <formula>$B$8</formula>
    </cfRule>
  </conditionalFormatting>
  <conditionalFormatting sqref="J1176 J1179">
    <cfRule type="cellIs" dxfId="41" priority="49" operator="greaterThanOrEqual">
      <formula>$B$7</formula>
    </cfRule>
  </conditionalFormatting>
  <conditionalFormatting sqref="L1179">
    <cfRule type="cellIs" dxfId="40" priority="48" operator="lessThan">
      <formula>$B$8</formula>
    </cfRule>
  </conditionalFormatting>
  <conditionalFormatting sqref="B1174">
    <cfRule type="cellIs" dxfId="39" priority="47" operator="greaterThan">
      <formula>$F1176</formula>
    </cfRule>
  </conditionalFormatting>
  <conditionalFormatting sqref="B1179">
    <cfRule type="cellIs" dxfId="38" priority="46" operator="lessThanOrEqual">
      <formula>$F1177</formula>
    </cfRule>
  </conditionalFormatting>
  <conditionalFormatting sqref="B1173">
    <cfRule type="cellIs" dxfId="37" priority="45" operator="lessThan">
      <formula>$R1176</formula>
    </cfRule>
  </conditionalFormatting>
  <conditionalFormatting sqref="B1178">
    <cfRule type="cellIs" dxfId="36" priority="44" operator="lessThan">
      <formula>$R1179</formula>
    </cfRule>
  </conditionalFormatting>
  <conditionalFormatting sqref="L1176">
    <cfRule type="cellIs" dxfId="35" priority="43" operator="lessThan">
      <formula>$B$8</formula>
    </cfRule>
  </conditionalFormatting>
  <conditionalFormatting sqref="J1189 J1192">
    <cfRule type="cellIs" dxfId="34" priority="42" operator="greaterThanOrEqual">
      <formula>$B$7</formula>
    </cfRule>
  </conditionalFormatting>
  <conditionalFormatting sqref="L1192">
    <cfRule type="cellIs" dxfId="33" priority="41" operator="lessThan">
      <formula>$B$8</formula>
    </cfRule>
  </conditionalFormatting>
  <conditionalFormatting sqref="B1187">
    <cfRule type="cellIs" dxfId="32" priority="40" operator="greaterThan">
      <formula>$F1189</formula>
    </cfRule>
  </conditionalFormatting>
  <conditionalFormatting sqref="B1192">
    <cfRule type="cellIs" dxfId="31" priority="39" operator="lessThanOrEqual">
      <formula>$F1190</formula>
    </cfRule>
  </conditionalFormatting>
  <conditionalFormatting sqref="B1186">
    <cfRule type="cellIs" dxfId="30" priority="38" operator="lessThan">
      <formula>$R1189</formula>
    </cfRule>
  </conditionalFormatting>
  <conditionalFormatting sqref="B1191">
    <cfRule type="cellIs" dxfId="29" priority="37" operator="lessThan">
      <formula>$R1192</formula>
    </cfRule>
  </conditionalFormatting>
  <conditionalFormatting sqref="L1189">
    <cfRule type="cellIs" dxfId="28" priority="36" operator="lessThan">
      <formula>$B$8</formula>
    </cfRule>
  </conditionalFormatting>
  <conditionalFormatting sqref="J1202 J1205">
    <cfRule type="cellIs" dxfId="27" priority="35" operator="greaterThanOrEqual">
      <formula>$B$7</formula>
    </cfRule>
  </conditionalFormatting>
  <conditionalFormatting sqref="L1205">
    <cfRule type="cellIs" dxfId="26" priority="34" operator="lessThan">
      <formula>$B$8</formula>
    </cfRule>
  </conditionalFormatting>
  <conditionalFormatting sqref="B1200">
    <cfRule type="cellIs" dxfId="25" priority="33" operator="greaterThan">
      <formula>$F1202</formula>
    </cfRule>
  </conditionalFormatting>
  <conditionalFormatting sqref="B1205">
    <cfRule type="cellIs" dxfId="24" priority="32" operator="lessThanOrEqual">
      <formula>$F1203</formula>
    </cfRule>
  </conditionalFormatting>
  <conditionalFormatting sqref="B1199">
    <cfRule type="cellIs" dxfId="23" priority="31" operator="lessThan">
      <formula>$R1202</formula>
    </cfRule>
  </conditionalFormatting>
  <conditionalFormatting sqref="B1204">
    <cfRule type="cellIs" dxfId="22" priority="30" operator="lessThan">
      <formula>$R1205</formula>
    </cfRule>
  </conditionalFormatting>
  <conditionalFormatting sqref="L1202">
    <cfRule type="cellIs" dxfId="21" priority="29" operator="lessThan">
      <formula>$B$8</formula>
    </cfRule>
  </conditionalFormatting>
  <conditionalFormatting sqref="J1150 J1153">
    <cfRule type="cellIs" dxfId="20" priority="28" operator="greaterThanOrEqual">
      <formula>$B$7</formula>
    </cfRule>
  </conditionalFormatting>
  <conditionalFormatting sqref="L1153">
    <cfRule type="cellIs" dxfId="19" priority="27" operator="lessThan">
      <formula>$B$8</formula>
    </cfRule>
  </conditionalFormatting>
  <conditionalFormatting sqref="B1148">
    <cfRule type="cellIs" dxfId="18" priority="26" operator="greaterThan">
      <formula>$F1150</formula>
    </cfRule>
  </conditionalFormatting>
  <conditionalFormatting sqref="B1153">
    <cfRule type="cellIs" dxfId="17" priority="25" operator="lessThanOrEqual">
      <formula>$F1151</formula>
    </cfRule>
  </conditionalFormatting>
  <conditionalFormatting sqref="B1147">
    <cfRule type="cellIs" dxfId="16" priority="24" operator="lessThan">
      <formula>$R1150</formula>
    </cfRule>
  </conditionalFormatting>
  <conditionalFormatting sqref="B1152">
    <cfRule type="cellIs" dxfId="15" priority="23" operator="lessThan">
      <formula>$R1153</formula>
    </cfRule>
  </conditionalFormatting>
  <conditionalFormatting sqref="L1150">
    <cfRule type="cellIs" dxfId="14" priority="22" operator="lessThan">
      <formula>$B$8</formula>
    </cfRule>
  </conditionalFormatting>
  <conditionalFormatting sqref="J1215 J1218">
    <cfRule type="cellIs" dxfId="13" priority="21" operator="greaterThanOrEqual">
      <formula>$B$7</formula>
    </cfRule>
  </conditionalFormatting>
  <conditionalFormatting sqref="L1218">
    <cfRule type="cellIs" dxfId="12" priority="20" operator="lessThan">
      <formula>$B$8</formula>
    </cfRule>
  </conditionalFormatting>
  <conditionalFormatting sqref="B1213">
    <cfRule type="cellIs" dxfId="11" priority="19" operator="greaterThan">
      <formula>$F1215</formula>
    </cfRule>
  </conditionalFormatting>
  <conditionalFormatting sqref="B1218">
    <cfRule type="cellIs" dxfId="10" priority="18" operator="lessThanOrEqual">
      <formula>$F1216</formula>
    </cfRule>
  </conditionalFormatting>
  <conditionalFormatting sqref="B1212">
    <cfRule type="cellIs" dxfId="9" priority="17" operator="lessThan">
      <formula>$R1215</formula>
    </cfRule>
  </conditionalFormatting>
  <conditionalFormatting sqref="B1217">
    <cfRule type="cellIs" dxfId="8" priority="16" operator="lessThan">
      <formula>$R1218</formula>
    </cfRule>
  </conditionalFormatting>
  <conditionalFormatting sqref="L1215">
    <cfRule type="cellIs" dxfId="7" priority="15" operator="lessThan">
      <formula>$B$8</formula>
    </cfRule>
  </conditionalFormatting>
  <conditionalFormatting sqref="J1228 J1231">
    <cfRule type="cellIs" dxfId="6" priority="14" operator="greaterThanOrEqual">
      <formula>$B$7</formula>
    </cfRule>
  </conditionalFormatting>
  <conditionalFormatting sqref="L1231">
    <cfRule type="cellIs" dxfId="5" priority="13" operator="lessThan">
      <formula>$B$8</formula>
    </cfRule>
  </conditionalFormatting>
  <conditionalFormatting sqref="B1226">
    <cfRule type="cellIs" dxfId="4" priority="12" operator="greaterThan">
      <formula>$F1228</formula>
    </cfRule>
  </conditionalFormatting>
  <conditionalFormatting sqref="B1231">
    <cfRule type="cellIs" dxfId="3" priority="11" operator="lessThanOrEqual">
      <formula>$F1229</formula>
    </cfRule>
  </conditionalFormatting>
  <conditionalFormatting sqref="B1225">
    <cfRule type="cellIs" dxfId="2" priority="10" operator="lessThan">
      <formula>$R1228</formula>
    </cfRule>
  </conditionalFormatting>
  <conditionalFormatting sqref="B1230">
    <cfRule type="cellIs" dxfId="1" priority="9" operator="lessThan">
      <formula>$R1231</formula>
    </cfRule>
  </conditionalFormatting>
  <conditionalFormatting sqref="L1228">
    <cfRule type="cellIs" dxfId="0" priority="8" operator="lessThan">
      <formula>$B$8</formula>
    </cfRule>
  </conditionalFormatting>
  <dataValidations count="3">
    <dataValidation type="list" allowBlank="1" showInputMessage="1" showErrorMessage="1" sqref="O14:O15 O27:O28 O40:O41 O53:O54 O79:O80 O92:O93 O105:O106 O118:O119 O131:O132 O144:O145 O157:O158 O170:O171 O183:O184 O196:O197 O66:O67 O209:O210 O222:O223 O235:O236 O248:O249 O261:O262 O274:O275 O287:O288 O300:O301 O313:O314 O326:O327 O339:O340 O365:O366 O378:O379 O391:O392 O404:O405 O417:O418 O430:O431 O443:O444 O456:O457 O469:O470 O482:O483 O495:O496 O508:O509 O521:O522 O534:O535 O547:O548 O560:O561 O573:O574 O586:O587 O352:O353 O599:O600 O612:O613 O625:O626 O638:O639 O651:O652 O664:O665 O677:O678 O690:O691 O703:O704 O716:O717 O729:O730 O742:O743 O755:O756 O768:O769 O781:O782 O794:O795 O807:O808 O820:O821 O833:O834 O846:O847 O859:O860 O872:O873 O885:O886 O898:O899 O911:O912 O924:O925 O937:O938 O950:O951 O963:O964 O976:O977 O989:O990 O1002:O1003 O1015:O1016 O1028:O1029 O1041:O1042 O1054:O1055 O1067:O1068 O1080:O1081 O1093:O1094 O1106:O1107 O1119:O1120 O1132:O1133 O1158:O1159 O1171:O1172 O1184:O1185 O1197:O1198 O1145:O1146 O1210:O1211 O1223:O1224">
      <formula1>$H$8:$H$16</formula1>
    </dataValidation>
    <dataValidation type="list" allowBlank="1" showInputMessage="1" showErrorMessage="1" sqref="M19 M22 M32 M35 M45 M48 M58 M61 M84 M87 M97 M100 M110 M113 M123 M126 M136 M139 M149 M152 M162 M165 M175 M178 M188 M191 M201 M204 M71 M74 M214 M217 M227 M230 M240 M243 M253 M256 M266 M269 M279 M282 M292 M295 M305 M308 M318 M321 M331 M334 M344 M347 M370 M373 M383 M386 M396 M399 M409 M412 M422 M425 M435 M438 M448 M451 M461 M464 M474 M477 M487 M490 M500 M503 M513 M516 M526 M529 M539 M542 M552 M555 M565 M568 M578 M581 M591 M594 M357 M360 M604 M607 M617 M620 M630 M633 M643 M646 M656 M659 M669 M672 M682 M685 M695 M698 M708 M711 M721 M724 M734 M737 M747 M750 M760 M763 M773 M776 M786 M789 M799 M802 M812 M815 M825 M828 M838 M841 M851 M854 M864 M867 M877 M880 M890 M893 M903 M906 M916 M919 M929 M932 M942 M945 M955 M958 M968 M971 M981 M984 M994 M997 M1007 M1010 M1020 M1023 M1033 M1036 M1046 M1049 M1059 M1062 M1072 M1075 M1085 M1088 M1098 M1101 M1111 M1114 M1124 M1127 M1137 M1205 M1163 M1166 M1176 M1179 M1189 M1192 M1202 M1140:M1141 M1153 M1150 M1218 M1215 M1231 M1228">
      <formula1>$H$6:$H$7</formula1>
    </dataValidation>
    <dataValidation type="list" allowBlank="1" showInputMessage="1" showErrorMessage="1" sqref="J18 J21 J31 J34 J44 J47 J57 J60 J83 J86 J96 J99 J109 J112 J122 J125 J135 J138 J148 J151 J161 J164 J174 J177 J187 J190 J200 J203 J70 J73 J213 J216 J226 J229 J239 J242 J252 J255 J265 J268 J278 J281 J291 J294 J304 J307 J317 J320 J330 J333 J343 J346 J369 J372 J382 J385 J395 J398 J408 J411 J421 J424 J434 J437 J447 J450 J460 J463 J473 J476 J486 J489 J499 J502 J512 J515 J525 J528 J538 J541 J551 J554 J564 J567 J577 J580 J590 J593 J356 J359 J603 J606 J616 J619 J629 J632 J642 J645 J655 J658 J668 J671 J681 J684 J694 J697 J707 J710 J720 J723 J733 J736 J746 J749 J759 J762 J772 J775 J785 J788 J798 J801 J811 J814 J824 J827 J837 J840 J850 J853 J863 J866 J876 J879 J889 J892 J902 J905 J915 J918 J928 J931 J941 J944 J954 J957 J967 J970 J980 J983 J993 J996 J1006 J1009 J1019 J1022 J1032 J1035 J1045 J1048 J1058 J1061 J1071 J1074 J1084 J1087 J1097 J1100 J1110 J1113 J1123 J1126 J1136 J1139 J1162 J1165 J1175 J1178 J1188 J1191 J1201 J1204 J1149 J1152 J1214 J1217 J1227 J1230">
      <formula1>$H$1:$H$3</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addBeam">
                <anchor moveWithCells="1" sizeWithCells="1">
                  <from>
                    <xdr:col>8</xdr:col>
                    <xdr:colOff>60960</xdr:colOff>
                    <xdr:row>0</xdr:row>
                    <xdr:rowOff>91440</xdr:rowOff>
                  </from>
                  <to>
                    <xdr:col>10</xdr:col>
                    <xdr:colOff>251460</xdr:colOff>
                    <xdr:row>2</xdr:row>
                    <xdr:rowOff>91440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5:L11"/>
  <sheetViews>
    <sheetView workbookViewId="0">
      <selection activeCell="D7" sqref="D7"/>
    </sheetView>
  </sheetViews>
  <sheetFormatPr defaultRowHeight="19.8" x14ac:dyDescent="0.3"/>
  <cols>
    <col min="1" max="1" width="16.77734375" style="31" customWidth="1"/>
    <col min="2" max="3" width="10.77734375" style="31" customWidth="1"/>
    <col min="4" max="9" width="16.77734375" style="31" customWidth="1"/>
    <col min="10" max="10" width="12.77734375" style="31" customWidth="1"/>
    <col min="11" max="11" width="40.77734375" style="31" customWidth="1"/>
    <col min="12" max="12" width="48.77734375" style="31" customWidth="1"/>
    <col min="13" max="16384" width="8.88671875" style="31"/>
  </cols>
  <sheetData>
    <row r="5" spans="1:12" x14ac:dyDescent="0.3">
      <c r="A5" s="101" t="s">
        <v>52</v>
      </c>
      <c r="B5" s="30" t="s">
        <v>41</v>
      </c>
      <c r="C5" s="30" t="s">
        <v>42</v>
      </c>
      <c r="D5" s="100" t="s">
        <v>43</v>
      </c>
      <c r="E5" s="100"/>
      <c r="F5" s="100" t="s">
        <v>46</v>
      </c>
      <c r="G5" s="100"/>
      <c r="H5" s="100" t="s">
        <v>47</v>
      </c>
      <c r="I5" s="100"/>
      <c r="J5" s="100" t="s">
        <v>48</v>
      </c>
      <c r="K5" s="100"/>
      <c r="L5" s="30" t="s">
        <v>51</v>
      </c>
    </row>
    <row r="6" spans="1:12" x14ac:dyDescent="0.3">
      <c r="A6" s="101"/>
      <c r="B6" s="30" t="s">
        <v>9</v>
      </c>
      <c r="C6" s="30" t="s">
        <v>9</v>
      </c>
      <c r="D6" s="30" t="s">
        <v>44</v>
      </c>
      <c r="E6" s="30" t="s">
        <v>45</v>
      </c>
      <c r="F6" s="30" t="s">
        <v>44</v>
      </c>
      <c r="G6" s="30" t="s">
        <v>45</v>
      </c>
      <c r="H6" s="30" t="s">
        <v>44</v>
      </c>
      <c r="I6" s="30" t="s">
        <v>45</v>
      </c>
      <c r="J6" s="30" t="s">
        <v>49</v>
      </c>
      <c r="K6" s="30" t="s">
        <v>50</v>
      </c>
      <c r="L6" s="30"/>
    </row>
    <row r="7" spans="1:12" x14ac:dyDescent="0.3">
      <c r="A7" s="30"/>
      <c r="B7" s="30"/>
      <c r="C7" s="30"/>
      <c r="D7" s="30"/>
      <c r="E7" s="30"/>
      <c r="F7" s="30"/>
      <c r="G7" s="30"/>
      <c r="H7" s="30"/>
      <c r="I7" s="30"/>
      <c r="J7" s="30"/>
      <c r="K7" s="89"/>
      <c r="L7" s="30"/>
    </row>
    <row r="8" spans="1:12" x14ac:dyDescent="0.3">
      <c r="A8" s="30"/>
      <c r="B8" s="30"/>
      <c r="C8" s="30"/>
      <c r="D8" s="30"/>
      <c r="E8" s="30"/>
      <c r="F8" s="30"/>
      <c r="G8" s="30"/>
      <c r="H8" s="30"/>
      <c r="I8" s="30"/>
      <c r="J8" s="30"/>
      <c r="K8" s="30"/>
      <c r="L8" s="30"/>
    </row>
    <row r="9" spans="1:12" x14ac:dyDescent="0.3">
      <c r="A9" s="30"/>
      <c r="B9" s="30"/>
      <c r="C9" s="30"/>
      <c r="D9" s="30"/>
      <c r="E9" s="30"/>
      <c r="F9" s="30"/>
      <c r="G9" s="30"/>
      <c r="H9" s="30"/>
      <c r="I9" s="30"/>
      <c r="J9" s="30"/>
      <c r="K9" s="30"/>
      <c r="L9" s="30"/>
    </row>
    <row r="10" spans="1:12" x14ac:dyDescent="0.3">
      <c r="A10" s="30"/>
      <c r="B10" s="30"/>
      <c r="C10" s="30"/>
      <c r="D10" s="30"/>
      <c r="E10" s="30"/>
      <c r="F10" s="30"/>
      <c r="G10" s="30"/>
      <c r="H10" s="30"/>
      <c r="I10" s="30"/>
      <c r="J10" s="30"/>
      <c r="K10" s="30"/>
      <c r="L10" s="30"/>
    </row>
    <row r="11" spans="1:12" x14ac:dyDescent="0.3">
      <c r="A11" s="30"/>
      <c r="B11" s="30"/>
      <c r="C11" s="30"/>
      <c r="D11" s="30"/>
      <c r="E11" s="30"/>
      <c r="F11" s="30"/>
      <c r="G11" s="30"/>
      <c r="H11" s="30"/>
      <c r="I11" s="30"/>
      <c r="J11" s="30"/>
      <c r="K11" s="30"/>
      <c r="L11" s="30"/>
    </row>
  </sheetData>
  <dataConsolidate/>
  <mergeCells count="5">
    <mergeCell ref="D5:E5"/>
    <mergeCell ref="F5:G5"/>
    <mergeCell ref="H5:I5"/>
    <mergeCell ref="J5:K5"/>
    <mergeCell ref="A5:A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_sched">
                <anchor moveWithCells="1" sizeWithCells="1">
                  <from>
                    <xdr:col>0</xdr:col>
                    <xdr:colOff>167640</xdr:colOff>
                    <xdr:row>0</xdr:row>
                    <xdr:rowOff>91440</xdr:rowOff>
                  </from>
                  <to>
                    <xdr:col>1</xdr:col>
                    <xdr:colOff>594360</xdr:colOff>
                    <xdr:row>1</xdr:row>
                    <xdr:rowOff>198120</xdr:rowOff>
                  </to>
                </anchor>
              </controlPr>
            </control>
          </mc:Choice>
        </mc:AlternateContent>
        <mc:AlternateContent xmlns:mc="http://schemas.openxmlformats.org/markup-compatibility/2006">
          <mc:Choice Requires="x14">
            <control shapeId="1026" r:id="rId5" name="Button 2">
              <controlPr defaultSize="0" print="0" autoFill="0" autoPict="0" macro="[0]!Button2_Click">
                <anchor moveWithCells="1" sizeWithCells="1">
                  <from>
                    <xdr:col>2</xdr:col>
                    <xdr:colOff>129540</xdr:colOff>
                    <xdr:row>0</xdr:row>
                    <xdr:rowOff>91440</xdr:rowOff>
                  </from>
                  <to>
                    <xdr:col>3</xdr:col>
                    <xdr:colOff>419100</xdr:colOff>
                    <xdr:row>1</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Q6"/>
  <sheetViews>
    <sheetView workbookViewId="0"/>
  </sheetViews>
  <sheetFormatPr defaultRowHeight="14.4" x14ac:dyDescent="0.3"/>
  <cols>
    <col min="1" max="16384" width="8.88671875" style="32"/>
  </cols>
  <sheetData>
    <row r="1" spans="1:17" x14ac:dyDescent="0.3">
      <c r="A1" s="32" t="s">
        <v>62</v>
      </c>
      <c r="B1" s="32" t="s">
        <v>41</v>
      </c>
      <c r="C1" s="32" t="s">
        <v>42</v>
      </c>
      <c r="D1" s="32" t="s">
        <v>60</v>
      </c>
      <c r="E1" s="32" t="s">
        <v>54</v>
      </c>
      <c r="F1" s="32" t="s">
        <v>55</v>
      </c>
      <c r="G1" s="32" t="s">
        <v>56</v>
      </c>
      <c r="H1" s="32" t="s">
        <v>61</v>
      </c>
      <c r="I1" s="32" t="s">
        <v>57</v>
      </c>
      <c r="J1" s="32" t="s">
        <v>58</v>
      </c>
      <c r="K1" s="32" t="s">
        <v>59</v>
      </c>
      <c r="L1" s="32" t="s">
        <v>53</v>
      </c>
      <c r="M1" s="32" t="s">
        <v>63</v>
      </c>
      <c r="N1" s="32" t="s">
        <v>64</v>
      </c>
      <c r="O1" s="32" t="s">
        <v>65</v>
      </c>
      <c r="P1" s="32" t="s">
        <v>66</v>
      </c>
    </row>
    <row r="2" spans="1:17" x14ac:dyDescent="0.2">
      <c r="Q2" s="33"/>
    </row>
    <row r="6" spans="1:17" x14ac:dyDescent="0.3">
      <c r="B6" s="32" t="s">
        <v>67</v>
      </c>
    </row>
  </sheetData>
  <sortState ref="A2:M470">
    <sortCondition ref="A2:A470"/>
  </sortSt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in.main">
                <anchor moveWithCells="1" sizeWithCells="1">
                  <from>
                    <xdr:col>16</xdr:col>
                    <xdr:colOff>396240</xdr:colOff>
                    <xdr:row>1</xdr:row>
                    <xdr:rowOff>91440</xdr:rowOff>
                  </from>
                  <to>
                    <xdr:col>18</xdr:col>
                    <xdr:colOff>342900</xdr:colOff>
                    <xdr:row>3</xdr:row>
                    <xdr:rowOff>99060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11</vt:i4>
      </vt:variant>
    </vt:vector>
  </HeadingPairs>
  <TitlesOfParts>
    <vt:vector size="14" baseType="lpstr">
      <vt:lpstr>BeamSum</vt:lpstr>
      <vt:lpstr>sched</vt:lpstr>
      <vt:lpstr>forFutureGrouping</vt:lpstr>
      <vt:lpstr>clrCover</vt:lpstr>
      <vt:lpstr>fc</vt:lpstr>
      <vt:lpstr>fy</vt:lpstr>
      <vt:lpstr>fys</vt:lpstr>
      <vt:lpstr>minSpac</vt:lpstr>
      <vt:lpstr>phi</vt:lpstr>
      <vt:lpstr>phiV</vt:lpstr>
      <vt:lpstr>phiVc</vt:lpstr>
      <vt:lpstr>BeamSum!Print_Area</vt:lpstr>
      <vt:lpstr>rhoMax</vt:lpstr>
      <vt:lpstr>rhoMin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GiulianoDiEnrico</dc:creator>
  <cp:lastModifiedBy>GiulianoDiEnrico</cp:lastModifiedBy>
  <dcterms:created xsi:type="dcterms:W3CDTF">2019-08-07T08:04:26Z</dcterms:created>
  <dcterms:modified xsi:type="dcterms:W3CDTF">2019-11-14T14:32:14Z</dcterms:modified>
</cp:coreProperties>
</file>