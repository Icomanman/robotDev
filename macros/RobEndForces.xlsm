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iulianoDiEnrico\Documents\0-code\robotDev\macros\"/>
    </mc:Choice>
  </mc:AlternateContent>
  <bookViews>
    <workbookView xWindow="936" yWindow="0" windowWidth="22104" windowHeight="9780"/>
  </bookViews>
  <sheets>
    <sheet name="dropSum" sheetId="1" r:id="rId1"/>
    <sheet name="ENVE" sheetId="2" r:id="rId2"/>
    <sheet name="ColSum" sheetId="3" r:id="rId3"/>
  </sheets>
  <functionGroups builtInGroupCount="18"/>
  <definedNames>
    <definedName name="ASt">ColSum!$Q$211</definedName>
    <definedName name="_xlnm.Print_Area" localSheetId="1">ENVE!$A$1:$T$334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7" i="1" l="1"/>
  <c r="J386" i="3" l="1"/>
  <c r="I386" i="3"/>
  <c r="K386" i="3" s="1"/>
  <c r="I385" i="3"/>
  <c r="J385" i="3" s="1"/>
  <c r="K384" i="3"/>
  <c r="I384" i="3"/>
  <c r="J384" i="3" s="1"/>
  <c r="K383" i="3"/>
  <c r="I383" i="3"/>
  <c r="J383" i="3" s="1"/>
  <c r="J382" i="3"/>
  <c r="I382" i="3"/>
  <c r="K382" i="3" s="1"/>
  <c r="B382" i="3"/>
  <c r="I388" i="3" s="1"/>
  <c r="J381" i="3"/>
  <c r="I381" i="3"/>
  <c r="K381" i="3" s="1"/>
  <c r="I380" i="3"/>
  <c r="K379" i="3"/>
  <c r="I379" i="3"/>
  <c r="J379" i="3" s="1"/>
  <c r="I376" i="3"/>
  <c r="B370" i="3"/>
  <c r="I361" i="3"/>
  <c r="B358" i="3"/>
  <c r="I352" i="3"/>
  <c r="J351" i="3"/>
  <c r="K350" i="3"/>
  <c r="J350" i="3"/>
  <c r="I350" i="3"/>
  <c r="J349" i="3"/>
  <c r="I349" i="3"/>
  <c r="K349" i="3" s="1"/>
  <c r="K348" i="3"/>
  <c r="I348" i="3"/>
  <c r="J348" i="3" s="1"/>
  <c r="K347" i="3"/>
  <c r="I347" i="3"/>
  <c r="J347" i="3" s="1"/>
  <c r="K346" i="3"/>
  <c r="I346" i="3"/>
  <c r="J346" i="3" s="1"/>
  <c r="B346" i="3"/>
  <c r="I351" i="3" s="1"/>
  <c r="K351" i="3" s="1"/>
  <c r="K345" i="3"/>
  <c r="J345" i="3"/>
  <c r="I345" i="3"/>
  <c r="J344" i="3"/>
  <c r="I344" i="3"/>
  <c r="K344" i="3" s="1"/>
  <c r="K343" i="3"/>
  <c r="I343" i="3"/>
  <c r="J343" i="3" s="1"/>
  <c r="P340" i="3"/>
  <c r="I340" i="3"/>
  <c r="P339" i="3"/>
  <c r="O339" i="3"/>
  <c r="N339" i="3"/>
  <c r="I339" i="3"/>
  <c r="P338" i="3"/>
  <c r="O338" i="3"/>
  <c r="N338" i="3" s="1"/>
  <c r="P337" i="3"/>
  <c r="O337" i="3"/>
  <c r="N337" i="3" s="1"/>
  <c r="I337" i="3"/>
  <c r="P336" i="3"/>
  <c r="K336" i="3"/>
  <c r="I336" i="3"/>
  <c r="J336" i="3" s="1"/>
  <c r="P335" i="3"/>
  <c r="O335" i="3"/>
  <c r="N335" i="3"/>
  <c r="I335" i="3"/>
  <c r="P334" i="3"/>
  <c r="O334" i="3"/>
  <c r="N334" i="3" s="1"/>
  <c r="B334" i="3"/>
  <c r="I332" i="3" s="1"/>
  <c r="P333" i="3"/>
  <c r="O333" i="3"/>
  <c r="N333" i="3"/>
  <c r="J333" i="3"/>
  <c r="I333" i="3"/>
  <c r="K333" i="3" s="1"/>
  <c r="P332" i="3"/>
  <c r="O332" i="3"/>
  <c r="N332" i="3"/>
  <c r="P331" i="3"/>
  <c r="O331" i="3"/>
  <c r="N331" i="3" s="1"/>
  <c r="J331" i="3"/>
  <c r="I331" i="3"/>
  <c r="K331" i="3" s="1"/>
  <c r="P328" i="3"/>
  <c r="P327" i="3"/>
  <c r="J327" i="3"/>
  <c r="I327" i="3"/>
  <c r="K327" i="3" s="1"/>
  <c r="P326" i="3"/>
  <c r="P325" i="3"/>
  <c r="P324" i="3"/>
  <c r="P323" i="3"/>
  <c r="P322" i="3"/>
  <c r="B322" i="3"/>
  <c r="O325" i="3" s="1"/>
  <c r="N325" i="3" s="1"/>
  <c r="P321" i="3"/>
  <c r="I321" i="3"/>
  <c r="P320" i="3"/>
  <c r="O320" i="3"/>
  <c r="N320" i="3"/>
  <c r="I320" i="3"/>
  <c r="P319" i="3"/>
  <c r="O319" i="3"/>
  <c r="N319" i="3" s="1"/>
  <c r="P316" i="3"/>
  <c r="O316" i="3"/>
  <c r="N316" i="3" s="1"/>
  <c r="I316" i="3"/>
  <c r="J316" i="3" s="1"/>
  <c r="P315" i="3"/>
  <c r="K315" i="3"/>
  <c r="I315" i="3"/>
  <c r="J315" i="3" s="1"/>
  <c r="P314" i="3"/>
  <c r="O314" i="3"/>
  <c r="N314" i="3"/>
  <c r="I314" i="3"/>
  <c r="P313" i="3"/>
  <c r="O313" i="3"/>
  <c r="N313" i="3" s="1"/>
  <c r="P312" i="3"/>
  <c r="O312" i="3"/>
  <c r="N312" i="3" s="1"/>
  <c r="I312" i="3"/>
  <c r="J312" i="3" s="1"/>
  <c r="P311" i="3"/>
  <c r="I311" i="3"/>
  <c r="P310" i="3"/>
  <c r="O310" i="3"/>
  <c r="N310" i="3" s="1"/>
  <c r="I310" i="3"/>
  <c r="B310" i="3"/>
  <c r="O309" i="3" s="1"/>
  <c r="N309" i="3" s="1"/>
  <c r="P309" i="3"/>
  <c r="P308" i="3"/>
  <c r="O308" i="3"/>
  <c r="N308" i="3"/>
  <c r="J308" i="3"/>
  <c r="I308" i="3"/>
  <c r="K308" i="3" s="1"/>
  <c r="P307" i="3"/>
  <c r="P304" i="3"/>
  <c r="O304" i="3"/>
  <c r="N304" i="3" s="1"/>
  <c r="J304" i="3"/>
  <c r="I304" i="3"/>
  <c r="K304" i="3" s="1"/>
  <c r="P303" i="3"/>
  <c r="P302" i="3"/>
  <c r="O302" i="3"/>
  <c r="N302" i="3"/>
  <c r="I302" i="3"/>
  <c r="P301" i="3"/>
  <c r="P300" i="3"/>
  <c r="O300" i="3"/>
  <c r="N300" i="3" s="1"/>
  <c r="J300" i="3"/>
  <c r="I300" i="3"/>
  <c r="K300" i="3" s="1"/>
  <c r="P299" i="3"/>
  <c r="K299" i="3"/>
  <c r="I299" i="3"/>
  <c r="J299" i="3" s="1"/>
  <c r="P298" i="3"/>
  <c r="O298" i="3"/>
  <c r="N298" i="3"/>
  <c r="I298" i="3"/>
  <c r="B298" i="3"/>
  <c r="O303" i="3" s="1"/>
  <c r="N303" i="3" s="1"/>
  <c r="P297" i="3"/>
  <c r="O297" i="3"/>
  <c r="N297" i="3" s="1"/>
  <c r="K297" i="3"/>
  <c r="I297" i="3"/>
  <c r="J297" i="3" s="1"/>
  <c r="P296" i="3"/>
  <c r="O296" i="3"/>
  <c r="N296" i="3"/>
  <c r="K296" i="3"/>
  <c r="I296" i="3"/>
  <c r="J296" i="3" s="1"/>
  <c r="P295" i="3"/>
  <c r="O295" i="3"/>
  <c r="N295" i="3" s="1"/>
  <c r="I295" i="3"/>
  <c r="P292" i="3"/>
  <c r="O292" i="3"/>
  <c r="N292" i="3" s="1"/>
  <c r="J292" i="3"/>
  <c r="P291" i="3"/>
  <c r="O291" i="3"/>
  <c r="N291" i="3" s="1"/>
  <c r="I291" i="3"/>
  <c r="P290" i="3"/>
  <c r="K290" i="3"/>
  <c r="I290" i="3"/>
  <c r="J290" i="3" s="1"/>
  <c r="P289" i="3"/>
  <c r="O289" i="3"/>
  <c r="N289" i="3"/>
  <c r="I289" i="3"/>
  <c r="P288" i="3"/>
  <c r="O288" i="3"/>
  <c r="N288" i="3" s="1"/>
  <c r="P287" i="3"/>
  <c r="O287" i="3"/>
  <c r="N287" i="3" s="1"/>
  <c r="K287" i="3"/>
  <c r="I287" i="3"/>
  <c r="J287" i="3" s="1"/>
  <c r="P286" i="3"/>
  <c r="I286" i="3"/>
  <c r="B286" i="3"/>
  <c r="I292" i="3" s="1"/>
  <c r="K292" i="3" s="1"/>
  <c r="P285" i="3"/>
  <c r="O285" i="3"/>
  <c r="N285" i="3" s="1"/>
  <c r="J285" i="3"/>
  <c r="I285" i="3"/>
  <c r="K285" i="3" s="1"/>
  <c r="P284" i="3"/>
  <c r="O284" i="3"/>
  <c r="N284" i="3"/>
  <c r="K284" i="3"/>
  <c r="I284" i="3"/>
  <c r="J284" i="3" s="1"/>
  <c r="P283" i="3"/>
  <c r="O283" i="3"/>
  <c r="N283" i="3"/>
  <c r="J283" i="3"/>
  <c r="I283" i="3"/>
  <c r="K283" i="3" s="1"/>
  <c r="P280" i="3"/>
  <c r="P279" i="3"/>
  <c r="O279" i="3"/>
  <c r="N279" i="3" s="1"/>
  <c r="P278" i="3"/>
  <c r="P277" i="3"/>
  <c r="I277" i="3"/>
  <c r="K277" i="3" s="1"/>
  <c r="P276" i="3"/>
  <c r="P275" i="3"/>
  <c r="P274" i="3"/>
  <c r="B274" i="3"/>
  <c r="P273" i="3"/>
  <c r="O273" i="3"/>
  <c r="N273" i="3" s="1"/>
  <c r="P272" i="3"/>
  <c r="I272" i="3"/>
  <c r="P271" i="3"/>
  <c r="I271" i="3"/>
  <c r="J271" i="3" s="1"/>
  <c r="P268" i="3"/>
  <c r="O268" i="3"/>
  <c r="N268" i="3" s="1"/>
  <c r="P267" i="3"/>
  <c r="P266" i="3"/>
  <c r="O266" i="3"/>
  <c r="N266" i="3" s="1"/>
  <c r="P265" i="3"/>
  <c r="I265" i="3"/>
  <c r="P264" i="3"/>
  <c r="O264" i="3"/>
  <c r="N264" i="3" s="1"/>
  <c r="I264" i="3"/>
  <c r="P263" i="3"/>
  <c r="O263" i="3"/>
  <c r="N263" i="3" s="1"/>
  <c r="P262" i="3"/>
  <c r="O262" i="3"/>
  <c r="N262" i="3" s="1"/>
  <c r="K262" i="3"/>
  <c r="I262" i="3"/>
  <c r="J262" i="3" s="1"/>
  <c r="B262" i="3"/>
  <c r="O267" i="3" s="1"/>
  <c r="N267" i="3" s="1"/>
  <c r="P261" i="3"/>
  <c r="P260" i="3"/>
  <c r="O260" i="3"/>
  <c r="N260" i="3" s="1"/>
  <c r="P259" i="3"/>
  <c r="P256" i="3"/>
  <c r="P255" i="3"/>
  <c r="P254" i="3"/>
  <c r="P253" i="3"/>
  <c r="P252" i="3"/>
  <c r="P251" i="3"/>
  <c r="P250" i="3"/>
  <c r="O250" i="3"/>
  <c r="N250" i="3" s="1"/>
  <c r="B250" i="3"/>
  <c r="I256" i="3" s="1"/>
  <c r="P249" i="3"/>
  <c r="I249" i="3"/>
  <c r="P248" i="3"/>
  <c r="O248" i="3"/>
  <c r="N248" i="3" s="1"/>
  <c r="P247" i="3"/>
  <c r="I247" i="3"/>
  <c r="P244" i="3"/>
  <c r="P243" i="3"/>
  <c r="P242" i="3"/>
  <c r="P241" i="3"/>
  <c r="I241" i="3"/>
  <c r="J241" i="3" s="1"/>
  <c r="P240" i="3"/>
  <c r="P239" i="3"/>
  <c r="P238" i="3"/>
  <c r="B238" i="3"/>
  <c r="I238" i="3" s="1"/>
  <c r="P237" i="3"/>
  <c r="P236" i="3"/>
  <c r="P235" i="3"/>
  <c r="P232" i="3"/>
  <c r="P231" i="3"/>
  <c r="P230" i="3"/>
  <c r="O230" i="3"/>
  <c r="N230" i="3" s="1"/>
  <c r="P229" i="3"/>
  <c r="P228" i="3"/>
  <c r="I228" i="3"/>
  <c r="P227" i="3"/>
  <c r="P226" i="3"/>
  <c r="B226" i="3"/>
  <c r="P225" i="3"/>
  <c r="O225" i="3"/>
  <c r="N225" i="3" s="1"/>
  <c r="P224" i="3"/>
  <c r="P223" i="3"/>
  <c r="I223" i="3"/>
  <c r="P220" i="3"/>
  <c r="I220" i="3"/>
  <c r="P219" i="3"/>
  <c r="I219" i="3"/>
  <c r="P218" i="3"/>
  <c r="P217" i="3"/>
  <c r="P216" i="3"/>
  <c r="I216" i="3"/>
  <c r="P215" i="3"/>
  <c r="P214" i="3"/>
  <c r="B214" i="3"/>
  <c r="P213" i="3"/>
  <c r="P212" i="3"/>
  <c r="P211" i="3"/>
  <c r="I207" i="3"/>
  <c r="I206" i="3"/>
  <c r="B202" i="3"/>
  <c r="I201" i="3"/>
  <c r="I200" i="3"/>
  <c r="J200" i="3" s="1"/>
  <c r="I196" i="3"/>
  <c r="K195" i="3"/>
  <c r="J195" i="3"/>
  <c r="I195" i="3"/>
  <c r="K191" i="3"/>
  <c r="I191" i="3"/>
  <c r="J191" i="3" s="1"/>
  <c r="K190" i="3"/>
  <c r="J190" i="3"/>
  <c r="I190" i="3"/>
  <c r="B190" i="3"/>
  <c r="J188" i="3"/>
  <c r="I188" i="3"/>
  <c r="K188" i="3" s="1"/>
  <c r="K183" i="3"/>
  <c r="I183" i="3"/>
  <c r="J183" i="3" s="1"/>
  <c r="I182" i="3"/>
  <c r="J182" i="3" s="1"/>
  <c r="J180" i="3"/>
  <c r="I180" i="3"/>
  <c r="K180" i="3" s="1"/>
  <c r="J179" i="3"/>
  <c r="K178" i="3"/>
  <c r="J178" i="3"/>
  <c r="I178" i="3"/>
  <c r="B178" i="3"/>
  <c r="I179" i="3" s="1"/>
  <c r="K179" i="3" s="1"/>
  <c r="I177" i="3"/>
  <c r="J176" i="3"/>
  <c r="I176" i="3"/>
  <c r="K176" i="3" s="1"/>
  <c r="K175" i="3"/>
  <c r="J175" i="3"/>
  <c r="I175" i="3"/>
  <c r="I171" i="3"/>
  <c r="K171" i="3" s="1"/>
  <c r="I168" i="3"/>
  <c r="K167" i="3"/>
  <c r="I167" i="3"/>
  <c r="J167" i="3" s="1"/>
  <c r="I166" i="3"/>
  <c r="K166" i="3" s="1"/>
  <c r="B166" i="3"/>
  <c r="K164" i="3"/>
  <c r="I164" i="3"/>
  <c r="J164" i="3" s="1"/>
  <c r="K163" i="3"/>
  <c r="J163" i="3"/>
  <c r="I163" i="3"/>
  <c r="I158" i="3"/>
  <c r="J158" i="3" s="1"/>
  <c r="B154" i="3"/>
  <c r="I146" i="3"/>
  <c r="K146" i="3" s="1"/>
  <c r="I145" i="3"/>
  <c r="J145" i="3" s="1"/>
  <c r="J143" i="3"/>
  <c r="I143" i="3"/>
  <c r="K143" i="3" s="1"/>
  <c r="B142" i="3"/>
  <c r="I140" i="3"/>
  <c r="I139" i="3"/>
  <c r="K139" i="3" s="1"/>
  <c r="K136" i="3"/>
  <c r="J136" i="3"/>
  <c r="I136" i="3"/>
  <c r="I134" i="3"/>
  <c r="K134" i="3" s="1"/>
  <c r="K133" i="3"/>
  <c r="J133" i="3"/>
  <c r="I133" i="3"/>
  <c r="K132" i="3"/>
  <c r="I132" i="3"/>
  <c r="J132" i="3" s="1"/>
  <c r="J131" i="3"/>
  <c r="I131" i="3"/>
  <c r="K131" i="3" s="1"/>
  <c r="I130" i="3"/>
  <c r="J130" i="3" s="1"/>
  <c r="B130" i="3"/>
  <c r="I135" i="3" s="1"/>
  <c r="K129" i="3"/>
  <c r="J129" i="3"/>
  <c r="I129" i="3"/>
  <c r="K128" i="3"/>
  <c r="J128" i="3"/>
  <c r="I128" i="3"/>
  <c r="I127" i="3"/>
  <c r="J127" i="3" s="1"/>
  <c r="K123" i="3"/>
  <c r="I123" i="3"/>
  <c r="J123" i="3" s="1"/>
  <c r="I122" i="3"/>
  <c r="K122" i="3" s="1"/>
  <c r="I119" i="3"/>
  <c r="K119" i="3" s="1"/>
  <c r="B118" i="3"/>
  <c r="I121" i="3" s="1"/>
  <c r="J121" i="3" s="1"/>
  <c r="K116" i="3"/>
  <c r="I116" i="3"/>
  <c r="J116" i="3" s="1"/>
  <c r="P112" i="3"/>
  <c r="P111" i="3"/>
  <c r="P110" i="3"/>
  <c r="I110" i="3"/>
  <c r="K110" i="3" s="1"/>
  <c r="P109" i="3"/>
  <c r="O109" i="3"/>
  <c r="N109" i="3" s="1"/>
  <c r="P108" i="3"/>
  <c r="P107" i="3"/>
  <c r="P106" i="3"/>
  <c r="B106" i="3"/>
  <c r="P105" i="3"/>
  <c r="I105" i="3"/>
  <c r="P104" i="3"/>
  <c r="O104" i="3"/>
  <c r="N104" i="3" s="1"/>
  <c r="P103" i="3"/>
  <c r="I103" i="3"/>
  <c r="J103" i="3" s="1"/>
  <c r="P100" i="3"/>
  <c r="O100" i="3"/>
  <c r="N100" i="3" s="1"/>
  <c r="I100" i="3"/>
  <c r="P99" i="3"/>
  <c r="O99" i="3"/>
  <c r="N99" i="3" s="1"/>
  <c r="I99" i="3"/>
  <c r="J99" i="3" s="1"/>
  <c r="P98" i="3"/>
  <c r="O98" i="3"/>
  <c r="N98" i="3" s="1"/>
  <c r="I98" i="3"/>
  <c r="J98" i="3" s="1"/>
  <c r="P97" i="3"/>
  <c r="O97" i="3"/>
  <c r="N97" i="3"/>
  <c r="K97" i="3"/>
  <c r="J97" i="3"/>
  <c r="I97" i="3"/>
  <c r="P96" i="3"/>
  <c r="O96" i="3"/>
  <c r="N96" i="3" s="1"/>
  <c r="I96" i="3"/>
  <c r="K96" i="3" s="1"/>
  <c r="P95" i="3"/>
  <c r="O95" i="3"/>
  <c r="N95" i="3" s="1"/>
  <c r="I95" i="3"/>
  <c r="P94" i="3"/>
  <c r="O94" i="3"/>
  <c r="N94" i="3" s="1"/>
  <c r="K94" i="3"/>
  <c r="I94" i="3"/>
  <c r="J94" i="3" s="1"/>
  <c r="B94" i="3"/>
  <c r="I93" i="3" s="1"/>
  <c r="P93" i="3"/>
  <c r="O93" i="3"/>
  <c r="N93" i="3" s="1"/>
  <c r="K93" i="3"/>
  <c r="J93" i="3"/>
  <c r="P92" i="3"/>
  <c r="O92" i="3"/>
  <c r="N92" i="3"/>
  <c r="J92" i="3"/>
  <c r="I92" i="3"/>
  <c r="K92" i="3" s="1"/>
  <c r="P91" i="3"/>
  <c r="J91" i="3"/>
  <c r="I91" i="3"/>
  <c r="K91" i="3" s="1"/>
  <c r="P88" i="3"/>
  <c r="N88" i="3"/>
  <c r="P87" i="3"/>
  <c r="O87" i="3"/>
  <c r="N87" i="3"/>
  <c r="P86" i="3"/>
  <c r="I86" i="3"/>
  <c r="K86" i="3" s="1"/>
  <c r="P85" i="3"/>
  <c r="P84" i="3"/>
  <c r="O84" i="3"/>
  <c r="N84" i="3" s="1"/>
  <c r="P83" i="3"/>
  <c r="O83" i="3"/>
  <c r="N83" i="3" s="1"/>
  <c r="P82" i="3"/>
  <c r="K82" i="3"/>
  <c r="J82" i="3"/>
  <c r="I82" i="3"/>
  <c r="B82" i="3"/>
  <c r="O88" i="3" s="1"/>
  <c r="P81" i="3"/>
  <c r="O81" i="3"/>
  <c r="N81" i="3" s="1"/>
  <c r="I81" i="3"/>
  <c r="K81" i="3" s="1"/>
  <c r="P80" i="3"/>
  <c r="O80" i="3"/>
  <c r="N80" i="3" s="1"/>
  <c r="P79" i="3"/>
  <c r="O79" i="3"/>
  <c r="N79" i="3"/>
  <c r="K79" i="3"/>
  <c r="I79" i="3"/>
  <c r="J79" i="3" s="1"/>
  <c r="P76" i="3"/>
  <c r="P75" i="3"/>
  <c r="O75" i="3"/>
  <c r="N75" i="3" s="1"/>
  <c r="P74" i="3"/>
  <c r="P73" i="3"/>
  <c r="P72" i="3"/>
  <c r="O72" i="3"/>
  <c r="N72" i="3" s="1"/>
  <c r="P71" i="3"/>
  <c r="P70" i="3"/>
  <c r="B70" i="3"/>
  <c r="O74" i="3" s="1"/>
  <c r="N74" i="3" s="1"/>
  <c r="P69" i="3"/>
  <c r="O69" i="3"/>
  <c r="N69" i="3" s="1"/>
  <c r="P68" i="3"/>
  <c r="J68" i="3"/>
  <c r="I68" i="3"/>
  <c r="K68" i="3" s="1"/>
  <c r="P67" i="3"/>
  <c r="I64" i="3"/>
  <c r="K64" i="3" s="1"/>
  <c r="I62" i="3"/>
  <c r="K61" i="3"/>
  <c r="J61" i="3"/>
  <c r="I61" i="3"/>
  <c r="I59" i="3"/>
  <c r="K59" i="3" s="1"/>
  <c r="K58" i="3"/>
  <c r="J58" i="3"/>
  <c r="I58" i="3"/>
  <c r="B58" i="3"/>
  <c r="I63" i="3" s="1"/>
  <c r="J63" i="3" s="1"/>
  <c r="I57" i="3"/>
  <c r="I56" i="3"/>
  <c r="K56" i="3" s="1"/>
  <c r="P52" i="3"/>
  <c r="P51" i="3"/>
  <c r="P50" i="3"/>
  <c r="P49" i="3"/>
  <c r="P48" i="3"/>
  <c r="O48" i="3"/>
  <c r="N48" i="3" s="1"/>
  <c r="P47" i="3"/>
  <c r="I47" i="3"/>
  <c r="K47" i="3" s="1"/>
  <c r="P46" i="3"/>
  <c r="B46" i="3"/>
  <c r="I52" i="3" s="1"/>
  <c r="P45" i="3"/>
  <c r="O45" i="3"/>
  <c r="N45" i="3" s="1"/>
  <c r="P44" i="3"/>
  <c r="P43" i="3"/>
  <c r="P40" i="3"/>
  <c r="O40" i="3"/>
  <c r="N40" i="3" s="1"/>
  <c r="I40" i="3"/>
  <c r="K40" i="3" s="1"/>
  <c r="P39" i="3"/>
  <c r="O39" i="3"/>
  <c r="N39" i="3"/>
  <c r="P38" i="3"/>
  <c r="O38" i="3"/>
  <c r="N38" i="3"/>
  <c r="K38" i="3"/>
  <c r="J38" i="3"/>
  <c r="I38" i="3"/>
  <c r="P37" i="3"/>
  <c r="I37" i="3"/>
  <c r="K37" i="3" s="1"/>
  <c r="P36" i="3"/>
  <c r="O36" i="3"/>
  <c r="N36" i="3" s="1"/>
  <c r="J36" i="3"/>
  <c r="I36" i="3"/>
  <c r="K36" i="3" s="1"/>
  <c r="P35" i="3"/>
  <c r="O35" i="3"/>
  <c r="N35" i="3"/>
  <c r="P34" i="3"/>
  <c r="O34" i="3"/>
  <c r="N34" i="3"/>
  <c r="K34" i="3"/>
  <c r="J34" i="3"/>
  <c r="I34" i="3"/>
  <c r="B34" i="3"/>
  <c r="I39" i="3" s="1"/>
  <c r="P33" i="3"/>
  <c r="O33" i="3"/>
  <c r="N33" i="3"/>
  <c r="K33" i="3"/>
  <c r="J33" i="3"/>
  <c r="I33" i="3"/>
  <c r="P32" i="3"/>
  <c r="O32" i="3"/>
  <c r="N32" i="3" s="1"/>
  <c r="I32" i="3"/>
  <c r="K32" i="3" s="1"/>
  <c r="P31" i="3"/>
  <c r="O31" i="3"/>
  <c r="N31" i="3" s="1"/>
  <c r="I31" i="3"/>
  <c r="P28" i="3"/>
  <c r="P27" i="3"/>
  <c r="P26" i="3"/>
  <c r="P25" i="3"/>
  <c r="P24" i="3"/>
  <c r="O24" i="3"/>
  <c r="N24" i="3" s="1"/>
  <c r="P23" i="3"/>
  <c r="J23" i="3"/>
  <c r="I23" i="3"/>
  <c r="K23" i="3" s="1"/>
  <c r="P22" i="3"/>
  <c r="B22" i="3"/>
  <c r="P21" i="3"/>
  <c r="O21" i="3"/>
  <c r="N21" i="3" s="1"/>
  <c r="P20" i="3"/>
  <c r="P19" i="3"/>
  <c r="O19" i="3"/>
  <c r="N19" i="3" s="1"/>
  <c r="P16" i="3"/>
  <c r="P15" i="3"/>
  <c r="P14" i="3"/>
  <c r="P13" i="3"/>
  <c r="P12" i="3"/>
  <c r="P11" i="3"/>
  <c r="P10" i="3"/>
  <c r="B10" i="3"/>
  <c r="O12" i="3" s="1"/>
  <c r="N12" i="3" s="1"/>
  <c r="P9" i="3"/>
  <c r="P8" i="3"/>
  <c r="P7" i="3"/>
  <c r="D2" i="3"/>
  <c r="D1" i="3"/>
  <c r="N17" i="2"/>
  <c r="O17" i="2" s="1"/>
  <c r="N18" i="2" s="1"/>
  <c r="K52" i="3" l="1"/>
  <c r="J52" i="3"/>
  <c r="J238" i="3"/>
  <c r="K238" i="3"/>
  <c r="K100" i="3"/>
  <c r="J100" i="3"/>
  <c r="K332" i="3"/>
  <c r="J332" i="3"/>
  <c r="J361" i="3"/>
  <c r="K361" i="3"/>
  <c r="I8" i="3"/>
  <c r="I48" i="3"/>
  <c r="K63" i="3"/>
  <c r="J86" i="3"/>
  <c r="J105" i="3"/>
  <c r="K105" i="3"/>
  <c r="K145" i="3"/>
  <c r="I213" i="3"/>
  <c r="O211" i="3"/>
  <c r="N211" i="3" s="1"/>
  <c r="O220" i="3"/>
  <c r="N220" i="3" s="1"/>
  <c r="I218" i="3"/>
  <c r="I215" i="3"/>
  <c r="O213" i="3"/>
  <c r="N213" i="3" s="1"/>
  <c r="I211" i="3"/>
  <c r="I217" i="3"/>
  <c r="O214" i="3"/>
  <c r="N214" i="3" s="1"/>
  <c r="O218" i="3"/>
  <c r="N218" i="3" s="1"/>
  <c r="O215" i="3"/>
  <c r="N215" i="3" s="1"/>
  <c r="J247" i="3"/>
  <c r="K247" i="3"/>
  <c r="J277" i="3"/>
  <c r="J286" i="3"/>
  <c r="K286" i="3"/>
  <c r="I12" i="3"/>
  <c r="I28" i="3"/>
  <c r="O26" i="3"/>
  <c r="N26" i="3" s="1"/>
  <c r="I24" i="3"/>
  <c r="O22" i="3"/>
  <c r="N22" i="3" s="1"/>
  <c r="I20" i="3"/>
  <c r="I25" i="3"/>
  <c r="I46" i="3"/>
  <c r="J56" i="3"/>
  <c r="J59" i="3"/>
  <c r="I73" i="3"/>
  <c r="I76" i="3"/>
  <c r="K99" i="3"/>
  <c r="K103" i="3"/>
  <c r="J110" i="3"/>
  <c r="J119" i="3"/>
  <c r="K127" i="3"/>
  <c r="J140" i="3"/>
  <c r="K140" i="3"/>
  <c r="I155" i="3"/>
  <c r="I157" i="3"/>
  <c r="I152" i="3"/>
  <c r="I160" i="3"/>
  <c r="I156" i="3"/>
  <c r="I153" i="3"/>
  <c r="K158" i="3"/>
  <c r="K182" i="3"/>
  <c r="K200" i="3"/>
  <c r="I214" i="3"/>
  <c r="O217" i="3"/>
  <c r="N217" i="3" s="1"/>
  <c r="J223" i="3"/>
  <c r="K223" i="3"/>
  <c r="O232" i="3"/>
  <c r="N232" i="3" s="1"/>
  <c r="I231" i="3"/>
  <c r="O229" i="3"/>
  <c r="N229" i="3" s="1"/>
  <c r="I227" i="3"/>
  <c r="I224" i="3"/>
  <c r="O231" i="3"/>
  <c r="N231" i="3" s="1"/>
  <c r="I229" i="3"/>
  <c r="O227" i="3"/>
  <c r="N227" i="3" s="1"/>
  <c r="O228" i="3"/>
  <c r="N228" i="3" s="1"/>
  <c r="I225" i="3"/>
  <c r="O224" i="3"/>
  <c r="N224" i="3" s="1"/>
  <c r="I232" i="3"/>
  <c r="I279" i="3"/>
  <c r="O277" i="3"/>
  <c r="N277" i="3" s="1"/>
  <c r="I275" i="3"/>
  <c r="I280" i="3"/>
  <c r="O278" i="3"/>
  <c r="N278" i="3" s="1"/>
  <c r="I276" i="3"/>
  <c r="O274" i="3"/>
  <c r="N274" i="3" s="1"/>
  <c r="I273" i="3"/>
  <c r="O271" i="3"/>
  <c r="N271" i="3" s="1"/>
  <c r="O280" i="3"/>
  <c r="N280" i="3" s="1"/>
  <c r="I278" i="3"/>
  <c r="O276" i="3"/>
  <c r="N276" i="3" s="1"/>
  <c r="I274" i="3"/>
  <c r="O275" i="3"/>
  <c r="N275" i="3" s="1"/>
  <c r="J380" i="3"/>
  <c r="K380" i="3"/>
  <c r="I13" i="3"/>
  <c r="K206" i="3"/>
  <c r="J206" i="3"/>
  <c r="K220" i="3"/>
  <c r="J220" i="3"/>
  <c r="I44" i="3"/>
  <c r="O51" i="3"/>
  <c r="N51" i="3" s="1"/>
  <c r="I49" i="3"/>
  <c r="O47" i="3"/>
  <c r="N47" i="3" s="1"/>
  <c r="I45" i="3"/>
  <c r="O43" i="3"/>
  <c r="N43" i="3" s="1"/>
  <c r="K135" i="3"/>
  <c r="J135" i="3"/>
  <c r="J139" i="3"/>
  <c r="J177" i="3"/>
  <c r="K177" i="3"/>
  <c r="K207" i="3"/>
  <c r="J207" i="3"/>
  <c r="K241" i="3"/>
  <c r="K256" i="3"/>
  <c r="J256" i="3"/>
  <c r="O10" i="3"/>
  <c r="N10" i="3" s="1"/>
  <c r="J32" i="3"/>
  <c r="I7" i="3"/>
  <c r="O9" i="3"/>
  <c r="N9" i="3" s="1"/>
  <c r="I15" i="3"/>
  <c r="I22" i="3"/>
  <c r="O23" i="3"/>
  <c r="N23" i="3" s="1"/>
  <c r="O28" i="3"/>
  <c r="N28" i="3" s="1"/>
  <c r="J37" i="3"/>
  <c r="O46" i="3"/>
  <c r="N46" i="3" s="1"/>
  <c r="I50" i="3"/>
  <c r="J64" i="3"/>
  <c r="J96" i="3"/>
  <c r="I112" i="3"/>
  <c r="O110" i="3"/>
  <c r="N110" i="3" s="1"/>
  <c r="I108" i="3"/>
  <c r="O106" i="3"/>
  <c r="N106" i="3" s="1"/>
  <c r="O111" i="3"/>
  <c r="N111" i="3" s="1"/>
  <c r="I109" i="3"/>
  <c r="O107" i="3"/>
  <c r="N107" i="3" s="1"/>
  <c r="O112" i="3"/>
  <c r="N112" i="3" s="1"/>
  <c r="I111" i="3"/>
  <c r="I104" i="3"/>
  <c r="O105" i="3"/>
  <c r="N105" i="3" s="1"/>
  <c r="O108" i="3"/>
  <c r="N108" i="3" s="1"/>
  <c r="I107" i="3"/>
  <c r="O103" i="3"/>
  <c r="N103" i="3" s="1"/>
  <c r="K130" i="3"/>
  <c r="J146" i="3"/>
  <c r="I154" i="3"/>
  <c r="I159" i="3"/>
  <c r="J166" i="3"/>
  <c r="J171" i="3"/>
  <c r="J201" i="3"/>
  <c r="K201" i="3"/>
  <c r="I226" i="3"/>
  <c r="K271" i="3"/>
  <c r="J321" i="3"/>
  <c r="K321" i="3"/>
  <c r="J337" i="3"/>
  <c r="K337" i="3"/>
  <c r="I371" i="3"/>
  <c r="I373" i="3"/>
  <c r="I368" i="3"/>
  <c r="I372" i="3"/>
  <c r="I367" i="3"/>
  <c r="I374" i="3"/>
  <c r="I369" i="3"/>
  <c r="I375" i="3"/>
  <c r="O8" i="3"/>
  <c r="N8" i="3" s="1"/>
  <c r="O15" i="3"/>
  <c r="N15" i="3" s="1"/>
  <c r="O11" i="3"/>
  <c r="N11" i="3" s="1"/>
  <c r="K228" i="3"/>
  <c r="J228" i="3"/>
  <c r="O14" i="3"/>
  <c r="N14" i="3" s="1"/>
  <c r="J40" i="3"/>
  <c r="O49" i="3"/>
  <c r="N49" i="3" s="1"/>
  <c r="I71" i="3"/>
  <c r="I236" i="3"/>
  <c r="I237" i="3"/>
  <c r="O235" i="3"/>
  <c r="N235" i="3" s="1"/>
  <c r="O244" i="3"/>
  <c r="N244" i="3" s="1"/>
  <c r="I242" i="3"/>
  <c r="I239" i="3"/>
  <c r="O237" i="3"/>
  <c r="N237" i="3" s="1"/>
  <c r="I235" i="3"/>
  <c r="I244" i="3"/>
  <c r="O239" i="3"/>
  <c r="N239" i="3" s="1"/>
  <c r="O243" i="3"/>
  <c r="N243" i="3" s="1"/>
  <c r="O241" i="3"/>
  <c r="N241" i="3" s="1"/>
  <c r="I243" i="3"/>
  <c r="I240" i="3"/>
  <c r="O242" i="3"/>
  <c r="N242" i="3" s="1"/>
  <c r="K295" i="3"/>
  <c r="J295" i="3"/>
  <c r="K339" i="3"/>
  <c r="J339" i="3"/>
  <c r="I27" i="3"/>
  <c r="I11" i="3"/>
  <c r="O13" i="3"/>
  <c r="N13" i="3" s="1"/>
  <c r="I19" i="3"/>
  <c r="O20" i="3"/>
  <c r="N20" i="3" s="1"/>
  <c r="O25" i="3"/>
  <c r="N25" i="3" s="1"/>
  <c r="K39" i="3"/>
  <c r="J39" i="3"/>
  <c r="I43" i="3"/>
  <c r="O44" i="3"/>
  <c r="N44" i="3" s="1"/>
  <c r="O50" i="3"/>
  <c r="N50" i="3" s="1"/>
  <c r="K57" i="3"/>
  <c r="J57" i="3"/>
  <c r="O71" i="3"/>
  <c r="N71" i="3" s="1"/>
  <c r="I74" i="3"/>
  <c r="I106" i="3"/>
  <c r="K121" i="3"/>
  <c r="J134" i="3"/>
  <c r="I148" i="3"/>
  <c r="I142" i="3"/>
  <c r="I144" i="3"/>
  <c r="I141" i="3"/>
  <c r="I147" i="3"/>
  <c r="I205" i="3"/>
  <c r="I204" i="3"/>
  <c r="I202" i="3"/>
  <c r="I203" i="3"/>
  <c r="I208" i="3"/>
  <c r="I199" i="3"/>
  <c r="I212" i="3"/>
  <c r="O223" i="3"/>
  <c r="N223" i="3" s="1"/>
  <c r="O226" i="3"/>
  <c r="N226" i="3" s="1"/>
  <c r="I230" i="3"/>
  <c r="O238" i="3"/>
  <c r="N238" i="3" s="1"/>
  <c r="K312" i="3"/>
  <c r="I370" i="3"/>
  <c r="K31" i="3"/>
  <c r="J31" i="3"/>
  <c r="K219" i="3"/>
  <c r="J219" i="3"/>
  <c r="K264" i="3"/>
  <c r="J264" i="3"/>
  <c r="J272" i="3"/>
  <c r="K272" i="3"/>
  <c r="I364" i="3"/>
  <c r="I358" i="3"/>
  <c r="I362" i="3"/>
  <c r="I357" i="3"/>
  <c r="I359" i="3"/>
  <c r="I356" i="3"/>
  <c r="I363" i="3"/>
  <c r="I355" i="3"/>
  <c r="I10" i="3"/>
  <c r="I21" i="3"/>
  <c r="I26" i="3"/>
  <c r="O27" i="3"/>
  <c r="N27" i="3" s="1"/>
  <c r="J47" i="3"/>
  <c r="I51" i="3"/>
  <c r="O52" i="3"/>
  <c r="N52" i="3" s="1"/>
  <c r="J81" i="3"/>
  <c r="K98" i="3"/>
  <c r="J122" i="3"/>
  <c r="I151" i="3"/>
  <c r="K168" i="3"/>
  <c r="J168" i="3"/>
  <c r="O212" i="3"/>
  <c r="N212" i="3" s="1"/>
  <c r="O219" i="3"/>
  <c r="N219" i="3" s="1"/>
  <c r="O236" i="3"/>
  <c r="N236" i="3" s="1"/>
  <c r="K249" i="3"/>
  <c r="J249" i="3"/>
  <c r="O272" i="3"/>
  <c r="N272" i="3" s="1"/>
  <c r="K298" i="3"/>
  <c r="J298" i="3"/>
  <c r="K310" i="3"/>
  <c r="J310" i="3"/>
  <c r="O16" i="3"/>
  <c r="N16" i="3" s="1"/>
  <c r="I14" i="3"/>
  <c r="O7" i="3"/>
  <c r="N7" i="3" s="1"/>
  <c r="I9" i="3"/>
  <c r="I16" i="3"/>
  <c r="K62" i="3"/>
  <c r="J62" i="3"/>
  <c r="I69" i="3"/>
  <c r="O67" i="3"/>
  <c r="N67" i="3" s="1"/>
  <c r="O73" i="3"/>
  <c r="N73" i="3" s="1"/>
  <c r="O70" i="3"/>
  <c r="N70" i="3" s="1"/>
  <c r="O76" i="3"/>
  <c r="N76" i="3" s="1"/>
  <c r="I72" i="3"/>
  <c r="O68" i="3"/>
  <c r="N68" i="3" s="1"/>
  <c r="I75" i="3"/>
  <c r="I70" i="3"/>
  <c r="I67" i="3"/>
  <c r="J95" i="3"/>
  <c r="K95" i="3"/>
  <c r="K196" i="3"/>
  <c r="J196" i="3"/>
  <c r="K216" i="3"/>
  <c r="J216" i="3"/>
  <c r="I360" i="3"/>
  <c r="J376" i="3"/>
  <c r="K376" i="3"/>
  <c r="I35" i="3"/>
  <c r="O37" i="3"/>
  <c r="N37" i="3" s="1"/>
  <c r="I80" i="3"/>
  <c r="I85" i="3"/>
  <c r="I117" i="3"/>
  <c r="I124" i="3"/>
  <c r="I184" i="3"/>
  <c r="I192" i="3"/>
  <c r="I187" i="3"/>
  <c r="I194" i="3"/>
  <c r="I189" i="3"/>
  <c r="I193" i="3"/>
  <c r="O249" i="3"/>
  <c r="N249" i="3" s="1"/>
  <c r="J265" i="3"/>
  <c r="K265" i="3"/>
  <c r="J291" i="3"/>
  <c r="K291" i="3"/>
  <c r="K320" i="3"/>
  <c r="J320" i="3"/>
  <c r="K335" i="3"/>
  <c r="J335" i="3"/>
  <c r="I55" i="3"/>
  <c r="I60" i="3"/>
  <c r="I87" i="3"/>
  <c r="O85" i="3"/>
  <c r="N85" i="3" s="1"/>
  <c r="I83" i="3"/>
  <c r="I88" i="3"/>
  <c r="O86" i="3"/>
  <c r="N86" i="3" s="1"/>
  <c r="I84" i="3"/>
  <c r="O82" i="3"/>
  <c r="N82" i="3" s="1"/>
  <c r="I181" i="3"/>
  <c r="O247" i="3"/>
  <c r="N247" i="3" s="1"/>
  <c r="J311" i="3"/>
  <c r="K311" i="3"/>
  <c r="I118" i="3"/>
  <c r="I120" i="3"/>
  <c r="I115" i="3"/>
  <c r="I170" i="3"/>
  <c r="I165" i="3"/>
  <c r="I172" i="3"/>
  <c r="I169" i="3"/>
  <c r="O256" i="3"/>
  <c r="N256" i="3" s="1"/>
  <c r="I254" i="3"/>
  <c r="O252" i="3"/>
  <c r="N252" i="3" s="1"/>
  <c r="I250" i="3"/>
  <c r="I255" i="3"/>
  <c r="O253" i="3"/>
  <c r="N253" i="3" s="1"/>
  <c r="I251" i="3"/>
  <c r="I248" i="3"/>
  <c r="O255" i="3"/>
  <c r="N255" i="3" s="1"/>
  <c r="I253" i="3"/>
  <c r="O251" i="3"/>
  <c r="N251" i="3" s="1"/>
  <c r="O254" i="3"/>
  <c r="N254" i="3" s="1"/>
  <c r="I252" i="3"/>
  <c r="K302" i="3"/>
  <c r="J302" i="3"/>
  <c r="K314" i="3"/>
  <c r="J314" i="3"/>
  <c r="K316" i="3"/>
  <c r="J340" i="3"/>
  <c r="K340" i="3"/>
  <c r="K388" i="3"/>
  <c r="J388" i="3"/>
  <c r="K385" i="3"/>
  <c r="I323" i="3"/>
  <c r="K352" i="3"/>
  <c r="J352" i="3"/>
  <c r="O91" i="3"/>
  <c r="N91" i="3" s="1"/>
  <c r="I260" i="3"/>
  <c r="I261" i="3"/>
  <c r="O259" i="3"/>
  <c r="N259" i="3" s="1"/>
  <c r="I267" i="3"/>
  <c r="O265" i="3"/>
  <c r="N265" i="3" s="1"/>
  <c r="I263" i="3"/>
  <c r="O261" i="3"/>
  <c r="N261" i="3" s="1"/>
  <c r="I259" i="3"/>
  <c r="I266" i="3"/>
  <c r="I268" i="3"/>
  <c r="K289" i="3"/>
  <c r="J289" i="3"/>
  <c r="O327" i="3"/>
  <c r="N327" i="3" s="1"/>
  <c r="I325" i="3"/>
  <c r="O323" i="3"/>
  <c r="N323" i="3" s="1"/>
  <c r="O328" i="3"/>
  <c r="N328" i="3" s="1"/>
  <c r="I326" i="3"/>
  <c r="O324" i="3"/>
  <c r="N324" i="3" s="1"/>
  <c r="I322" i="3"/>
  <c r="O321" i="3"/>
  <c r="N321" i="3" s="1"/>
  <c r="I319" i="3"/>
  <c r="I328" i="3"/>
  <c r="O326" i="3"/>
  <c r="N326" i="3" s="1"/>
  <c r="I324" i="3"/>
  <c r="O322" i="3"/>
  <c r="N322" i="3" s="1"/>
  <c r="O301" i="3"/>
  <c r="N301" i="3" s="1"/>
  <c r="I303" i="3"/>
  <c r="O307" i="3"/>
  <c r="N307" i="3" s="1"/>
  <c r="I309" i="3"/>
  <c r="O286" i="3"/>
  <c r="N286" i="3" s="1"/>
  <c r="I288" i="3"/>
  <c r="O290" i="3"/>
  <c r="N290" i="3" s="1"/>
  <c r="O311" i="3"/>
  <c r="N311" i="3" s="1"/>
  <c r="I313" i="3"/>
  <c r="O315" i="3"/>
  <c r="N315" i="3" s="1"/>
  <c r="I334" i="3"/>
  <c r="O336" i="3"/>
  <c r="N336" i="3" s="1"/>
  <c r="I338" i="3"/>
  <c r="O340" i="3"/>
  <c r="N340" i="3" s="1"/>
  <c r="I387" i="3"/>
  <c r="O299" i="3"/>
  <c r="N299" i="3" s="1"/>
  <c r="I301" i="3"/>
  <c r="I307" i="3"/>
  <c r="K11" i="3" l="1"/>
  <c r="J11" i="3"/>
  <c r="K46" i="3"/>
  <c r="J46" i="3"/>
  <c r="K367" i="3"/>
  <c r="J367" i="3"/>
  <c r="J154" i="3"/>
  <c r="K154" i="3"/>
  <c r="K111" i="3"/>
  <c r="J111" i="3"/>
  <c r="K112" i="3"/>
  <c r="J112" i="3"/>
  <c r="J22" i="3"/>
  <c r="K22" i="3"/>
  <c r="J278" i="3"/>
  <c r="K278" i="3"/>
  <c r="J229" i="3"/>
  <c r="K229" i="3"/>
  <c r="J160" i="3"/>
  <c r="K160" i="3"/>
  <c r="K25" i="3"/>
  <c r="J25" i="3"/>
  <c r="J211" i="3"/>
  <c r="K211" i="3"/>
  <c r="J288" i="3"/>
  <c r="K288" i="3"/>
  <c r="J253" i="3"/>
  <c r="K253" i="3"/>
  <c r="K254" i="3"/>
  <c r="J254" i="3"/>
  <c r="J118" i="3"/>
  <c r="K118" i="3"/>
  <c r="K88" i="3"/>
  <c r="J88" i="3"/>
  <c r="K189" i="3"/>
  <c r="J189" i="3"/>
  <c r="J80" i="3"/>
  <c r="K80" i="3"/>
  <c r="J72" i="3"/>
  <c r="K72" i="3"/>
  <c r="K16" i="3"/>
  <c r="J16" i="3"/>
  <c r="J357" i="3"/>
  <c r="K357" i="3"/>
  <c r="K205" i="3"/>
  <c r="J205" i="3"/>
  <c r="K106" i="3"/>
  <c r="J106" i="3"/>
  <c r="K372" i="3"/>
  <c r="J372" i="3"/>
  <c r="K15" i="3"/>
  <c r="J15" i="3"/>
  <c r="K45" i="3"/>
  <c r="J45" i="3"/>
  <c r="K152" i="3"/>
  <c r="J152" i="3"/>
  <c r="J20" i="3"/>
  <c r="K20" i="3"/>
  <c r="K338" i="3"/>
  <c r="J338" i="3"/>
  <c r="J328" i="3"/>
  <c r="K328" i="3"/>
  <c r="K325" i="3"/>
  <c r="J325" i="3"/>
  <c r="K263" i="3"/>
  <c r="J263" i="3"/>
  <c r="K83" i="3"/>
  <c r="J83" i="3"/>
  <c r="K194" i="3"/>
  <c r="J194" i="3"/>
  <c r="K9" i="3"/>
  <c r="J9" i="3"/>
  <c r="J151" i="3"/>
  <c r="K151" i="3"/>
  <c r="J26" i="3"/>
  <c r="K26" i="3"/>
  <c r="J362" i="3"/>
  <c r="K362" i="3"/>
  <c r="J147" i="3"/>
  <c r="K147" i="3"/>
  <c r="J74" i="3"/>
  <c r="K74" i="3"/>
  <c r="K237" i="3"/>
  <c r="J237" i="3"/>
  <c r="K368" i="3"/>
  <c r="J368" i="3"/>
  <c r="K226" i="3"/>
  <c r="J226" i="3"/>
  <c r="K13" i="3"/>
  <c r="J13" i="3"/>
  <c r="K279" i="3"/>
  <c r="J279" i="3"/>
  <c r="K224" i="3"/>
  <c r="J224" i="3"/>
  <c r="J214" i="3"/>
  <c r="K214" i="3"/>
  <c r="K157" i="3"/>
  <c r="J157" i="3"/>
  <c r="J215" i="3"/>
  <c r="K215" i="3"/>
  <c r="K75" i="3"/>
  <c r="J75" i="3"/>
  <c r="K326" i="3"/>
  <c r="J326" i="3"/>
  <c r="K260" i="3"/>
  <c r="J260" i="3"/>
  <c r="K250" i="3"/>
  <c r="J250" i="3"/>
  <c r="K84" i="3"/>
  <c r="J84" i="3"/>
  <c r="K117" i="3"/>
  <c r="J117" i="3"/>
  <c r="K202" i="3"/>
  <c r="J202" i="3"/>
  <c r="K243" i="3"/>
  <c r="J243" i="3"/>
  <c r="J104" i="3"/>
  <c r="K104" i="3"/>
  <c r="K280" i="3"/>
  <c r="J280" i="3"/>
  <c r="J217" i="3"/>
  <c r="K217" i="3"/>
  <c r="J324" i="3"/>
  <c r="K324" i="3"/>
  <c r="K193" i="3"/>
  <c r="J193" i="3"/>
  <c r="K230" i="3"/>
  <c r="J230" i="3"/>
  <c r="J43" i="3"/>
  <c r="K43" i="3"/>
  <c r="K27" i="3"/>
  <c r="J27" i="3"/>
  <c r="K275" i="3"/>
  <c r="J275" i="3"/>
  <c r="J309" i="3"/>
  <c r="K309" i="3"/>
  <c r="K323" i="3"/>
  <c r="J323" i="3"/>
  <c r="K248" i="3"/>
  <c r="J248" i="3"/>
  <c r="K35" i="3"/>
  <c r="J35" i="3"/>
  <c r="J141" i="3"/>
  <c r="K141" i="3"/>
  <c r="J244" i="3"/>
  <c r="K244" i="3"/>
  <c r="K109" i="3"/>
  <c r="J109" i="3"/>
  <c r="J7" i="3"/>
  <c r="K7" i="3"/>
  <c r="K232" i="3"/>
  <c r="J232" i="3"/>
  <c r="K227" i="3"/>
  <c r="J227" i="3"/>
  <c r="K155" i="3"/>
  <c r="J155" i="3"/>
  <c r="K24" i="3"/>
  <c r="J24" i="3"/>
  <c r="K218" i="3"/>
  <c r="J218" i="3"/>
  <c r="J334" i="3"/>
  <c r="K334" i="3"/>
  <c r="K172" i="3"/>
  <c r="J172" i="3"/>
  <c r="K87" i="3"/>
  <c r="J87" i="3"/>
  <c r="J10" i="3"/>
  <c r="K10" i="3"/>
  <c r="K144" i="3"/>
  <c r="J144" i="3"/>
  <c r="J235" i="3"/>
  <c r="K235" i="3"/>
  <c r="K48" i="3"/>
  <c r="J48" i="3"/>
  <c r="K307" i="3"/>
  <c r="J307" i="3"/>
  <c r="K322" i="3"/>
  <c r="J322" i="3"/>
  <c r="J60" i="3"/>
  <c r="K60" i="3"/>
  <c r="K67" i="3"/>
  <c r="J67" i="3"/>
  <c r="K355" i="3"/>
  <c r="J355" i="3"/>
  <c r="K208" i="3"/>
  <c r="J208" i="3"/>
  <c r="K142" i="3"/>
  <c r="J142" i="3"/>
  <c r="J19" i="3"/>
  <c r="K19" i="3"/>
  <c r="K375" i="3"/>
  <c r="J375" i="3"/>
  <c r="J44" i="3"/>
  <c r="K44" i="3"/>
  <c r="K276" i="3"/>
  <c r="J276" i="3"/>
  <c r="K225" i="3"/>
  <c r="J225" i="3"/>
  <c r="K231" i="3"/>
  <c r="J231" i="3"/>
  <c r="K28" i="3"/>
  <c r="J28" i="3"/>
  <c r="K8" i="3"/>
  <c r="J8" i="3"/>
  <c r="J266" i="3"/>
  <c r="K266" i="3"/>
  <c r="J51" i="3"/>
  <c r="K51" i="3"/>
  <c r="J242" i="3"/>
  <c r="K242" i="3"/>
  <c r="K374" i="3"/>
  <c r="J374" i="3"/>
  <c r="J387" i="3"/>
  <c r="K387" i="3"/>
  <c r="J259" i="3"/>
  <c r="K259" i="3"/>
  <c r="K120" i="3"/>
  <c r="J120" i="3"/>
  <c r="K85" i="3"/>
  <c r="J85" i="3"/>
  <c r="K359" i="3"/>
  <c r="J359" i="3"/>
  <c r="K204" i="3"/>
  <c r="J204" i="3"/>
  <c r="K319" i="3"/>
  <c r="J319" i="3"/>
  <c r="J169" i="3"/>
  <c r="K169" i="3"/>
  <c r="J187" i="3"/>
  <c r="K187" i="3"/>
  <c r="K21" i="3"/>
  <c r="J21" i="3"/>
  <c r="K358" i="3"/>
  <c r="J358" i="3"/>
  <c r="K212" i="3"/>
  <c r="J212" i="3"/>
  <c r="K236" i="3"/>
  <c r="J236" i="3"/>
  <c r="K373" i="3"/>
  <c r="J373" i="3"/>
  <c r="K50" i="3"/>
  <c r="J50" i="3"/>
  <c r="J49" i="3"/>
  <c r="K49" i="3"/>
  <c r="K273" i="3"/>
  <c r="J273" i="3"/>
  <c r="K76" i="3"/>
  <c r="J76" i="3"/>
  <c r="K267" i="3"/>
  <c r="J267" i="3"/>
  <c r="K251" i="3"/>
  <c r="J251" i="3"/>
  <c r="J192" i="3"/>
  <c r="K192" i="3"/>
  <c r="K14" i="3"/>
  <c r="J14" i="3"/>
  <c r="K364" i="3"/>
  <c r="J364" i="3"/>
  <c r="J199" i="3"/>
  <c r="K199" i="3"/>
  <c r="K71" i="3"/>
  <c r="J71" i="3"/>
  <c r="K371" i="3"/>
  <c r="J371" i="3"/>
  <c r="K107" i="3"/>
  <c r="J107" i="3"/>
  <c r="J73" i="3"/>
  <c r="K73" i="3"/>
  <c r="J303" i="3"/>
  <c r="K303" i="3"/>
  <c r="K165" i="3"/>
  <c r="J165" i="3"/>
  <c r="K181" i="3"/>
  <c r="J181" i="3"/>
  <c r="J184" i="3"/>
  <c r="K184" i="3"/>
  <c r="J370" i="3"/>
  <c r="K370" i="3"/>
  <c r="K301" i="3"/>
  <c r="J301" i="3"/>
  <c r="J313" i="3"/>
  <c r="K313" i="3"/>
  <c r="K268" i="3"/>
  <c r="J268" i="3"/>
  <c r="K261" i="3"/>
  <c r="J261" i="3"/>
  <c r="K252" i="3"/>
  <c r="J252" i="3"/>
  <c r="K255" i="3"/>
  <c r="J255" i="3"/>
  <c r="J170" i="3"/>
  <c r="K170" i="3"/>
  <c r="J55" i="3"/>
  <c r="K55" i="3"/>
  <c r="K124" i="3"/>
  <c r="J124" i="3"/>
  <c r="K360" i="3"/>
  <c r="J360" i="3"/>
  <c r="J70" i="3"/>
  <c r="K70" i="3"/>
  <c r="K69" i="3"/>
  <c r="J69" i="3"/>
  <c r="J363" i="3"/>
  <c r="K363" i="3"/>
  <c r="K203" i="3"/>
  <c r="J203" i="3"/>
  <c r="J148" i="3"/>
  <c r="K148" i="3"/>
  <c r="K240" i="3"/>
  <c r="J240" i="3"/>
  <c r="J239" i="3"/>
  <c r="K239" i="3"/>
  <c r="K369" i="3"/>
  <c r="J369" i="3"/>
  <c r="K108" i="3"/>
  <c r="J108" i="3"/>
  <c r="J274" i="3"/>
  <c r="K274" i="3"/>
  <c r="K153" i="3"/>
  <c r="J153" i="3"/>
  <c r="K12" i="3"/>
  <c r="J12" i="3"/>
  <c r="J213" i="3"/>
  <c r="K213" i="3"/>
  <c r="K115" i="3"/>
  <c r="J115" i="3"/>
  <c r="J356" i="3"/>
  <c r="K356" i="3"/>
  <c r="K159" i="3"/>
  <c r="J159" i="3"/>
  <c r="K156" i="3"/>
  <c r="J156" i="3"/>
</calcChain>
</file>

<file path=xl/sharedStrings.xml><?xml version="1.0" encoding="utf-8"?>
<sst xmlns="http://schemas.openxmlformats.org/spreadsheetml/2006/main" count="384" uniqueCount="79">
  <si>
    <t>Bar ID</t>
  </si>
  <si>
    <t>FX</t>
  </si>
  <si>
    <t>FY</t>
  </si>
  <si>
    <t>FZ</t>
  </si>
  <si>
    <t>MY</t>
  </si>
  <si>
    <t>MZ</t>
  </si>
  <si>
    <t>LC</t>
  </si>
  <si>
    <t>Kn</t>
  </si>
  <si>
    <t>kN</t>
  </si>
  <si>
    <t>kNm</t>
  </si>
  <si>
    <t>Story</t>
  </si>
  <si>
    <t>Pier</t>
  </si>
  <si>
    <t>Load</t>
  </si>
  <si>
    <t>FX (kN)</t>
  </si>
  <si>
    <t>FY (kN)</t>
  </si>
  <si>
    <t>FZ (kN)</t>
  </si>
  <si>
    <t>MX (kNm)</t>
  </si>
  <si>
    <t>MY (kNm)</t>
  </si>
  <si>
    <t>MZ (kNm)</t>
  </si>
  <si>
    <t>Column</t>
  </si>
  <si>
    <t>P</t>
  </si>
  <si>
    <t>V2</t>
  </si>
  <si>
    <t>V3</t>
  </si>
  <si>
    <t>My</t>
  </si>
  <si>
    <t>Mz</t>
  </si>
  <si>
    <t>Row Count:</t>
  </si>
  <si>
    <t>Selected Elements:</t>
  </si>
  <si>
    <t>f'c =</t>
  </si>
  <si>
    <t>MPa</t>
  </si>
  <si>
    <t>ksi</t>
  </si>
  <si>
    <t>bBar</t>
  </si>
  <si>
    <t>hBar</t>
  </si>
  <si>
    <t>fy =</t>
  </si>
  <si>
    <t xml:space="preserve">phi = </t>
  </si>
  <si>
    <t>gamma =</t>
  </si>
  <si>
    <t>Vz</t>
  </si>
  <si>
    <t>Vy</t>
  </si>
  <si>
    <t>Rny</t>
  </si>
  <si>
    <t>Rnz</t>
  </si>
  <si>
    <t>Rho</t>
  </si>
  <si>
    <t>C1</t>
  </si>
  <si>
    <t>b =</t>
  </si>
  <si>
    <t>C</t>
  </si>
  <si>
    <t>h =</t>
  </si>
  <si>
    <t>Ag =</t>
  </si>
  <si>
    <t>C1a</t>
  </si>
  <si>
    <t>C2</t>
  </si>
  <si>
    <t>C2a</t>
  </si>
  <si>
    <t>C3</t>
  </si>
  <si>
    <t>C4</t>
  </si>
  <si>
    <t>C4a</t>
  </si>
  <si>
    <t>C5</t>
  </si>
  <si>
    <t>C6</t>
  </si>
  <si>
    <t>C7</t>
  </si>
  <si>
    <t>C8</t>
  </si>
  <si>
    <t>C8a</t>
  </si>
  <si>
    <t>C9</t>
  </si>
  <si>
    <t>M2</t>
  </si>
  <si>
    <t>M3</t>
  </si>
  <si>
    <t>C10</t>
  </si>
  <si>
    <t>C10a</t>
  </si>
  <si>
    <t>C10b</t>
  </si>
  <si>
    <t>C11</t>
  </si>
  <si>
    <t>C12</t>
  </si>
  <si>
    <t>C12a</t>
  </si>
  <si>
    <t>C12b</t>
  </si>
  <si>
    <t>C13a</t>
  </si>
  <si>
    <t>C13b</t>
  </si>
  <si>
    <t>C14</t>
  </si>
  <si>
    <t>C15</t>
  </si>
  <si>
    <t>C15a</t>
  </si>
  <si>
    <t>C15b</t>
  </si>
  <si>
    <t>C16</t>
  </si>
  <si>
    <t>C18</t>
  </si>
  <si>
    <t>C19</t>
  </si>
  <si>
    <t>C20</t>
  </si>
  <si>
    <t>C21</t>
  </si>
  <si>
    <t>C22</t>
  </si>
  <si>
    <t>Range: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</si>
</sst>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i/>
      <sz val="11"/>
      <color rgb="FF00000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0000FF"/>
      <name val="Arial"/>
      <family val="2"/>
    </font>
    <font>
      <b/>
      <i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0"/>
      <name val="Arial"/>
      <family val="2"/>
    </font>
    <font>
      <i/>
      <sz val="10"/>
      <color rgb="FF0000FF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6" fillId="0" borderId="0" xfId="0" quotePrefix="1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64" fontId="6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5" fillId="5" borderId="1" xfId="0" applyNumberFormat="1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2" fontId="1" fillId="0" borderId="0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</cellXfs>
  <cellStyles count="1">
    <cellStyle name="Normal" xfId="0" builtinId="0"/>
  </cellStyles>
  <dxfs count="2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60960</xdr:rowOff>
        </xdr:from>
        <xdr:to>
          <xdr:col>1</xdr:col>
          <xdr:colOff>662940</xdr:colOff>
          <xdr:row>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Papaya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0</xdr:row>
          <xdr:rowOff>99060</xdr:rowOff>
        </xdr:from>
        <xdr:to>
          <xdr:col>6</xdr:col>
          <xdr:colOff>541020</xdr:colOff>
          <xdr:row>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1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106680</xdr:rowOff>
        </xdr:from>
        <xdr:to>
          <xdr:col>9</xdr:col>
          <xdr:colOff>571500</xdr:colOff>
          <xdr:row>2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472440</xdr:colOff>
          <xdr:row>0</xdr:row>
          <xdr:rowOff>99060</xdr:rowOff>
        </xdr:from>
        <xdr:to>
          <xdr:col>13</xdr:col>
          <xdr:colOff>579120</xdr:colOff>
          <xdr:row>2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22860</xdr:rowOff>
        </xdr:from>
        <xdr:to>
          <xdr:col>14</xdr:col>
          <xdr:colOff>15240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22860</xdr:rowOff>
        </xdr:from>
        <xdr:to>
          <xdr:col>15</xdr:col>
          <xdr:colOff>701040</xdr:colOff>
          <xdr:row>2</xdr:row>
          <xdr:rowOff>144780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PH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N17"/>
  <sheetViews>
    <sheetView tabSelected="1" zoomScaleNormal="100" workbookViewId="0">
      <selection activeCell="A6" sqref="A6"/>
    </sheetView>
  </sheetViews>
  <sheetFormatPr defaultRowHeight="13.2" x14ac:dyDescent="0.3"/>
  <cols>
    <col min="1" max="1" width="16.77734375" style="1" customWidth="1"/>
    <col min="2" max="7" width="8.77734375" style="1" customWidth="1"/>
    <col min="8" max="8" width="2.77734375" style="1" customWidth="1"/>
    <col min="9" max="9" width="16.77734375" style="1" customWidth="1"/>
    <col min="10" max="12" width="8.77734375" style="1" customWidth="1"/>
    <col min="13" max="16384" width="8.88671875" style="1"/>
  </cols>
  <sheetData>
    <row r="4" spans="1:14" x14ac:dyDescent="0.3">
      <c r="A4" s="36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36" t="s">
        <v>6</v>
      </c>
      <c r="I4" s="1" t="s">
        <v>19</v>
      </c>
      <c r="J4" s="1" t="s">
        <v>20</v>
      </c>
      <c r="K4" s="1" t="s">
        <v>21</v>
      </c>
      <c r="L4" s="1" t="s">
        <v>22</v>
      </c>
      <c r="M4" s="1" t="s">
        <v>23</v>
      </c>
      <c r="N4" s="1" t="s">
        <v>24</v>
      </c>
    </row>
    <row r="5" spans="1:14" x14ac:dyDescent="0.3">
      <c r="A5" s="36"/>
      <c r="B5" s="1" t="s">
        <v>8</v>
      </c>
      <c r="C5" s="1" t="s">
        <v>8</v>
      </c>
      <c r="D5" s="1" t="s">
        <v>8</v>
      </c>
      <c r="E5" s="1" t="s">
        <v>9</v>
      </c>
      <c r="F5" s="1" t="s">
        <v>9</v>
      </c>
      <c r="G5" s="36"/>
      <c r="J5" s="1" t="s">
        <v>8</v>
      </c>
      <c r="K5" s="1" t="s">
        <v>8</v>
      </c>
      <c r="L5" s="1" t="s">
        <v>8</v>
      </c>
      <c r="M5" s="1" t="s">
        <v>9</v>
      </c>
      <c r="N5" s="1" t="s">
        <v>9</v>
      </c>
    </row>
    <row r="6" spans="1:14" x14ac:dyDescent="0.3">
      <c r="J6" s="28"/>
      <c r="K6" s="29"/>
      <c r="L6" s="29"/>
      <c r="M6" s="29"/>
      <c r="N6" s="30"/>
    </row>
    <row r="7" spans="1:14" x14ac:dyDescent="0.3">
      <c r="J7" s="28"/>
      <c r="K7" s="31"/>
      <c r="L7" s="31"/>
      <c r="M7" s="31"/>
      <c r="N7" s="32"/>
    </row>
    <row r="8" spans="1:14" x14ac:dyDescent="0.3">
      <c r="J8" s="33"/>
      <c r="K8" s="28"/>
      <c r="L8" s="31"/>
      <c r="M8" s="31"/>
      <c r="N8" s="32"/>
    </row>
    <row r="9" spans="1:14" x14ac:dyDescent="0.3">
      <c r="J9" s="33"/>
      <c r="K9" s="28"/>
      <c r="L9" s="31"/>
      <c r="M9" s="31"/>
      <c r="N9" s="32"/>
    </row>
    <row r="10" spans="1:14" x14ac:dyDescent="0.3">
      <c r="J10" s="33"/>
      <c r="K10" s="31"/>
      <c r="L10" s="28"/>
      <c r="M10" s="31"/>
      <c r="N10" s="32"/>
    </row>
    <row r="11" spans="1:14" x14ac:dyDescent="0.3">
      <c r="J11" s="33"/>
      <c r="K11" s="31"/>
      <c r="L11" s="28"/>
      <c r="M11" s="31"/>
      <c r="N11" s="32"/>
    </row>
    <row r="12" spans="1:14" x14ac:dyDescent="0.3">
      <c r="J12" s="33"/>
      <c r="K12" s="31"/>
      <c r="L12" s="31"/>
      <c r="M12" s="28"/>
      <c r="N12" s="32"/>
    </row>
    <row r="13" spans="1:14" x14ac:dyDescent="0.3">
      <c r="J13" s="33"/>
      <c r="K13" s="31"/>
      <c r="L13" s="31"/>
      <c r="M13" s="28"/>
      <c r="N13" s="32"/>
    </row>
    <row r="14" spans="1:14" x14ac:dyDescent="0.3">
      <c r="J14" s="33"/>
      <c r="K14" s="31"/>
      <c r="L14" s="31"/>
      <c r="M14" s="31"/>
      <c r="N14" s="28"/>
    </row>
    <row r="15" spans="1:14" x14ac:dyDescent="0.3">
      <c r="J15" s="34"/>
      <c r="K15" s="35"/>
      <c r="L15" s="35"/>
      <c r="M15" s="35"/>
      <c r="N15" s="28"/>
    </row>
    <row r="17" spans="9:10" x14ac:dyDescent="0.3">
      <c r="I17" s="7" t="s">
        <v>78</v>
      </c>
      <c r="J17" s="27">
        <f>COUNTA(A6:A100000)</f>
        <v>0</v>
      </c>
    </row>
  </sheetData>
  <mergeCells count="2">
    <mergeCell ref="A4:A5"/>
    <mergeCell ref="G4:G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apaya_extract">
                <anchor moveWithCells="1" sizeWithCells="1">
                  <from>
                    <xdr:col>0</xdr:col>
                    <xdr:colOff>121920</xdr:colOff>
                    <xdr:row>0</xdr:row>
                    <xdr:rowOff>60960</xdr:rowOff>
                  </from>
                  <to>
                    <xdr:col>1</xdr:col>
                    <xdr:colOff>662940</xdr:colOff>
                    <xdr:row>2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r_range">
                <anchor moveWithCells="1" sizeWithCells="1">
                  <from>
                    <xdr:col>5</xdr:col>
                    <xdr:colOff>327660</xdr:colOff>
                    <xdr:row>0</xdr:row>
                    <xdr:rowOff>99060</xdr:rowOff>
                  </from>
                  <to>
                    <xdr:col>6</xdr:col>
                    <xdr:colOff>541020</xdr:colOff>
                    <xdr:row>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ummary">
                <anchor moveWithCells="1" sizeWithCells="1">
                  <from>
                    <xdr:col>8</xdr:col>
                    <xdr:colOff>266700</xdr:colOff>
                    <xdr:row>0</xdr:row>
                    <xdr:rowOff>106680</xdr:rowOff>
                  </from>
                  <to>
                    <xdr:col>9</xdr:col>
                    <xdr:colOff>571500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_output">
                <anchor moveWithCells="1" sizeWithCells="1">
                  <from>
                    <xdr:col>12</xdr:col>
                    <xdr:colOff>472440</xdr:colOff>
                    <xdr:row>0</xdr:row>
                    <xdr:rowOff>99060</xdr:rowOff>
                  </from>
                  <to>
                    <xdr:col>13</xdr:col>
                    <xdr:colOff>579120</xdr:colOff>
                    <xdr:row>2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4769"/>
  <sheetViews>
    <sheetView view="pageBreakPreview" zoomScaleSheetLayoutView="100" workbookViewId="0">
      <selection activeCell="L20" sqref="L20"/>
    </sheetView>
  </sheetViews>
  <sheetFormatPr defaultRowHeight="13.2" x14ac:dyDescent="0.3"/>
  <cols>
    <col min="1" max="2" width="8.88671875" style="1"/>
    <col min="3" max="3" width="16.77734375" style="1" customWidth="1"/>
    <col min="4" max="4" width="6.77734375" style="1" customWidth="1"/>
    <col min="5" max="10" width="8.77734375" style="1" customWidth="1"/>
    <col min="11" max="11" width="2.77734375" style="1" customWidth="1"/>
    <col min="12" max="12" width="12.77734375" style="1" customWidth="1"/>
    <col min="13" max="17" width="10.77734375" style="1" customWidth="1"/>
    <col min="18" max="16384" width="8.88671875" style="1"/>
  </cols>
  <sheetData>
    <row r="1" spans="1:17" x14ac:dyDescent="0.3">
      <c r="A1" s="2"/>
      <c r="B1" s="2"/>
    </row>
    <row r="2" spans="1:17" ht="14.4" x14ac:dyDescent="0.3">
      <c r="A2" s="1" t="s">
        <v>10</v>
      </c>
      <c r="B2" s="1" t="s">
        <v>11</v>
      </c>
      <c r="C2" s="1" t="s">
        <v>12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17</v>
      </c>
      <c r="J2" s="3" t="s">
        <v>18</v>
      </c>
    </row>
    <row r="3" spans="1:17" ht="14.4" x14ac:dyDescent="0.3">
      <c r="A3" s="3"/>
      <c r="E3" s="3">
        <v>617.55999999999995</v>
      </c>
      <c r="F3" s="3">
        <v>18.04</v>
      </c>
      <c r="G3" s="3">
        <v>-31.19</v>
      </c>
      <c r="H3" s="3">
        <v>0</v>
      </c>
      <c r="I3" s="3">
        <v>53.02</v>
      </c>
      <c r="J3" s="3">
        <v>30.66</v>
      </c>
    </row>
    <row r="4" spans="1:17" ht="14.4" x14ac:dyDescent="0.3">
      <c r="A4" s="3"/>
      <c r="E4" s="3">
        <v>555.79999999999995</v>
      </c>
      <c r="F4" s="3">
        <v>19</v>
      </c>
      <c r="G4" s="3">
        <v>-29.38</v>
      </c>
      <c r="H4" s="3">
        <v>0</v>
      </c>
      <c r="I4" s="3">
        <v>49.95</v>
      </c>
      <c r="J4" s="3">
        <v>32.299999999999997</v>
      </c>
    </row>
    <row r="5" spans="1:17" ht="14.4" x14ac:dyDescent="0.3">
      <c r="A5" s="3"/>
      <c r="E5" s="3">
        <v>663.66</v>
      </c>
      <c r="F5" s="3">
        <v>21.89</v>
      </c>
      <c r="G5" s="3">
        <v>-33.51</v>
      </c>
      <c r="H5" s="3">
        <v>0</v>
      </c>
      <c r="I5" s="3">
        <v>56.97</v>
      </c>
      <c r="J5" s="3">
        <v>37.21</v>
      </c>
      <c r="L5" s="1" t="s">
        <v>19</v>
      </c>
      <c r="M5" s="1" t="s">
        <v>20</v>
      </c>
      <c r="N5" s="1" t="s">
        <v>21</v>
      </c>
      <c r="O5" s="1" t="s">
        <v>22</v>
      </c>
      <c r="P5" s="1" t="s">
        <v>23</v>
      </c>
      <c r="Q5" s="1" t="s">
        <v>24</v>
      </c>
    </row>
    <row r="6" spans="1:17" ht="14.4" x14ac:dyDescent="0.3">
      <c r="A6" s="3"/>
      <c r="E6" s="3">
        <v>538.16</v>
      </c>
      <c r="F6" s="3">
        <v>17.32</v>
      </c>
      <c r="G6" s="3">
        <v>-28.13</v>
      </c>
      <c r="H6" s="3">
        <v>0</v>
      </c>
      <c r="I6" s="3">
        <v>47.82</v>
      </c>
      <c r="J6" s="3">
        <v>29.44</v>
      </c>
      <c r="M6" s="4"/>
    </row>
    <row r="7" spans="1:17" ht="14.4" x14ac:dyDescent="0.3">
      <c r="A7" s="3"/>
      <c r="E7" s="3">
        <v>883.33</v>
      </c>
      <c r="F7" s="3">
        <v>26.56</v>
      </c>
      <c r="G7" s="3">
        <v>-41.35</v>
      </c>
      <c r="H7" s="3">
        <v>0</v>
      </c>
      <c r="I7" s="3">
        <v>70.290000000000006</v>
      </c>
      <c r="J7" s="3">
        <v>45.16</v>
      </c>
      <c r="M7" s="4"/>
    </row>
    <row r="8" spans="1:17" ht="14.4" x14ac:dyDescent="0.3">
      <c r="A8" s="3"/>
      <c r="E8" s="3">
        <v>523.13</v>
      </c>
      <c r="F8" s="3">
        <v>13.99</v>
      </c>
      <c r="G8" s="3">
        <v>-25.72</v>
      </c>
      <c r="H8" s="3">
        <v>0</v>
      </c>
      <c r="I8" s="3">
        <v>43.73</v>
      </c>
      <c r="J8" s="3">
        <v>23.78</v>
      </c>
      <c r="N8" s="4"/>
    </row>
    <row r="9" spans="1:17" ht="14.4" x14ac:dyDescent="0.3">
      <c r="A9" s="3"/>
      <c r="E9" s="3">
        <v>519.04999999999995</v>
      </c>
      <c r="F9" s="3">
        <v>15.31</v>
      </c>
      <c r="G9" s="3">
        <v>-25.91</v>
      </c>
      <c r="H9" s="3">
        <v>0</v>
      </c>
      <c r="I9" s="3">
        <v>44.04</v>
      </c>
      <c r="J9" s="3">
        <v>26.03</v>
      </c>
      <c r="N9" s="4"/>
    </row>
    <row r="10" spans="1:17" ht="14.4" x14ac:dyDescent="0.3">
      <c r="A10" s="3"/>
      <c r="E10" s="3">
        <v>528.44000000000005</v>
      </c>
      <c r="F10" s="3">
        <v>16.63</v>
      </c>
      <c r="G10" s="3">
        <v>-27.25</v>
      </c>
      <c r="H10" s="3">
        <v>0</v>
      </c>
      <c r="I10" s="3">
        <v>46.33</v>
      </c>
      <c r="J10" s="3">
        <v>28.27</v>
      </c>
      <c r="O10" s="4"/>
    </row>
    <row r="11" spans="1:17" ht="14.4" x14ac:dyDescent="0.3">
      <c r="A11" s="3"/>
      <c r="E11" s="3">
        <v>532.54999999999995</v>
      </c>
      <c r="F11" s="3">
        <v>15.71</v>
      </c>
      <c r="G11" s="3">
        <v>-27.08</v>
      </c>
      <c r="H11" s="3">
        <v>0</v>
      </c>
      <c r="I11" s="3">
        <v>46.04</v>
      </c>
      <c r="J11" s="3">
        <v>26.7</v>
      </c>
      <c r="O11" s="4"/>
    </row>
    <row r="12" spans="1:17" ht="14.4" x14ac:dyDescent="0.3">
      <c r="A12" s="3"/>
      <c r="E12" s="3">
        <v>531.65</v>
      </c>
      <c r="F12" s="3">
        <v>16.829999999999998</v>
      </c>
      <c r="G12" s="3">
        <v>-27.6</v>
      </c>
      <c r="H12" s="3">
        <v>0</v>
      </c>
      <c r="I12" s="3">
        <v>46.91</v>
      </c>
      <c r="J12" s="3">
        <v>28.61</v>
      </c>
      <c r="P12" s="4"/>
    </row>
    <row r="13" spans="1:17" ht="14.4" x14ac:dyDescent="0.3">
      <c r="A13" s="3"/>
      <c r="E13" s="3">
        <v>538.95000000000005</v>
      </c>
      <c r="F13" s="3">
        <v>15.99</v>
      </c>
      <c r="G13" s="3">
        <v>-27.65</v>
      </c>
      <c r="H13" s="3">
        <v>0</v>
      </c>
      <c r="I13" s="3">
        <v>47.01</v>
      </c>
      <c r="J13" s="3">
        <v>27.19</v>
      </c>
      <c r="P13" s="4"/>
    </row>
    <row r="14" spans="1:17" ht="14.4" x14ac:dyDescent="0.3">
      <c r="A14" s="3"/>
      <c r="E14" s="3">
        <v>537.17999999999995</v>
      </c>
      <c r="F14" s="3">
        <v>14.3</v>
      </c>
      <c r="G14" s="3">
        <v>-26.73</v>
      </c>
      <c r="H14" s="3">
        <v>0</v>
      </c>
      <c r="I14" s="3">
        <v>45.45</v>
      </c>
      <c r="J14" s="3">
        <v>24.32</v>
      </c>
      <c r="Q14" s="4"/>
    </row>
    <row r="15" spans="1:17" ht="14.4" x14ac:dyDescent="0.3">
      <c r="A15" s="3"/>
      <c r="E15" s="3">
        <v>545.62</v>
      </c>
      <c r="F15" s="3">
        <v>15.68</v>
      </c>
      <c r="G15" s="3">
        <v>-27.89</v>
      </c>
      <c r="H15" s="3">
        <v>0</v>
      </c>
      <c r="I15" s="3">
        <v>47.41</v>
      </c>
      <c r="J15" s="3">
        <v>26.66</v>
      </c>
      <c r="Q15" s="4"/>
    </row>
    <row r="16" spans="1:17" ht="14.4" x14ac:dyDescent="0.3">
      <c r="A16" s="3"/>
      <c r="E16" s="3">
        <v>539.75</v>
      </c>
      <c r="F16" s="3">
        <v>17.05</v>
      </c>
      <c r="G16" s="3">
        <v>-28.05</v>
      </c>
      <c r="H16" s="3">
        <v>0</v>
      </c>
      <c r="I16" s="3">
        <v>47.69</v>
      </c>
      <c r="J16" s="3">
        <v>28.98</v>
      </c>
    </row>
    <row r="17" spans="1:15" ht="14.4" x14ac:dyDescent="0.3">
      <c r="A17" s="3"/>
      <c r="E17" s="3">
        <v>543.83000000000004</v>
      </c>
      <c r="F17" s="3">
        <v>15.72</v>
      </c>
      <c r="G17" s="3">
        <v>-27.87</v>
      </c>
      <c r="H17" s="3">
        <v>0</v>
      </c>
      <c r="I17" s="3">
        <v>47.38</v>
      </c>
      <c r="J17" s="3">
        <v>26.73</v>
      </c>
      <c r="M17" s="5" t="s">
        <v>25</v>
      </c>
      <c r="N17" s="5">
        <f>COUNTA(E3:E134411)</f>
        <v>2384</v>
      </c>
      <c r="O17" s="6">
        <f>N17/4</f>
        <v>596</v>
      </c>
    </row>
    <row r="18" spans="1:15" ht="14.4" x14ac:dyDescent="0.3">
      <c r="A18" s="3"/>
      <c r="E18" s="3">
        <v>534.42999999999995</v>
      </c>
      <c r="F18" s="3">
        <v>14.41</v>
      </c>
      <c r="G18" s="3">
        <v>-26.52</v>
      </c>
      <c r="H18" s="3">
        <v>0</v>
      </c>
      <c r="I18" s="3">
        <v>45.09</v>
      </c>
      <c r="J18" s="3">
        <v>24.49</v>
      </c>
      <c r="M18" s="7" t="s">
        <v>26</v>
      </c>
      <c r="N18" s="5">
        <f>O17/8</f>
        <v>74.5</v>
      </c>
    </row>
    <row r="19" spans="1:15" ht="14.4" x14ac:dyDescent="0.3">
      <c r="A19" s="3"/>
      <c r="E19" s="3">
        <v>530.32000000000005</v>
      </c>
      <c r="F19" s="3">
        <v>15.33</v>
      </c>
      <c r="G19" s="3">
        <v>-26.69</v>
      </c>
      <c r="H19" s="3">
        <v>0</v>
      </c>
      <c r="I19" s="3">
        <v>45.38</v>
      </c>
      <c r="J19" s="3">
        <v>26.06</v>
      </c>
    </row>
    <row r="20" spans="1:15" ht="14.4" x14ac:dyDescent="0.3">
      <c r="A20" s="3"/>
      <c r="E20" s="3">
        <v>531.22</v>
      </c>
      <c r="F20" s="3">
        <v>14.21</v>
      </c>
      <c r="G20" s="3">
        <v>-26.18</v>
      </c>
      <c r="H20" s="3">
        <v>0</v>
      </c>
      <c r="I20" s="3">
        <v>44.5</v>
      </c>
      <c r="J20" s="3">
        <v>24.15</v>
      </c>
    </row>
    <row r="21" spans="1:15" ht="14.4" x14ac:dyDescent="0.3">
      <c r="A21" s="3"/>
      <c r="E21" s="3">
        <v>523.91999999999996</v>
      </c>
      <c r="F21" s="3">
        <v>15.04</v>
      </c>
      <c r="G21" s="3">
        <v>-26.12</v>
      </c>
      <c r="H21" s="3">
        <v>0</v>
      </c>
      <c r="I21" s="3">
        <v>44.41</v>
      </c>
      <c r="J21" s="3">
        <v>25.57</v>
      </c>
    </row>
    <row r="22" spans="1:15" ht="14.4" x14ac:dyDescent="0.3">
      <c r="A22" s="3"/>
      <c r="E22" s="3">
        <v>525.69000000000005</v>
      </c>
      <c r="F22" s="3">
        <v>16.73</v>
      </c>
      <c r="G22" s="3">
        <v>-27.04</v>
      </c>
      <c r="H22" s="3">
        <v>0</v>
      </c>
      <c r="I22" s="3">
        <v>45.97</v>
      </c>
      <c r="J22" s="3">
        <v>28.45</v>
      </c>
    </row>
    <row r="23" spans="1:15" ht="14.4" x14ac:dyDescent="0.3">
      <c r="A23" s="3"/>
      <c r="E23" s="3">
        <v>517.25</v>
      </c>
      <c r="F23" s="3">
        <v>15.35</v>
      </c>
      <c r="G23" s="3">
        <v>-25.89</v>
      </c>
      <c r="H23" s="3">
        <v>0</v>
      </c>
      <c r="I23" s="3">
        <v>44.01</v>
      </c>
      <c r="J23" s="3">
        <v>26.1</v>
      </c>
    </row>
    <row r="24" spans="1:15" ht="14.4" x14ac:dyDescent="0.3">
      <c r="A24" s="3"/>
      <c r="E24" s="3">
        <v>868.3</v>
      </c>
      <c r="F24" s="3">
        <v>23.24</v>
      </c>
      <c r="G24" s="3">
        <v>-38.94</v>
      </c>
      <c r="H24" s="3">
        <v>0</v>
      </c>
      <c r="I24" s="3">
        <v>66.19</v>
      </c>
      <c r="J24" s="3">
        <v>39.5</v>
      </c>
    </row>
    <row r="25" spans="1:15" ht="14.4" x14ac:dyDescent="0.3">
      <c r="A25" s="3"/>
      <c r="E25" s="3">
        <v>864.22</v>
      </c>
      <c r="F25" s="3">
        <v>24.56</v>
      </c>
      <c r="G25" s="3">
        <v>-39.119999999999997</v>
      </c>
      <c r="H25" s="3">
        <v>0</v>
      </c>
      <c r="I25" s="3">
        <v>66.510000000000005</v>
      </c>
      <c r="J25" s="3">
        <v>41.75</v>
      </c>
    </row>
    <row r="26" spans="1:15" ht="14.4" x14ac:dyDescent="0.3">
      <c r="A26" s="3"/>
      <c r="E26" s="3">
        <v>873.61</v>
      </c>
      <c r="F26" s="3">
        <v>25.88</v>
      </c>
      <c r="G26" s="3">
        <v>-40.47</v>
      </c>
      <c r="H26" s="3">
        <v>0</v>
      </c>
      <c r="I26" s="3">
        <v>68.8</v>
      </c>
      <c r="J26" s="3">
        <v>43.99</v>
      </c>
    </row>
    <row r="27" spans="1:15" ht="14.4" x14ac:dyDescent="0.3">
      <c r="A27" s="3"/>
      <c r="E27" s="3">
        <v>877.72</v>
      </c>
      <c r="F27" s="3">
        <v>24.96</v>
      </c>
      <c r="G27" s="3">
        <v>-40.299999999999997</v>
      </c>
      <c r="H27" s="3">
        <v>0</v>
      </c>
      <c r="I27" s="3">
        <v>68.510000000000005</v>
      </c>
      <c r="J27" s="3">
        <v>42.42</v>
      </c>
    </row>
    <row r="28" spans="1:15" ht="14.4" x14ac:dyDescent="0.3">
      <c r="A28" s="3"/>
      <c r="E28" s="3">
        <v>876.82</v>
      </c>
      <c r="F28" s="3">
        <v>26.08</v>
      </c>
      <c r="G28" s="3">
        <v>-40.81</v>
      </c>
      <c r="H28" s="3">
        <v>0</v>
      </c>
      <c r="I28" s="3">
        <v>69.38</v>
      </c>
      <c r="J28" s="3">
        <v>44.33</v>
      </c>
    </row>
    <row r="29" spans="1:15" ht="14.4" x14ac:dyDescent="0.3">
      <c r="A29" s="3"/>
      <c r="E29" s="3">
        <v>884.12</v>
      </c>
      <c r="F29" s="3">
        <v>25.24</v>
      </c>
      <c r="G29" s="3">
        <v>-40.869999999999997</v>
      </c>
      <c r="H29" s="3">
        <v>0</v>
      </c>
      <c r="I29" s="3">
        <v>69.48</v>
      </c>
      <c r="J29" s="3">
        <v>42.91</v>
      </c>
    </row>
    <row r="30" spans="1:15" ht="14.4" x14ac:dyDescent="0.3">
      <c r="A30" s="3"/>
      <c r="E30" s="3">
        <v>882.35</v>
      </c>
      <c r="F30" s="3">
        <v>23.55</v>
      </c>
      <c r="G30" s="3">
        <v>-39.950000000000003</v>
      </c>
      <c r="H30" s="3">
        <v>0</v>
      </c>
      <c r="I30" s="3">
        <v>67.92</v>
      </c>
      <c r="J30" s="3">
        <v>40.04</v>
      </c>
    </row>
    <row r="31" spans="1:15" ht="14.4" x14ac:dyDescent="0.3">
      <c r="A31" s="3"/>
      <c r="E31" s="3">
        <v>890.79</v>
      </c>
      <c r="F31" s="3">
        <v>24.93</v>
      </c>
      <c r="G31" s="3">
        <v>-41.11</v>
      </c>
      <c r="H31" s="3">
        <v>0</v>
      </c>
      <c r="I31" s="3">
        <v>69.88</v>
      </c>
      <c r="J31" s="3">
        <v>42.38</v>
      </c>
    </row>
    <row r="32" spans="1:15" ht="14.4" x14ac:dyDescent="0.3">
      <c r="A32" s="3"/>
      <c r="E32" s="3">
        <v>884.92</v>
      </c>
      <c r="F32" s="3">
        <v>26.29</v>
      </c>
      <c r="G32" s="3">
        <v>-41.27</v>
      </c>
      <c r="H32" s="3">
        <v>0</v>
      </c>
      <c r="I32" s="3">
        <v>70.16</v>
      </c>
      <c r="J32" s="3">
        <v>44.7</v>
      </c>
    </row>
    <row r="33" spans="1:10" ht="14.4" x14ac:dyDescent="0.3">
      <c r="A33" s="3"/>
      <c r="E33" s="3">
        <v>889</v>
      </c>
      <c r="F33" s="3">
        <v>24.97</v>
      </c>
      <c r="G33" s="3">
        <v>-41.09</v>
      </c>
      <c r="H33" s="3">
        <v>0</v>
      </c>
      <c r="I33" s="3">
        <v>69.84</v>
      </c>
      <c r="J33" s="3">
        <v>42.45</v>
      </c>
    </row>
    <row r="34" spans="1:10" ht="14.4" x14ac:dyDescent="0.3">
      <c r="A34" s="3"/>
      <c r="E34" s="3">
        <v>879.6</v>
      </c>
      <c r="F34" s="3">
        <v>23.65</v>
      </c>
      <c r="G34" s="3">
        <v>-39.74</v>
      </c>
      <c r="H34" s="3">
        <v>0</v>
      </c>
      <c r="I34" s="3">
        <v>67.56</v>
      </c>
      <c r="J34" s="3">
        <v>40.21</v>
      </c>
    </row>
    <row r="35" spans="1:10" ht="14.4" x14ac:dyDescent="0.3">
      <c r="A35" s="3"/>
      <c r="E35" s="3">
        <v>875.49</v>
      </c>
      <c r="F35" s="3">
        <v>24.58</v>
      </c>
      <c r="G35" s="3">
        <v>-39.909999999999997</v>
      </c>
      <c r="H35" s="3">
        <v>0</v>
      </c>
      <c r="I35" s="3">
        <v>67.84</v>
      </c>
      <c r="J35" s="3">
        <v>41.78</v>
      </c>
    </row>
    <row r="36" spans="1:10" ht="14.4" x14ac:dyDescent="0.3">
      <c r="A36" s="3"/>
      <c r="E36" s="3">
        <v>876.39</v>
      </c>
      <c r="F36" s="3">
        <v>23.45</v>
      </c>
      <c r="G36" s="3">
        <v>-39.4</v>
      </c>
      <c r="H36" s="3">
        <v>0</v>
      </c>
      <c r="I36" s="3">
        <v>66.97</v>
      </c>
      <c r="J36" s="3">
        <v>39.869999999999997</v>
      </c>
    </row>
    <row r="37" spans="1:10" ht="14.4" x14ac:dyDescent="0.3">
      <c r="A37" s="3"/>
      <c r="E37" s="3">
        <v>869.09</v>
      </c>
      <c r="F37" s="3">
        <v>24.29</v>
      </c>
      <c r="G37" s="3">
        <v>-39.340000000000003</v>
      </c>
      <c r="H37" s="3">
        <v>0</v>
      </c>
      <c r="I37" s="3">
        <v>66.87</v>
      </c>
      <c r="J37" s="3">
        <v>41.29</v>
      </c>
    </row>
    <row r="38" spans="1:10" ht="14.4" x14ac:dyDescent="0.3">
      <c r="A38" s="3"/>
      <c r="E38" s="3">
        <v>870.86</v>
      </c>
      <c r="F38" s="3">
        <v>25.98</v>
      </c>
      <c r="G38" s="3">
        <v>-40.26</v>
      </c>
      <c r="H38" s="3">
        <v>0</v>
      </c>
      <c r="I38" s="3">
        <v>68.44</v>
      </c>
      <c r="J38" s="3">
        <v>44.17</v>
      </c>
    </row>
    <row r="39" spans="1:10" ht="14.4" x14ac:dyDescent="0.3">
      <c r="A39" s="3"/>
      <c r="E39" s="3">
        <v>862.42</v>
      </c>
      <c r="F39" s="3">
        <v>24.6</v>
      </c>
      <c r="G39" s="3">
        <v>-39.1</v>
      </c>
      <c r="H39" s="3">
        <v>0</v>
      </c>
      <c r="I39" s="3">
        <v>66.47</v>
      </c>
      <c r="J39" s="3">
        <v>41.82</v>
      </c>
    </row>
    <row r="40" spans="1:10" ht="14.4" x14ac:dyDescent="0.3">
      <c r="A40" s="3"/>
      <c r="E40" s="3">
        <v>520.1</v>
      </c>
      <c r="F40" s="3">
        <v>14.22</v>
      </c>
      <c r="G40" s="3">
        <v>-25.69</v>
      </c>
      <c r="H40" s="3">
        <v>0</v>
      </c>
      <c r="I40" s="3">
        <v>43.67</v>
      </c>
      <c r="J40" s="3">
        <v>24.17</v>
      </c>
    </row>
    <row r="41" spans="1:10" ht="14.4" x14ac:dyDescent="0.3">
      <c r="A41" s="3"/>
      <c r="E41" s="3">
        <v>511.94</v>
      </c>
      <c r="F41" s="3">
        <v>16.86</v>
      </c>
      <c r="G41" s="3">
        <v>-26.06</v>
      </c>
      <c r="H41" s="3">
        <v>0</v>
      </c>
      <c r="I41" s="3">
        <v>44.31</v>
      </c>
      <c r="J41" s="3">
        <v>28.67</v>
      </c>
    </row>
    <row r="42" spans="1:10" ht="14.4" x14ac:dyDescent="0.3">
      <c r="A42" s="3"/>
      <c r="E42" s="3">
        <v>530.74</v>
      </c>
      <c r="F42" s="3">
        <v>19.5</v>
      </c>
      <c r="G42" s="3">
        <v>-28.75</v>
      </c>
      <c r="H42" s="3">
        <v>0</v>
      </c>
      <c r="I42" s="3">
        <v>48.88</v>
      </c>
      <c r="J42" s="3">
        <v>33.15</v>
      </c>
    </row>
    <row r="43" spans="1:10" ht="14.4" x14ac:dyDescent="0.3">
      <c r="A43" s="3"/>
      <c r="E43" s="3">
        <v>538.95000000000005</v>
      </c>
      <c r="F43" s="3">
        <v>17.649999999999999</v>
      </c>
      <c r="G43" s="3">
        <v>-28.42</v>
      </c>
      <c r="H43" s="3">
        <v>0</v>
      </c>
      <c r="I43" s="3">
        <v>48.31</v>
      </c>
      <c r="J43" s="3">
        <v>30.01</v>
      </c>
    </row>
    <row r="44" spans="1:10" ht="14.4" x14ac:dyDescent="0.3">
      <c r="A44" s="3"/>
      <c r="E44" s="3">
        <v>537.15</v>
      </c>
      <c r="F44" s="3">
        <v>19.899999999999999</v>
      </c>
      <c r="G44" s="3">
        <v>-29.44</v>
      </c>
      <c r="H44" s="3">
        <v>0</v>
      </c>
      <c r="I44" s="3">
        <v>50.05</v>
      </c>
      <c r="J44" s="3">
        <v>33.83</v>
      </c>
    </row>
    <row r="45" spans="1:10" ht="14.4" x14ac:dyDescent="0.3">
      <c r="A45" s="3"/>
      <c r="E45" s="3">
        <v>551.75</v>
      </c>
      <c r="F45" s="3">
        <v>18.23</v>
      </c>
      <c r="G45" s="3">
        <v>-29.56</v>
      </c>
      <c r="H45" s="3">
        <v>0</v>
      </c>
      <c r="I45" s="3">
        <v>50.25</v>
      </c>
      <c r="J45" s="3">
        <v>30.99</v>
      </c>
    </row>
    <row r="46" spans="1:10" ht="14.4" x14ac:dyDescent="0.3">
      <c r="A46" s="3"/>
      <c r="E46" s="3">
        <v>548.21</v>
      </c>
      <c r="F46" s="3">
        <v>14.84</v>
      </c>
      <c r="G46" s="3">
        <v>-27.72</v>
      </c>
      <c r="H46" s="3">
        <v>0</v>
      </c>
      <c r="I46" s="3">
        <v>47.12</v>
      </c>
      <c r="J46" s="3">
        <v>25.24</v>
      </c>
    </row>
    <row r="47" spans="1:10" ht="14.4" x14ac:dyDescent="0.3">
      <c r="A47" s="3"/>
      <c r="E47" s="3">
        <v>565.09</v>
      </c>
      <c r="F47" s="3">
        <v>17.61</v>
      </c>
      <c r="G47" s="3">
        <v>-30.03</v>
      </c>
      <c r="H47" s="3">
        <v>0</v>
      </c>
      <c r="I47" s="3">
        <v>51.05</v>
      </c>
      <c r="J47" s="3">
        <v>29.93</v>
      </c>
    </row>
    <row r="48" spans="1:10" ht="14.4" x14ac:dyDescent="0.3">
      <c r="A48" s="3"/>
      <c r="E48" s="3">
        <v>553.34</v>
      </c>
      <c r="F48" s="3">
        <v>20.329999999999998</v>
      </c>
      <c r="G48" s="3">
        <v>-30.36</v>
      </c>
      <c r="H48" s="3">
        <v>0</v>
      </c>
      <c r="I48" s="3">
        <v>51.61</v>
      </c>
      <c r="J48" s="3">
        <v>34.56</v>
      </c>
    </row>
    <row r="49" spans="1:10" ht="14.4" x14ac:dyDescent="0.3">
      <c r="A49" s="3"/>
      <c r="E49" s="3">
        <v>561.5</v>
      </c>
      <c r="F49" s="3">
        <v>17.690000000000001</v>
      </c>
      <c r="G49" s="3">
        <v>-29.99</v>
      </c>
      <c r="H49" s="3">
        <v>0</v>
      </c>
      <c r="I49" s="3">
        <v>50.98</v>
      </c>
      <c r="J49" s="3">
        <v>30.07</v>
      </c>
    </row>
    <row r="50" spans="1:10" ht="14.4" x14ac:dyDescent="0.3">
      <c r="A50" s="3"/>
      <c r="E50" s="3">
        <v>542.70000000000005</v>
      </c>
      <c r="F50" s="3">
        <v>15.05</v>
      </c>
      <c r="G50" s="3">
        <v>-27.3</v>
      </c>
      <c r="H50" s="3">
        <v>0</v>
      </c>
      <c r="I50" s="3">
        <v>46.41</v>
      </c>
      <c r="J50" s="3">
        <v>25.58</v>
      </c>
    </row>
    <row r="51" spans="1:10" ht="14.4" x14ac:dyDescent="0.3">
      <c r="A51" s="3"/>
      <c r="E51" s="3">
        <v>534.49</v>
      </c>
      <c r="F51" s="3">
        <v>16.899999999999999</v>
      </c>
      <c r="G51" s="3">
        <v>-27.63</v>
      </c>
      <c r="H51" s="3">
        <v>0</v>
      </c>
      <c r="I51" s="3">
        <v>46.97</v>
      </c>
      <c r="J51" s="3">
        <v>28.72</v>
      </c>
    </row>
    <row r="52" spans="1:10" ht="14.4" x14ac:dyDescent="0.3">
      <c r="A52" s="3"/>
      <c r="E52" s="3">
        <v>536.29</v>
      </c>
      <c r="F52" s="3">
        <v>14.65</v>
      </c>
      <c r="G52" s="3">
        <v>-26.61</v>
      </c>
      <c r="H52" s="3">
        <v>0</v>
      </c>
      <c r="I52" s="3">
        <v>45.23</v>
      </c>
      <c r="J52" s="3">
        <v>24.9</v>
      </c>
    </row>
    <row r="53" spans="1:10" ht="14.4" x14ac:dyDescent="0.3">
      <c r="A53" s="3"/>
      <c r="E53" s="3">
        <v>521.69000000000005</v>
      </c>
      <c r="F53" s="3">
        <v>16.32</v>
      </c>
      <c r="G53" s="3">
        <v>-26.49</v>
      </c>
      <c r="H53" s="3">
        <v>0</v>
      </c>
      <c r="I53" s="3">
        <v>45.03</v>
      </c>
      <c r="J53" s="3">
        <v>27.75</v>
      </c>
    </row>
    <row r="54" spans="1:10" ht="14.4" x14ac:dyDescent="0.3">
      <c r="A54" s="3"/>
      <c r="E54" s="3">
        <v>525.23</v>
      </c>
      <c r="F54" s="3">
        <v>19.71</v>
      </c>
      <c r="G54" s="3">
        <v>-28.33</v>
      </c>
      <c r="H54" s="3">
        <v>0</v>
      </c>
      <c r="I54" s="3">
        <v>48.17</v>
      </c>
      <c r="J54" s="3">
        <v>33.5</v>
      </c>
    </row>
    <row r="55" spans="1:10" ht="14.4" x14ac:dyDescent="0.3">
      <c r="A55" s="3"/>
      <c r="E55" s="3">
        <v>484.36</v>
      </c>
      <c r="F55" s="3">
        <v>16.059999999999999</v>
      </c>
      <c r="G55" s="3">
        <v>-23.74</v>
      </c>
      <c r="H55" s="3">
        <v>0</v>
      </c>
      <c r="I55" s="3">
        <v>40.35</v>
      </c>
      <c r="J55" s="3">
        <v>27.31</v>
      </c>
    </row>
    <row r="56" spans="1:10" ht="14.4" x14ac:dyDescent="0.3">
      <c r="A56" s="3"/>
      <c r="E56" s="3">
        <v>520.1</v>
      </c>
      <c r="F56" s="3">
        <v>14.22</v>
      </c>
      <c r="G56" s="3">
        <v>-25.69</v>
      </c>
      <c r="H56" s="3">
        <v>0</v>
      </c>
      <c r="I56" s="3">
        <v>43.67</v>
      </c>
      <c r="J56" s="3">
        <v>24.17</v>
      </c>
    </row>
    <row r="57" spans="1:10" ht="14.4" x14ac:dyDescent="0.3">
      <c r="A57" s="3"/>
      <c r="E57" s="3">
        <v>511.94</v>
      </c>
      <c r="F57" s="3">
        <v>16.86</v>
      </c>
      <c r="G57" s="3">
        <v>-26.06</v>
      </c>
      <c r="H57" s="3">
        <v>0</v>
      </c>
      <c r="I57" s="3">
        <v>44.31</v>
      </c>
      <c r="J57" s="3">
        <v>28.67</v>
      </c>
    </row>
    <row r="58" spans="1:10" ht="14.4" x14ac:dyDescent="0.3">
      <c r="A58" s="3"/>
      <c r="E58" s="3">
        <v>530.74</v>
      </c>
      <c r="F58" s="3">
        <v>19.5</v>
      </c>
      <c r="G58" s="3">
        <v>-28.75</v>
      </c>
      <c r="H58" s="3">
        <v>0</v>
      </c>
      <c r="I58" s="3">
        <v>48.88</v>
      </c>
      <c r="J58" s="3">
        <v>33.15</v>
      </c>
    </row>
    <row r="59" spans="1:10" ht="14.4" x14ac:dyDescent="0.3">
      <c r="A59" s="3"/>
      <c r="E59" s="3">
        <v>538.95000000000005</v>
      </c>
      <c r="F59" s="3">
        <v>17.649999999999999</v>
      </c>
      <c r="G59" s="3">
        <v>-28.42</v>
      </c>
      <c r="H59" s="3">
        <v>0</v>
      </c>
      <c r="I59" s="3">
        <v>48.31</v>
      </c>
      <c r="J59" s="3">
        <v>30.01</v>
      </c>
    </row>
    <row r="60" spans="1:10" ht="14.4" x14ac:dyDescent="0.3">
      <c r="A60" s="3"/>
      <c r="E60" s="3">
        <v>537.15</v>
      </c>
      <c r="F60" s="3">
        <v>19.899999999999999</v>
      </c>
      <c r="G60" s="3">
        <v>-29.44</v>
      </c>
      <c r="H60" s="3">
        <v>0</v>
      </c>
      <c r="I60" s="3">
        <v>50.05</v>
      </c>
      <c r="J60" s="3">
        <v>33.83</v>
      </c>
    </row>
    <row r="61" spans="1:10" ht="14.4" x14ac:dyDescent="0.3">
      <c r="A61" s="3"/>
      <c r="E61" s="3">
        <v>551.75</v>
      </c>
      <c r="F61" s="3">
        <v>18.23</v>
      </c>
      <c r="G61" s="3">
        <v>-29.56</v>
      </c>
      <c r="H61" s="3">
        <v>0</v>
      </c>
      <c r="I61" s="3">
        <v>50.25</v>
      </c>
      <c r="J61" s="3">
        <v>30.99</v>
      </c>
    </row>
    <row r="62" spans="1:10" ht="14.4" x14ac:dyDescent="0.3">
      <c r="A62" s="3"/>
      <c r="E62" s="3">
        <v>548.21</v>
      </c>
      <c r="F62" s="3">
        <v>14.84</v>
      </c>
      <c r="G62" s="3">
        <v>-27.72</v>
      </c>
      <c r="H62" s="3">
        <v>0</v>
      </c>
      <c r="I62" s="3">
        <v>47.12</v>
      </c>
      <c r="J62" s="3">
        <v>25.24</v>
      </c>
    </row>
    <row r="63" spans="1:10" ht="14.4" x14ac:dyDescent="0.3">
      <c r="A63" s="3"/>
      <c r="E63" s="3">
        <v>565.09</v>
      </c>
      <c r="F63" s="3">
        <v>17.61</v>
      </c>
      <c r="G63" s="3">
        <v>-30.03</v>
      </c>
      <c r="H63" s="3">
        <v>0</v>
      </c>
      <c r="I63" s="3">
        <v>51.05</v>
      </c>
      <c r="J63" s="3">
        <v>29.93</v>
      </c>
    </row>
    <row r="64" spans="1:10" ht="14.4" x14ac:dyDescent="0.3">
      <c r="A64" s="3"/>
      <c r="E64" s="3">
        <v>553.34</v>
      </c>
      <c r="F64" s="3">
        <v>20.329999999999998</v>
      </c>
      <c r="G64" s="3">
        <v>-30.36</v>
      </c>
      <c r="H64" s="3">
        <v>0</v>
      </c>
      <c r="I64" s="3">
        <v>51.61</v>
      </c>
      <c r="J64" s="3">
        <v>34.56</v>
      </c>
    </row>
    <row r="65" spans="1:10" ht="14.4" x14ac:dyDescent="0.3">
      <c r="A65" s="3"/>
      <c r="E65" s="3">
        <v>561.5</v>
      </c>
      <c r="F65" s="3">
        <v>17.690000000000001</v>
      </c>
      <c r="G65" s="3">
        <v>-29.99</v>
      </c>
      <c r="H65" s="3">
        <v>0</v>
      </c>
      <c r="I65" s="3">
        <v>50.98</v>
      </c>
      <c r="J65" s="3">
        <v>30.07</v>
      </c>
    </row>
    <row r="66" spans="1:10" ht="14.4" x14ac:dyDescent="0.3">
      <c r="A66" s="3"/>
      <c r="E66" s="3">
        <v>542.70000000000005</v>
      </c>
      <c r="F66" s="3">
        <v>15.05</v>
      </c>
      <c r="G66" s="3">
        <v>-27.3</v>
      </c>
      <c r="H66" s="3">
        <v>0</v>
      </c>
      <c r="I66" s="3">
        <v>46.41</v>
      </c>
      <c r="J66" s="3">
        <v>25.58</v>
      </c>
    </row>
    <row r="67" spans="1:10" ht="14.4" x14ac:dyDescent="0.3">
      <c r="A67" s="3"/>
      <c r="E67" s="3">
        <v>534.49</v>
      </c>
      <c r="F67" s="3">
        <v>16.899999999999999</v>
      </c>
      <c r="G67" s="3">
        <v>-27.63</v>
      </c>
      <c r="H67" s="3">
        <v>0</v>
      </c>
      <c r="I67" s="3">
        <v>46.97</v>
      </c>
      <c r="J67" s="3">
        <v>28.72</v>
      </c>
    </row>
    <row r="68" spans="1:10" ht="14.4" x14ac:dyDescent="0.3">
      <c r="A68" s="3"/>
      <c r="E68" s="3">
        <v>536.29</v>
      </c>
      <c r="F68" s="3">
        <v>14.65</v>
      </c>
      <c r="G68" s="3">
        <v>-26.61</v>
      </c>
      <c r="H68" s="3">
        <v>0</v>
      </c>
      <c r="I68" s="3">
        <v>45.23</v>
      </c>
      <c r="J68" s="3">
        <v>24.9</v>
      </c>
    </row>
    <row r="69" spans="1:10" ht="14.4" x14ac:dyDescent="0.3">
      <c r="A69" s="3"/>
      <c r="E69" s="3">
        <v>521.69000000000005</v>
      </c>
      <c r="F69" s="3">
        <v>16.32</v>
      </c>
      <c r="G69" s="3">
        <v>-26.49</v>
      </c>
      <c r="H69" s="3">
        <v>0</v>
      </c>
      <c r="I69" s="3">
        <v>45.03</v>
      </c>
      <c r="J69" s="3">
        <v>27.75</v>
      </c>
    </row>
    <row r="70" spans="1:10" ht="14.4" x14ac:dyDescent="0.3">
      <c r="A70" s="3"/>
      <c r="E70" s="3">
        <v>525.23</v>
      </c>
      <c r="F70" s="3">
        <v>19.71</v>
      </c>
      <c r="G70" s="3">
        <v>-28.33</v>
      </c>
      <c r="H70" s="3">
        <v>0</v>
      </c>
      <c r="I70" s="3">
        <v>48.17</v>
      </c>
      <c r="J70" s="3">
        <v>33.5</v>
      </c>
    </row>
    <row r="71" spans="1:10" ht="14.4" x14ac:dyDescent="0.3">
      <c r="A71" s="3"/>
      <c r="E71" s="3">
        <v>525.23</v>
      </c>
      <c r="F71" s="3">
        <v>19.71</v>
      </c>
      <c r="G71" s="3">
        <v>-28.33</v>
      </c>
      <c r="H71" s="3">
        <v>0</v>
      </c>
      <c r="I71" s="3">
        <v>48.17</v>
      </c>
      <c r="J71" s="3">
        <v>33.5</v>
      </c>
    </row>
    <row r="72" spans="1:10" ht="14.4" x14ac:dyDescent="0.3">
      <c r="A72" s="3"/>
      <c r="E72" s="3">
        <v>380.39</v>
      </c>
      <c r="F72" s="3">
        <v>8.5399999999999991</v>
      </c>
      <c r="G72" s="3">
        <v>-17.72</v>
      </c>
      <c r="H72" s="3">
        <v>0</v>
      </c>
      <c r="I72" s="3">
        <v>30.12</v>
      </c>
      <c r="J72" s="3">
        <v>14.51</v>
      </c>
    </row>
    <row r="73" spans="1:10" ht="14.4" x14ac:dyDescent="0.3">
      <c r="A73" s="3"/>
      <c r="E73" s="3">
        <v>372.23</v>
      </c>
      <c r="F73" s="3">
        <v>11.18</v>
      </c>
      <c r="G73" s="3">
        <v>-18.09</v>
      </c>
      <c r="H73" s="3">
        <v>0</v>
      </c>
      <c r="I73" s="3">
        <v>30.75</v>
      </c>
      <c r="J73" s="3">
        <v>19.010000000000002</v>
      </c>
    </row>
    <row r="74" spans="1:10" ht="14.4" x14ac:dyDescent="0.3">
      <c r="A74" s="3"/>
      <c r="E74" s="3">
        <v>391.02</v>
      </c>
      <c r="F74" s="3">
        <v>13.82</v>
      </c>
      <c r="G74" s="3">
        <v>-20.78</v>
      </c>
      <c r="H74" s="3">
        <v>0</v>
      </c>
      <c r="I74" s="3">
        <v>35.32</v>
      </c>
      <c r="J74" s="3">
        <v>23.49</v>
      </c>
    </row>
    <row r="75" spans="1:10" ht="14.4" x14ac:dyDescent="0.3">
      <c r="A75" s="3"/>
      <c r="E75" s="3">
        <v>399.23</v>
      </c>
      <c r="F75" s="3">
        <v>11.97</v>
      </c>
      <c r="G75" s="3">
        <v>-20.440000000000001</v>
      </c>
      <c r="H75" s="3">
        <v>0</v>
      </c>
      <c r="I75" s="3">
        <v>34.75</v>
      </c>
      <c r="J75" s="3">
        <v>20.36</v>
      </c>
    </row>
    <row r="76" spans="1:10" ht="14.4" x14ac:dyDescent="0.3">
      <c r="A76" s="3"/>
      <c r="E76" s="3">
        <v>397.44</v>
      </c>
      <c r="F76" s="3">
        <v>14.22</v>
      </c>
      <c r="G76" s="3">
        <v>-21.47</v>
      </c>
      <c r="H76" s="3">
        <v>0</v>
      </c>
      <c r="I76" s="3">
        <v>36.5</v>
      </c>
      <c r="J76" s="3">
        <v>24.17</v>
      </c>
    </row>
    <row r="77" spans="1:10" ht="14.4" x14ac:dyDescent="0.3">
      <c r="A77" s="3"/>
      <c r="E77" s="3">
        <v>412.04</v>
      </c>
      <c r="F77" s="3">
        <v>12.55</v>
      </c>
      <c r="G77" s="3">
        <v>-21.58</v>
      </c>
      <c r="H77" s="3">
        <v>0</v>
      </c>
      <c r="I77" s="3">
        <v>36.69</v>
      </c>
      <c r="J77" s="3">
        <v>21.33</v>
      </c>
    </row>
    <row r="78" spans="1:10" ht="14.4" x14ac:dyDescent="0.3">
      <c r="A78" s="3"/>
      <c r="E78" s="3">
        <v>408.49</v>
      </c>
      <c r="F78" s="3">
        <v>9.16</v>
      </c>
      <c r="G78" s="3">
        <v>-19.739999999999998</v>
      </c>
      <c r="H78" s="3">
        <v>0</v>
      </c>
      <c r="I78" s="3">
        <v>33.56</v>
      </c>
      <c r="J78" s="3">
        <v>15.58</v>
      </c>
    </row>
    <row r="79" spans="1:10" ht="14.4" x14ac:dyDescent="0.3">
      <c r="A79" s="3"/>
      <c r="E79" s="3">
        <v>425.38</v>
      </c>
      <c r="F79" s="3">
        <v>11.92</v>
      </c>
      <c r="G79" s="3">
        <v>-22.06</v>
      </c>
      <c r="H79" s="3">
        <v>0</v>
      </c>
      <c r="I79" s="3">
        <v>37.49</v>
      </c>
      <c r="J79" s="3">
        <v>20.27</v>
      </c>
    </row>
    <row r="80" spans="1:10" ht="14.4" x14ac:dyDescent="0.3">
      <c r="A80" s="3"/>
      <c r="E80" s="3">
        <v>413.62</v>
      </c>
      <c r="F80" s="3">
        <v>14.65</v>
      </c>
      <c r="G80" s="3">
        <v>-22.38</v>
      </c>
      <c r="H80" s="3">
        <v>0</v>
      </c>
      <c r="I80" s="3">
        <v>38.049999999999997</v>
      </c>
      <c r="J80" s="3">
        <v>24.91</v>
      </c>
    </row>
    <row r="81" spans="1:10" ht="14.4" x14ac:dyDescent="0.3">
      <c r="A81" s="3"/>
      <c r="E81" s="3">
        <v>421.78</v>
      </c>
      <c r="F81" s="3">
        <v>12.01</v>
      </c>
      <c r="G81" s="3">
        <v>-22.01</v>
      </c>
      <c r="H81" s="3">
        <v>0</v>
      </c>
      <c r="I81" s="3">
        <v>37.42</v>
      </c>
      <c r="J81" s="3">
        <v>20.41</v>
      </c>
    </row>
    <row r="82" spans="1:10" ht="14.4" x14ac:dyDescent="0.3">
      <c r="A82" s="3"/>
      <c r="E82" s="3">
        <v>402.99</v>
      </c>
      <c r="F82" s="3">
        <v>9.3699999999999992</v>
      </c>
      <c r="G82" s="3">
        <v>-19.32</v>
      </c>
      <c r="H82" s="3">
        <v>0</v>
      </c>
      <c r="I82" s="3">
        <v>32.85</v>
      </c>
      <c r="J82" s="3">
        <v>15.93</v>
      </c>
    </row>
    <row r="83" spans="1:10" ht="14.4" x14ac:dyDescent="0.3">
      <c r="A83" s="3"/>
      <c r="E83" s="3">
        <v>394.78</v>
      </c>
      <c r="F83" s="3">
        <v>11.21</v>
      </c>
      <c r="G83" s="3">
        <v>-19.66</v>
      </c>
      <c r="H83" s="3">
        <v>0</v>
      </c>
      <c r="I83" s="3">
        <v>33.42</v>
      </c>
      <c r="J83" s="3">
        <v>19.07</v>
      </c>
    </row>
    <row r="84" spans="1:10" ht="14.4" x14ac:dyDescent="0.3">
      <c r="A84" s="3"/>
      <c r="E84" s="3">
        <v>396.57</v>
      </c>
      <c r="F84" s="3">
        <v>8.9700000000000006</v>
      </c>
      <c r="G84" s="3">
        <v>-18.63</v>
      </c>
      <c r="H84" s="3">
        <v>0</v>
      </c>
      <c r="I84" s="3">
        <v>31.68</v>
      </c>
      <c r="J84" s="3">
        <v>15.25</v>
      </c>
    </row>
    <row r="85" spans="1:10" ht="14.4" x14ac:dyDescent="0.3">
      <c r="A85" s="3"/>
      <c r="E85" s="3">
        <v>381.97</v>
      </c>
      <c r="F85" s="3">
        <v>10.64</v>
      </c>
      <c r="G85" s="3">
        <v>-18.52</v>
      </c>
      <c r="H85" s="3">
        <v>0</v>
      </c>
      <c r="I85" s="3">
        <v>31.48</v>
      </c>
      <c r="J85" s="3">
        <v>18.09</v>
      </c>
    </row>
    <row r="86" spans="1:10" ht="14.4" x14ac:dyDescent="0.3">
      <c r="A86" s="3"/>
      <c r="E86" s="3">
        <v>385.52</v>
      </c>
      <c r="F86" s="3">
        <v>14.02</v>
      </c>
      <c r="G86" s="3">
        <v>-20.36</v>
      </c>
      <c r="H86" s="3">
        <v>0</v>
      </c>
      <c r="I86" s="3">
        <v>34.61</v>
      </c>
      <c r="J86" s="3">
        <v>23.84</v>
      </c>
    </row>
    <row r="87" spans="1:10" ht="14.4" x14ac:dyDescent="0.3">
      <c r="A87" s="3"/>
      <c r="E87" s="3">
        <v>368.63</v>
      </c>
      <c r="F87" s="3">
        <v>11.26</v>
      </c>
      <c r="G87" s="3">
        <v>-18.05</v>
      </c>
      <c r="H87" s="3">
        <v>0</v>
      </c>
      <c r="I87" s="3">
        <v>30.68</v>
      </c>
      <c r="J87" s="3">
        <v>19.149999999999999</v>
      </c>
    </row>
    <row r="88" spans="1:10" ht="14.4" x14ac:dyDescent="0.3">
      <c r="A88" s="3"/>
      <c r="E88" s="3">
        <v>509.93</v>
      </c>
      <c r="F88" s="3">
        <v>-11.3</v>
      </c>
      <c r="G88" s="3">
        <v>-6.22</v>
      </c>
      <c r="H88" s="3">
        <v>0</v>
      </c>
      <c r="I88" s="3">
        <v>10.58</v>
      </c>
      <c r="J88" s="3">
        <v>-19.21</v>
      </c>
    </row>
    <row r="89" spans="1:10" ht="14.4" x14ac:dyDescent="0.3">
      <c r="A89" s="3"/>
      <c r="E89" s="3">
        <v>468.46</v>
      </c>
      <c r="F89" s="3">
        <v>54.06</v>
      </c>
      <c r="G89" s="3">
        <v>-47.78</v>
      </c>
      <c r="H89" s="3">
        <v>0</v>
      </c>
      <c r="I89" s="3">
        <v>81.23</v>
      </c>
      <c r="J89" s="3">
        <v>91.9</v>
      </c>
    </row>
    <row r="90" spans="1:10" ht="14.4" x14ac:dyDescent="0.3">
      <c r="A90" s="3"/>
      <c r="E90" s="3">
        <v>603.66999999999996</v>
      </c>
      <c r="F90" s="3">
        <v>-19.54</v>
      </c>
      <c r="G90" s="3">
        <v>-8.17</v>
      </c>
      <c r="H90" s="3">
        <v>0</v>
      </c>
      <c r="I90" s="3">
        <v>13.89</v>
      </c>
      <c r="J90" s="3">
        <v>-33.229999999999997</v>
      </c>
    </row>
    <row r="91" spans="1:10" ht="14.4" x14ac:dyDescent="0.3">
      <c r="A91" s="3"/>
      <c r="E91" s="3">
        <v>562.19000000000005</v>
      </c>
      <c r="F91" s="3">
        <v>45.81</v>
      </c>
      <c r="G91" s="3">
        <v>-49.73</v>
      </c>
      <c r="H91" s="3">
        <v>0</v>
      </c>
      <c r="I91" s="3">
        <v>84.54</v>
      </c>
      <c r="J91" s="3">
        <v>77.88</v>
      </c>
    </row>
    <row r="92" spans="1:10" ht="14.4" x14ac:dyDescent="0.3">
      <c r="A92" s="3"/>
      <c r="E92" s="3">
        <v>509.93</v>
      </c>
      <c r="F92" s="3">
        <v>-11.3</v>
      </c>
      <c r="G92" s="3">
        <v>-6.22</v>
      </c>
      <c r="H92" s="3">
        <v>0</v>
      </c>
      <c r="I92" s="3">
        <v>10.58</v>
      </c>
      <c r="J92" s="3">
        <v>-19.21</v>
      </c>
    </row>
    <row r="93" spans="1:10" ht="14.4" x14ac:dyDescent="0.3">
      <c r="A93" s="3"/>
      <c r="E93" s="3">
        <v>468.46</v>
      </c>
      <c r="F93" s="3">
        <v>54.06</v>
      </c>
      <c r="G93" s="3">
        <v>-47.78</v>
      </c>
      <c r="H93" s="3">
        <v>0</v>
      </c>
      <c r="I93" s="3">
        <v>81.23</v>
      </c>
      <c r="J93" s="3">
        <v>91.9</v>
      </c>
    </row>
    <row r="94" spans="1:10" ht="14.4" x14ac:dyDescent="0.3">
      <c r="A94" s="3"/>
      <c r="E94" s="3">
        <v>603.66999999999996</v>
      </c>
      <c r="F94" s="3">
        <v>-19.54</v>
      </c>
      <c r="G94" s="3">
        <v>-8.17</v>
      </c>
      <c r="H94" s="3">
        <v>0</v>
      </c>
      <c r="I94" s="3">
        <v>13.89</v>
      </c>
      <c r="J94" s="3">
        <v>-33.229999999999997</v>
      </c>
    </row>
    <row r="95" spans="1:10" ht="14.4" x14ac:dyDescent="0.3">
      <c r="A95" s="3"/>
      <c r="E95" s="3">
        <v>562.19000000000005</v>
      </c>
      <c r="F95" s="3">
        <v>45.81</v>
      </c>
      <c r="G95" s="3">
        <v>-49.73</v>
      </c>
      <c r="H95" s="3">
        <v>0</v>
      </c>
      <c r="I95" s="3">
        <v>84.54</v>
      </c>
      <c r="J95" s="3">
        <v>77.88</v>
      </c>
    </row>
    <row r="96" spans="1:10" ht="14.4" x14ac:dyDescent="0.3">
      <c r="A96" s="3"/>
      <c r="E96" s="3">
        <v>449.6</v>
      </c>
      <c r="F96" s="3">
        <v>22.68</v>
      </c>
      <c r="G96" s="3">
        <v>-21.55</v>
      </c>
      <c r="H96" s="3">
        <v>0</v>
      </c>
      <c r="I96" s="3">
        <v>36.64</v>
      </c>
      <c r="J96" s="3">
        <v>38.549999999999997</v>
      </c>
    </row>
    <row r="97" spans="1:10" ht="14.4" x14ac:dyDescent="0.3">
      <c r="A97" s="3"/>
      <c r="E97" s="3">
        <v>581.5</v>
      </c>
      <c r="F97" s="3">
        <v>-9.6</v>
      </c>
      <c r="G97" s="3">
        <v>-19.059999999999999</v>
      </c>
      <c r="H97" s="3">
        <v>0</v>
      </c>
      <c r="I97" s="3">
        <v>32.4</v>
      </c>
      <c r="J97" s="3">
        <v>-16.32</v>
      </c>
    </row>
    <row r="98" spans="1:10" ht="14.4" x14ac:dyDescent="0.3">
      <c r="A98" s="3"/>
      <c r="E98" s="3">
        <v>490.63</v>
      </c>
      <c r="F98" s="3">
        <v>44.11</v>
      </c>
      <c r="G98" s="3">
        <v>-36.9</v>
      </c>
      <c r="H98" s="3">
        <v>0</v>
      </c>
      <c r="I98" s="3">
        <v>62.72</v>
      </c>
      <c r="J98" s="3">
        <v>74.989999999999995</v>
      </c>
    </row>
    <row r="99" spans="1:10" ht="14.4" x14ac:dyDescent="0.3">
      <c r="A99" s="3"/>
      <c r="E99" s="3">
        <v>622.53</v>
      </c>
      <c r="F99" s="3">
        <v>11.83</v>
      </c>
      <c r="G99" s="3">
        <v>-34.4</v>
      </c>
      <c r="H99" s="3">
        <v>0</v>
      </c>
      <c r="I99" s="3">
        <v>58.48</v>
      </c>
      <c r="J99" s="3">
        <v>20.12</v>
      </c>
    </row>
    <row r="100" spans="1:10" ht="14.4" x14ac:dyDescent="0.3">
      <c r="A100" s="3"/>
      <c r="E100" s="3">
        <v>449.6</v>
      </c>
      <c r="F100" s="3">
        <v>22.68</v>
      </c>
      <c r="G100" s="3">
        <v>-21.55</v>
      </c>
      <c r="H100" s="3">
        <v>0</v>
      </c>
      <c r="I100" s="3">
        <v>36.64</v>
      </c>
      <c r="J100" s="3">
        <v>38.549999999999997</v>
      </c>
    </row>
    <row r="101" spans="1:10" ht="14.4" x14ac:dyDescent="0.3">
      <c r="A101" s="3"/>
      <c r="E101" s="3">
        <v>581.5</v>
      </c>
      <c r="F101" s="3">
        <v>-9.6</v>
      </c>
      <c r="G101" s="3">
        <v>-19.059999999999999</v>
      </c>
      <c r="H101" s="3">
        <v>0</v>
      </c>
      <c r="I101" s="3">
        <v>32.4</v>
      </c>
      <c r="J101" s="3">
        <v>-16.32</v>
      </c>
    </row>
    <row r="102" spans="1:10" ht="14.4" x14ac:dyDescent="0.3">
      <c r="A102" s="3"/>
      <c r="E102" s="3">
        <v>490.63</v>
      </c>
      <c r="F102" s="3">
        <v>44.11</v>
      </c>
      <c r="G102" s="3">
        <v>-36.9</v>
      </c>
      <c r="H102" s="3">
        <v>0</v>
      </c>
      <c r="I102" s="3">
        <v>62.72</v>
      </c>
      <c r="J102" s="3">
        <v>74.989999999999995</v>
      </c>
    </row>
    <row r="103" spans="1:10" ht="14.4" x14ac:dyDescent="0.3">
      <c r="A103" s="3"/>
      <c r="E103" s="3">
        <v>622.53</v>
      </c>
      <c r="F103" s="3">
        <v>11.83</v>
      </c>
      <c r="G103" s="3">
        <v>-34.4</v>
      </c>
      <c r="H103" s="3">
        <v>0</v>
      </c>
      <c r="I103" s="3">
        <v>58.48</v>
      </c>
      <c r="J103" s="3">
        <v>20.12</v>
      </c>
    </row>
    <row r="104" spans="1:10" ht="14.4" x14ac:dyDescent="0.3">
      <c r="A104" s="3"/>
      <c r="E104" s="3">
        <v>784.82</v>
      </c>
      <c r="F104" s="3">
        <v>61.1</v>
      </c>
      <c r="G104" s="3">
        <v>-3.66</v>
      </c>
      <c r="H104" s="3">
        <v>0</v>
      </c>
      <c r="I104" s="3">
        <v>6.22</v>
      </c>
      <c r="J104" s="3">
        <v>103.87</v>
      </c>
    </row>
    <row r="105" spans="1:10" ht="14.4" x14ac:dyDescent="0.3">
      <c r="A105" s="3"/>
      <c r="E105" s="3">
        <v>404.29</v>
      </c>
      <c r="F105" s="3">
        <v>-17.420000000000002</v>
      </c>
      <c r="G105" s="3">
        <v>-47.8</v>
      </c>
      <c r="H105" s="3">
        <v>0</v>
      </c>
      <c r="I105" s="3">
        <v>81.260000000000005</v>
      </c>
      <c r="J105" s="3">
        <v>-29.61</v>
      </c>
    </row>
    <row r="106" spans="1:10" ht="14.4" x14ac:dyDescent="0.3">
      <c r="A106" s="3"/>
      <c r="E106" s="3">
        <v>667.84</v>
      </c>
      <c r="F106" s="3">
        <v>51.93</v>
      </c>
      <c r="G106" s="3">
        <v>-8.15</v>
      </c>
      <c r="H106" s="3">
        <v>0</v>
      </c>
      <c r="I106" s="3">
        <v>13.86</v>
      </c>
      <c r="J106" s="3">
        <v>88.28</v>
      </c>
    </row>
    <row r="107" spans="1:10" ht="14.4" x14ac:dyDescent="0.3">
      <c r="A107" s="3"/>
      <c r="E107" s="3">
        <v>287.3</v>
      </c>
      <c r="F107" s="3">
        <v>-26.59</v>
      </c>
      <c r="G107" s="3">
        <v>-52.29</v>
      </c>
      <c r="H107" s="3">
        <v>0</v>
      </c>
      <c r="I107" s="3">
        <v>88.9</v>
      </c>
      <c r="J107" s="3">
        <v>-45.2</v>
      </c>
    </row>
    <row r="108" spans="1:10" ht="14.4" x14ac:dyDescent="0.3">
      <c r="A108" s="3"/>
      <c r="E108" s="3">
        <v>847.72</v>
      </c>
      <c r="F108" s="3">
        <v>46.07</v>
      </c>
      <c r="G108" s="3">
        <v>-16.98</v>
      </c>
      <c r="H108" s="3">
        <v>0</v>
      </c>
      <c r="I108" s="3">
        <v>28.86</v>
      </c>
      <c r="J108" s="3">
        <v>78.31</v>
      </c>
    </row>
    <row r="109" spans="1:10" ht="14.4" x14ac:dyDescent="0.3">
      <c r="A109" s="3"/>
      <c r="E109" s="3">
        <v>286.45</v>
      </c>
      <c r="F109" s="3">
        <v>10.75</v>
      </c>
      <c r="G109" s="3">
        <v>-22.85</v>
      </c>
      <c r="H109" s="3">
        <v>0</v>
      </c>
      <c r="I109" s="3">
        <v>38.840000000000003</v>
      </c>
      <c r="J109" s="3">
        <v>18.27</v>
      </c>
    </row>
    <row r="110" spans="1:10" ht="14.4" x14ac:dyDescent="0.3">
      <c r="A110" s="3"/>
      <c r="E110" s="3">
        <v>785.67</v>
      </c>
      <c r="F110" s="3">
        <v>23.76</v>
      </c>
      <c r="G110" s="3">
        <v>-33.11</v>
      </c>
      <c r="H110" s="3">
        <v>0</v>
      </c>
      <c r="I110" s="3">
        <v>56.28</v>
      </c>
      <c r="J110" s="3">
        <v>40.4</v>
      </c>
    </row>
    <row r="111" spans="1:10" ht="14.4" x14ac:dyDescent="0.3">
      <c r="A111" s="3"/>
      <c r="E111" s="3">
        <v>224.41</v>
      </c>
      <c r="F111" s="3">
        <v>-11.55</v>
      </c>
      <c r="G111" s="3">
        <v>-38.97</v>
      </c>
      <c r="H111" s="3">
        <v>0</v>
      </c>
      <c r="I111" s="3">
        <v>66.260000000000005</v>
      </c>
      <c r="J111" s="3">
        <v>-19.64</v>
      </c>
    </row>
    <row r="112" spans="1:10" ht="14.4" x14ac:dyDescent="0.3">
      <c r="A112" s="3"/>
      <c r="E112" s="3">
        <v>386.42</v>
      </c>
      <c r="F112" s="3">
        <v>-14.91</v>
      </c>
      <c r="G112" s="3">
        <v>0.01</v>
      </c>
      <c r="H112" s="3">
        <v>0</v>
      </c>
      <c r="I112" s="3">
        <v>-0.02</v>
      </c>
      <c r="J112" s="3">
        <v>-25.34</v>
      </c>
    </row>
    <row r="113" spans="1:10" ht="14.4" x14ac:dyDescent="0.3">
      <c r="A113" s="3"/>
      <c r="E113" s="3">
        <v>327.3</v>
      </c>
      <c r="F113" s="3">
        <v>49.93</v>
      </c>
      <c r="G113" s="3">
        <v>-40.65</v>
      </c>
      <c r="H113" s="3">
        <v>0</v>
      </c>
      <c r="I113" s="3">
        <v>69.11</v>
      </c>
      <c r="J113" s="3">
        <v>84.89</v>
      </c>
    </row>
    <row r="114" spans="1:10" ht="14.4" x14ac:dyDescent="0.3">
      <c r="A114" s="3"/>
      <c r="E114" s="3">
        <v>480.16</v>
      </c>
      <c r="F114" s="3">
        <v>-23.15</v>
      </c>
      <c r="G114" s="3">
        <v>-1.93</v>
      </c>
      <c r="H114" s="3">
        <v>0</v>
      </c>
      <c r="I114" s="3">
        <v>3.29</v>
      </c>
      <c r="J114" s="3">
        <v>-39.36</v>
      </c>
    </row>
    <row r="115" spans="1:10" ht="14.4" x14ac:dyDescent="0.3">
      <c r="A115" s="3"/>
      <c r="E115" s="3">
        <v>421.04</v>
      </c>
      <c r="F115" s="3">
        <v>41.69</v>
      </c>
      <c r="G115" s="3">
        <v>-42.6</v>
      </c>
      <c r="H115" s="3">
        <v>0</v>
      </c>
      <c r="I115" s="3">
        <v>72.42</v>
      </c>
      <c r="J115" s="3">
        <v>70.87</v>
      </c>
    </row>
    <row r="116" spans="1:10" ht="14.4" x14ac:dyDescent="0.3">
      <c r="A116" s="3"/>
      <c r="E116" s="3">
        <v>386.42</v>
      </c>
      <c r="F116" s="3">
        <v>-14.91</v>
      </c>
      <c r="G116" s="3">
        <v>0.01</v>
      </c>
      <c r="H116" s="3">
        <v>0</v>
      </c>
      <c r="I116" s="3">
        <v>-0.02</v>
      </c>
      <c r="J116" s="3">
        <v>-25.34</v>
      </c>
    </row>
    <row r="117" spans="1:10" ht="14.4" x14ac:dyDescent="0.3">
      <c r="A117" s="3"/>
      <c r="E117" s="3">
        <v>327.3</v>
      </c>
      <c r="F117" s="3">
        <v>49.93</v>
      </c>
      <c r="G117" s="3">
        <v>-40.65</v>
      </c>
      <c r="H117" s="3">
        <v>0</v>
      </c>
      <c r="I117" s="3">
        <v>69.11</v>
      </c>
      <c r="J117" s="3">
        <v>84.89</v>
      </c>
    </row>
    <row r="118" spans="1:10" ht="14.4" x14ac:dyDescent="0.3">
      <c r="A118" s="3"/>
      <c r="E118" s="3">
        <v>480.16</v>
      </c>
      <c r="F118" s="3">
        <v>-23.15</v>
      </c>
      <c r="G118" s="3">
        <v>-1.93</v>
      </c>
      <c r="H118" s="3">
        <v>0</v>
      </c>
      <c r="I118" s="3">
        <v>3.29</v>
      </c>
      <c r="J118" s="3">
        <v>-39.36</v>
      </c>
    </row>
    <row r="119" spans="1:10" ht="14.4" x14ac:dyDescent="0.3">
      <c r="A119" s="3"/>
      <c r="E119" s="3">
        <v>421.04</v>
      </c>
      <c r="F119" s="3">
        <v>41.69</v>
      </c>
      <c r="G119" s="3">
        <v>-42.6</v>
      </c>
      <c r="H119" s="3">
        <v>0</v>
      </c>
      <c r="I119" s="3">
        <v>72.42</v>
      </c>
      <c r="J119" s="3">
        <v>70.87</v>
      </c>
    </row>
    <row r="120" spans="1:10" ht="14.4" x14ac:dyDescent="0.3">
      <c r="A120" s="3"/>
      <c r="E120" s="3">
        <v>326.08999999999997</v>
      </c>
      <c r="F120" s="3">
        <v>19.07</v>
      </c>
      <c r="G120" s="3">
        <v>-15.32</v>
      </c>
      <c r="H120" s="3">
        <v>0</v>
      </c>
      <c r="I120" s="3">
        <v>26.04</v>
      </c>
      <c r="J120" s="3">
        <v>32.42</v>
      </c>
    </row>
    <row r="121" spans="1:10" ht="14.4" x14ac:dyDescent="0.3">
      <c r="A121" s="3"/>
      <c r="E121" s="3">
        <v>440.34</v>
      </c>
      <c r="F121" s="3">
        <v>-13.72</v>
      </c>
      <c r="G121" s="3">
        <v>-11.93</v>
      </c>
      <c r="H121" s="3">
        <v>0</v>
      </c>
      <c r="I121" s="3">
        <v>20.28</v>
      </c>
      <c r="J121" s="3">
        <v>-23.33</v>
      </c>
    </row>
    <row r="122" spans="1:10" ht="14.4" x14ac:dyDescent="0.3">
      <c r="A122" s="3"/>
      <c r="E122" s="3">
        <v>367.12</v>
      </c>
      <c r="F122" s="3">
        <v>40.51</v>
      </c>
      <c r="G122" s="3">
        <v>-30.66</v>
      </c>
      <c r="H122" s="3">
        <v>0</v>
      </c>
      <c r="I122" s="3">
        <v>52.12</v>
      </c>
      <c r="J122" s="3">
        <v>68.86</v>
      </c>
    </row>
    <row r="123" spans="1:10" ht="14.4" x14ac:dyDescent="0.3">
      <c r="A123" s="3"/>
      <c r="E123" s="3">
        <v>481.37</v>
      </c>
      <c r="F123" s="3">
        <v>7.71</v>
      </c>
      <c r="G123" s="3">
        <v>-27.27</v>
      </c>
      <c r="H123" s="3">
        <v>0</v>
      </c>
      <c r="I123" s="3">
        <v>46.36</v>
      </c>
      <c r="J123" s="3">
        <v>13.11</v>
      </c>
    </row>
    <row r="124" spans="1:10" ht="14.4" x14ac:dyDescent="0.3">
      <c r="A124" s="3"/>
      <c r="E124" s="3">
        <v>326.08999999999997</v>
      </c>
      <c r="F124" s="3">
        <v>19.07</v>
      </c>
      <c r="G124" s="3">
        <v>-15.32</v>
      </c>
      <c r="H124" s="3">
        <v>0</v>
      </c>
      <c r="I124" s="3">
        <v>26.04</v>
      </c>
      <c r="J124" s="3">
        <v>32.42</v>
      </c>
    </row>
    <row r="125" spans="1:10" ht="14.4" x14ac:dyDescent="0.3">
      <c r="A125" s="3"/>
      <c r="E125" s="3">
        <v>440.34</v>
      </c>
      <c r="F125" s="3">
        <v>-13.72</v>
      </c>
      <c r="G125" s="3">
        <v>-11.93</v>
      </c>
      <c r="H125" s="3">
        <v>0</v>
      </c>
      <c r="I125" s="3">
        <v>20.28</v>
      </c>
      <c r="J125" s="3">
        <v>-23.33</v>
      </c>
    </row>
    <row r="126" spans="1:10" ht="14.4" x14ac:dyDescent="0.3">
      <c r="A126" s="3"/>
      <c r="E126" s="3">
        <v>367.12</v>
      </c>
      <c r="F126" s="3">
        <v>40.51</v>
      </c>
      <c r="G126" s="3">
        <v>-30.66</v>
      </c>
      <c r="H126" s="3">
        <v>0</v>
      </c>
      <c r="I126" s="3">
        <v>52.12</v>
      </c>
      <c r="J126" s="3">
        <v>68.86</v>
      </c>
    </row>
    <row r="127" spans="1:10" ht="14.4" x14ac:dyDescent="0.3">
      <c r="A127" s="3"/>
      <c r="E127" s="3">
        <v>481.37</v>
      </c>
      <c r="F127" s="3">
        <v>7.71</v>
      </c>
      <c r="G127" s="3">
        <v>-27.27</v>
      </c>
      <c r="H127" s="3">
        <v>0</v>
      </c>
      <c r="I127" s="3">
        <v>46.36</v>
      </c>
      <c r="J127" s="3">
        <v>13.11</v>
      </c>
    </row>
    <row r="128" spans="1:10" ht="14.4" x14ac:dyDescent="0.3">
      <c r="A128" s="3"/>
      <c r="E128" s="3">
        <v>661.31</v>
      </c>
      <c r="F128" s="3">
        <v>57.49</v>
      </c>
      <c r="G128" s="3">
        <v>2.58</v>
      </c>
      <c r="H128" s="3">
        <v>0</v>
      </c>
      <c r="I128" s="3">
        <v>-4.38</v>
      </c>
      <c r="J128" s="3">
        <v>97.74</v>
      </c>
    </row>
    <row r="129" spans="1:10" ht="14.4" x14ac:dyDescent="0.3">
      <c r="A129" s="3"/>
      <c r="E129" s="3">
        <v>263.13</v>
      </c>
      <c r="F129" s="3">
        <v>-21.54</v>
      </c>
      <c r="G129" s="3">
        <v>-40.67</v>
      </c>
      <c r="H129" s="3">
        <v>0</v>
      </c>
      <c r="I129" s="3">
        <v>69.14</v>
      </c>
      <c r="J129" s="3">
        <v>-36.619999999999997</v>
      </c>
    </row>
    <row r="130" spans="1:10" ht="14.4" x14ac:dyDescent="0.3">
      <c r="A130" s="3"/>
      <c r="E130" s="3">
        <v>544.33000000000004</v>
      </c>
      <c r="F130" s="3">
        <v>48.32</v>
      </c>
      <c r="G130" s="3">
        <v>-1.91</v>
      </c>
      <c r="H130" s="3">
        <v>0</v>
      </c>
      <c r="I130" s="3">
        <v>3.25</v>
      </c>
      <c r="J130" s="3">
        <v>82.15</v>
      </c>
    </row>
    <row r="131" spans="1:10" ht="14.4" x14ac:dyDescent="0.3">
      <c r="A131" s="3"/>
      <c r="E131" s="3">
        <v>146.15</v>
      </c>
      <c r="F131" s="3">
        <v>-30.71</v>
      </c>
      <c r="G131" s="3">
        <v>-45.16</v>
      </c>
      <c r="H131" s="3">
        <v>0</v>
      </c>
      <c r="I131" s="3">
        <v>76.78</v>
      </c>
      <c r="J131" s="3">
        <v>-52.21</v>
      </c>
    </row>
    <row r="132" spans="1:10" ht="14.4" x14ac:dyDescent="0.3">
      <c r="A132" s="3"/>
      <c r="E132" s="3">
        <v>724.21</v>
      </c>
      <c r="F132" s="3">
        <v>42.46</v>
      </c>
      <c r="G132" s="3">
        <v>-10.74</v>
      </c>
      <c r="H132" s="3">
        <v>0</v>
      </c>
      <c r="I132" s="3">
        <v>18.260000000000002</v>
      </c>
      <c r="J132" s="3">
        <v>72.180000000000007</v>
      </c>
    </row>
    <row r="133" spans="1:10" ht="14.4" x14ac:dyDescent="0.3">
      <c r="A133" s="3"/>
      <c r="E133" s="3">
        <v>145.30000000000001</v>
      </c>
      <c r="F133" s="3">
        <v>6.63</v>
      </c>
      <c r="G133" s="3">
        <v>-15.72</v>
      </c>
      <c r="H133" s="3">
        <v>0</v>
      </c>
      <c r="I133" s="3">
        <v>26.72</v>
      </c>
      <c r="J133" s="3">
        <v>11.26</v>
      </c>
    </row>
    <row r="134" spans="1:10" ht="14.4" x14ac:dyDescent="0.3">
      <c r="A134" s="3"/>
      <c r="E134" s="3">
        <v>662.16</v>
      </c>
      <c r="F134" s="3">
        <v>20.16</v>
      </c>
      <c r="G134" s="3">
        <v>-26.87</v>
      </c>
      <c r="H134" s="3">
        <v>0</v>
      </c>
      <c r="I134" s="3">
        <v>45.68</v>
      </c>
      <c r="J134" s="3">
        <v>34.270000000000003</v>
      </c>
    </row>
    <row r="135" spans="1:10" ht="14.4" x14ac:dyDescent="0.3">
      <c r="A135" s="3"/>
      <c r="E135" s="3">
        <v>468.07</v>
      </c>
      <c r="F135" s="3">
        <v>14.49</v>
      </c>
      <c r="G135" s="3">
        <v>-17.07</v>
      </c>
      <c r="H135" s="3">
        <v>0</v>
      </c>
      <c r="I135" s="3">
        <v>29.01</v>
      </c>
      <c r="J135" s="3">
        <v>24.63</v>
      </c>
    </row>
    <row r="136" spans="1:10" ht="14.4" x14ac:dyDescent="0.3">
      <c r="A136" s="3"/>
      <c r="E136" s="3">
        <v>384.9</v>
      </c>
      <c r="F136" s="3">
        <v>-61.71</v>
      </c>
      <c r="G136" s="3">
        <v>28.55</v>
      </c>
      <c r="H136" s="3">
        <v>0</v>
      </c>
      <c r="I136" s="3">
        <v>-48.53</v>
      </c>
      <c r="J136" s="3">
        <v>-104.91</v>
      </c>
    </row>
    <row r="137" spans="1:10" ht="14.4" x14ac:dyDescent="0.3">
      <c r="A137" s="3"/>
      <c r="E137" s="3">
        <v>687.23</v>
      </c>
      <c r="F137" s="3">
        <v>96.23</v>
      </c>
      <c r="G137" s="3">
        <v>-84.5</v>
      </c>
      <c r="H137" s="3">
        <v>0</v>
      </c>
      <c r="I137" s="3">
        <v>143.65</v>
      </c>
      <c r="J137" s="3">
        <v>163.58000000000001</v>
      </c>
    </row>
    <row r="138" spans="1:10" ht="14.4" x14ac:dyDescent="0.3">
      <c r="A138" s="3"/>
      <c r="E138" s="3">
        <v>190.72</v>
      </c>
      <c r="F138" s="3">
        <v>47.64</v>
      </c>
      <c r="G138" s="3">
        <v>-20.79</v>
      </c>
      <c r="H138" s="3">
        <v>0</v>
      </c>
      <c r="I138" s="3">
        <v>35.35</v>
      </c>
      <c r="J138" s="3">
        <v>80.989999999999995</v>
      </c>
    </row>
    <row r="139" spans="1:10" ht="14.4" x14ac:dyDescent="0.3">
      <c r="A139" s="3"/>
      <c r="E139" s="3">
        <v>881.41</v>
      </c>
      <c r="F139" s="3">
        <v>-13.13</v>
      </c>
      <c r="G139" s="3">
        <v>-35.159999999999997</v>
      </c>
      <c r="H139" s="3">
        <v>0</v>
      </c>
      <c r="I139" s="3">
        <v>59.77</v>
      </c>
      <c r="J139" s="3">
        <v>-22.31</v>
      </c>
    </row>
    <row r="140" spans="1:10" ht="14.4" x14ac:dyDescent="0.3">
      <c r="A140" s="3"/>
      <c r="E140" s="3">
        <v>384.9</v>
      </c>
      <c r="F140" s="3">
        <v>-61.71</v>
      </c>
      <c r="G140" s="3">
        <v>28.55</v>
      </c>
      <c r="H140" s="3">
        <v>0</v>
      </c>
      <c r="I140" s="3">
        <v>-48.53</v>
      </c>
      <c r="J140" s="3">
        <v>-104.91</v>
      </c>
    </row>
    <row r="141" spans="1:10" ht="14.4" x14ac:dyDescent="0.3">
      <c r="A141" s="3"/>
      <c r="E141" s="3">
        <v>687.23</v>
      </c>
      <c r="F141" s="3">
        <v>96.23</v>
      </c>
      <c r="G141" s="3">
        <v>-84.5</v>
      </c>
      <c r="H141" s="3">
        <v>0</v>
      </c>
      <c r="I141" s="3">
        <v>143.65</v>
      </c>
      <c r="J141" s="3">
        <v>163.58000000000001</v>
      </c>
    </row>
    <row r="142" spans="1:10" ht="14.4" x14ac:dyDescent="0.3">
      <c r="A142" s="3"/>
      <c r="E142" s="3">
        <v>190.72</v>
      </c>
      <c r="F142" s="3">
        <v>47.64</v>
      </c>
      <c r="G142" s="3">
        <v>-20.79</v>
      </c>
      <c r="H142" s="3">
        <v>0</v>
      </c>
      <c r="I142" s="3">
        <v>35.35</v>
      </c>
      <c r="J142" s="3">
        <v>80.989999999999995</v>
      </c>
    </row>
    <row r="143" spans="1:10" ht="14.4" x14ac:dyDescent="0.3">
      <c r="A143" s="3"/>
      <c r="E143" s="3">
        <v>881.41</v>
      </c>
      <c r="F143" s="3">
        <v>-13.13</v>
      </c>
      <c r="G143" s="3">
        <v>-35.159999999999997</v>
      </c>
      <c r="H143" s="3">
        <v>0</v>
      </c>
      <c r="I143" s="3">
        <v>59.77</v>
      </c>
      <c r="J143" s="3">
        <v>-22.31</v>
      </c>
    </row>
    <row r="144" spans="1:10" ht="14.4" x14ac:dyDescent="0.3">
      <c r="A144" s="3"/>
      <c r="E144" s="3">
        <v>245.84</v>
      </c>
      <c r="F144" s="3">
        <v>-67.38</v>
      </c>
      <c r="G144" s="3">
        <v>36.47</v>
      </c>
      <c r="H144" s="3">
        <v>0</v>
      </c>
      <c r="I144" s="3">
        <v>-62</v>
      </c>
      <c r="J144" s="3">
        <v>-114.54</v>
      </c>
    </row>
    <row r="145" spans="1:10" ht="14.4" x14ac:dyDescent="0.3">
      <c r="A145" s="3"/>
      <c r="E145" s="3">
        <v>548.16999999999996</v>
      </c>
      <c r="F145" s="3">
        <v>90.56</v>
      </c>
      <c r="G145" s="3">
        <v>-76.58</v>
      </c>
      <c r="H145" s="3">
        <v>0</v>
      </c>
      <c r="I145" s="3">
        <v>130.18</v>
      </c>
      <c r="J145" s="3">
        <v>153.96</v>
      </c>
    </row>
    <row r="146" spans="1:10" ht="14.4" x14ac:dyDescent="0.3">
      <c r="A146" s="3"/>
      <c r="E146" s="3">
        <v>51.66</v>
      </c>
      <c r="F146" s="3">
        <v>41.98</v>
      </c>
      <c r="G146" s="3">
        <v>-12.87</v>
      </c>
      <c r="H146" s="3">
        <v>0</v>
      </c>
      <c r="I146" s="3">
        <v>21.88</v>
      </c>
      <c r="J146" s="3">
        <v>71.36</v>
      </c>
    </row>
    <row r="147" spans="1:10" ht="14.4" x14ac:dyDescent="0.3">
      <c r="A147" s="3"/>
      <c r="E147" s="3">
        <v>742.35</v>
      </c>
      <c r="F147" s="3">
        <v>-18.79</v>
      </c>
      <c r="G147" s="3">
        <v>-27.23</v>
      </c>
      <c r="H147" s="3">
        <v>0</v>
      </c>
      <c r="I147" s="3">
        <v>46.3</v>
      </c>
      <c r="J147" s="3">
        <v>-31.94</v>
      </c>
    </row>
    <row r="148" spans="1:10" ht="14.4" x14ac:dyDescent="0.3">
      <c r="A148" s="3"/>
      <c r="E148" s="3">
        <v>245.84</v>
      </c>
      <c r="F148" s="3">
        <v>-67.38</v>
      </c>
      <c r="G148" s="3">
        <v>36.47</v>
      </c>
      <c r="H148" s="3">
        <v>0</v>
      </c>
      <c r="I148" s="3">
        <v>-62</v>
      </c>
      <c r="J148" s="3">
        <v>-114.54</v>
      </c>
    </row>
    <row r="149" spans="1:10" ht="14.4" x14ac:dyDescent="0.3">
      <c r="A149" s="3"/>
      <c r="E149" s="3">
        <v>548.16999999999996</v>
      </c>
      <c r="F149" s="3">
        <v>90.56</v>
      </c>
      <c r="G149" s="3">
        <v>-76.58</v>
      </c>
      <c r="H149" s="3">
        <v>0</v>
      </c>
      <c r="I149" s="3">
        <v>130.18</v>
      </c>
      <c r="J149" s="3">
        <v>153.96</v>
      </c>
    </row>
    <row r="150" spans="1:10" ht="14.4" x14ac:dyDescent="0.3">
      <c r="A150" s="3"/>
      <c r="E150" s="3">
        <v>51.66</v>
      </c>
      <c r="F150" s="3">
        <v>41.98</v>
      </c>
      <c r="G150" s="3">
        <v>-12.87</v>
      </c>
      <c r="H150" s="3">
        <v>0</v>
      </c>
      <c r="I150" s="3">
        <v>21.88</v>
      </c>
      <c r="J150" s="3">
        <v>71.36</v>
      </c>
    </row>
    <row r="151" spans="1:10" ht="14.4" x14ac:dyDescent="0.3">
      <c r="A151" s="3"/>
      <c r="E151" s="3">
        <v>742.35</v>
      </c>
      <c r="F151" s="3">
        <v>-18.79</v>
      </c>
      <c r="G151" s="3">
        <v>-27.23</v>
      </c>
      <c r="H151" s="3">
        <v>0</v>
      </c>
      <c r="I151" s="3">
        <v>46.3</v>
      </c>
      <c r="J151" s="3">
        <v>-31.94</v>
      </c>
    </row>
    <row r="152" spans="1:10" ht="14.4" x14ac:dyDescent="0.3">
      <c r="A152" s="3"/>
      <c r="E152" s="3">
        <v>631.04999999999995</v>
      </c>
      <c r="F152" s="3">
        <v>18.04</v>
      </c>
      <c r="G152" s="3">
        <v>-31.19</v>
      </c>
      <c r="H152" s="3">
        <v>0</v>
      </c>
      <c r="I152" s="3">
        <v>0</v>
      </c>
      <c r="J152" s="3">
        <v>0</v>
      </c>
    </row>
    <row r="153" spans="1:10" ht="14.4" x14ac:dyDescent="0.3">
      <c r="A153" s="3"/>
      <c r="E153" s="3">
        <v>567.36</v>
      </c>
      <c r="F153" s="3">
        <v>19</v>
      </c>
      <c r="G153" s="3">
        <v>-29.38</v>
      </c>
      <c r="H153" s="3">
        <v>0</v>
      </c>
      <c r="I153" s="3">
        <v>0</v>
      </c>
      <c r="J153" s="3">
        <v>0</v>
      </c>
    </row>
    <row r="154" spans="1:10" ht="14.4" x14ac:dyDescent="0.3">
      <c r="A154" s="3"/>
      <c r="E154" s="3">
        <v>680.04</v>
      </c>
      <c r="F154" s="3">
        <v>21.89</v>
      </c>
      <c r="G154" s="3">
        <v>-33.51</v>
      </c>
      <c r="H154" s="3">
        <v>0</v>
      </c>
      <c r="I154" s="3">
        <v>0</v>
      </c>
      <c r="J154" s="3">
        <v>0</v>
      </c>
    </row>
    <row r="155" spans="1:10" ht="14.4" x14ac:dyDescent="0.3">
      <c r="A155" s="3"/>
      <c r="E155" s="3">
        <v>549.72</v>
      </c>
      <c r="F155" s="3">
        <v>17.32</v>
      </c>
      <c r="G155" s="3">
        <v>-28.13</v>
      </c>
      <c r="H155" s="3">
        <v>0</v>
      </c>
      <c r="I155" s="3">
        <v>0</v>
      </c>
      <c r="J155" s="3">
        <v>0</v>
      </c>
    </row>
    <row r="156" spans="1:10" ht="14.4" x14ac:dyDescent="0.3">
      <c r="A156" s="3"/>
      <c r="E156" s="3">
        <v>910.3</v>
      </c>
      <c r="F156" s="3">
        <v>26.56</v>
      </c>
      <c r="G156" s="3">
        <v>-41.35</v>
      </c>
      <c r="H156" s="3">
        <v>0</v>
      </c>
      <c r="I156" s="3">
        <v>0</v>
      </c>
      <c r="J156" s="3">
        <v>0</v>
      </c>
    </row>
    <row r="157" spans="1:10" ht="14.4" x14ac:dyDescent="0.3">
      <c r="A157" s="3"/>
      <c r="E157" s="3">
        <v>534.69000000000005</v>
      </c>
      <c r="F157" s="3">
        <v>13.99</v>
      </c>
      <c r="G157" s="3">
        <v>-25.72</v>
      </c>
      <c r="H157" s="3">
        <v>0</v>
      </c>
      <c r="I157" s="3">
        <v>0</v>
      </c>
      <c r="J157" s="3">
        <v>0</v>
      </c>
    </row>
    <row r="158" spans="1:10" ht="14.4" x14ac:dyDescent="0.3">
      <c r="A158" s="3"/>
      <c r="E158" s="3">
        <v>530.61</v>
      </c>
      <c r="F158" s="3">
        <v>15.31</v>
      </c>
      <c r="G158" s="3">
        <v>-25.91</v>
      </c>
      <c r="H158" s="3">
        <v>0</v>
      </c>
      <c r="I158" s="3">
        <v>0</v>
      </c>
      <c r="J158" s="3">
        <v>0</v>
      </c>
    </row>
    <row r="159" spans="1:10" ht="14.4" x14ac:dyDescent="0.3">
      <c r="A159" s="3"/>
      <c r="E159" s="3">
        <v>540</v>
      </c>
      <c r="F159" s="3">
        <v>16.63</v>
      </c>
      <c r="G159" s="3">
        <v>-27.25</v>
      </c>
      <c r="H159" s="3">
        <v>0</v>
      </c>
      <c r="I159" s="3">
        <v>0</v>
      </c>
      <c r="J159" s="3">
        <v>0</v>
      </c>
    </row>
    <row r="160" spans="1:10" ht="14.4" x14ac:dyDescent="0.3">
      <c r="A160" s="3"/>
      <c r="E160" s="3">
        <v>544.11</v>
      </c>
      <c r="F160" s="3">
        <v>15.71</v>
      </c>
      <c r="G160" s="3">
        <v>-27.08</v>
      </c>
      <c r="H160" s="3">
        <v>0</v>
      </c>
      <c r="I160" s="3">
        <v>0</v>
      </c>
      <c r="J160" s="3">
        <v>0</v>
      </c>
    </row>
    <row r="161" spans="1:10" ht="14.4" x14ac:dyDescent="0.3">
      <c r="A161" s="3"/>
      <c r="E161" s="3">
        <v>543.21</v>
      </c>
      <c r="F161" s="3">
        <v>16.829999999999998</v>
      </c>
      <c r="G161" s="3">
        <v>-27.6</v>
      </c>
      <c r="H161" s="3">
        <v>0</v>
      </c>
      <c r="I161" s="3">
        <v>0</v>
      </c>
      <c r="J161" s="3">
        <v>0</v>
      </c>
    </row>
    <row r="162" spans="1:10" ht="14.4" x14ac:dyDescent="0.3">
      <c r="A162" s="3"/>
      <c r="E162" s="3">
        <v>550.51</v>
      </c>
      <c r="F162" s="3">
        <v>15.99</v>
      </c>
      <c r="G162" s="3">
        <v>-27.65</v>
      </c>
      <c r="H162" s="3">
        <v>0</v>
      </c>
      <c r="I162" s="3">
        <v>0</v>
      </c>
      <c r="J162" s="3">
        <v>0</v>
      </c>
    </row>
    <row r="163" spans="1:10" ht="14.4" x14ac:dyDescent="0.3">
      <c r="A163" s="3"/>
      <c r="E163" s="3">
        <v>548.74</v>
      </c>
      <c r="F163" s="3">
        <v>14.3</v>
      </c>
      <c r="G163" s="3">
        <v>-26.73</v>
      </c>
      <c r="H163" s="3">
        <v>0</v>
      </c>
      <c r="I163" s="3">
        <v>0</v>
      </c>
      <c r="J163" s="3">
        <v>0</v>
      </c>
    </row>
    <row r="164" spans="1:10" ht="14.4" x14ac:dyDescent="0.3">
      <c r="A164" s="3"/>
      <c r="E164" s="3">
        <v>557.17999999999995</v>
      </c>
      <c r="F164" s="3">
        <v>15.68</v>
      </c>
      <c r="G164" s="3">
        <v>-27.89</v>
      </c>
      <c r="H164" s="3">
        <v>0</v>
      </c>
      <c r="I164" s="3">
        <v>0</v>
      </c>
      <c r="J164" s="3">
        <v>0</v>
      </c>
    </row>
    <row r="165" spans="1:10" ht="14.4" x14ac:dyDescent="0.3">
      <c r="A165" s="3"/>
      <c r="E165" s="3">
        <v>551.29999999999995</v>
      </c>
      <c r="F165" s="3">
        <v>17.05</v>
      </c>
      <c r="G165" s="3">
        <v>-28.05</v>
      </c>
      <c r="H165" s="3">
        <v>0</v>
      </c>
      <c r="I165" s="3">
        <v>0</v>
      </c>
      <c r="J165" s="3">
        <v>0</v>
      </c>
    </row>
    <row r="166" spans="1:10" ht="14.4" x14ac:dyDescent="0.3">
      <c r="A166" s="3"/>
      <c r="E166" s="3">
        <v>555.38</v>
      </c>
      <c r="F166" s="3">
        <v>15.72</v>
      </c>
      <c r="G166" s="3">
        <v>-27.87</v>
      </c>
      <c r="H166" s="3">
        <v>0</v>
      </c>
      <c r="I166" s="3">
        <v>0</v>
      </c>
      <c r="J166" s="3">
        <v>0</v>
      </c>
    </row>
    <row r="167" spans="1:10" ht="14.4" x14ac:dyDescent="0.3">
      <c r="A167" s="3"/>
      <c r="E167" s="3">
        <v>545.99</v>
      </c>
      <c r="F167" s="3">
        <v>14.41</v>
      </c>
      <c r="G167" s="3">
        <v>-26.52</v>
      </c>
      <c r="H167" s="3">
        <v>0</v>
      </c>
      <c r="I167" s="3">
        <v>0</v>
      </c>
      <c r="J167" s="3">
        <v>0</v>
      </c>
    </row>
    <row r="168" spans="1:10" ht="14.4" x14ac:dyDescent="0.3">
      <c r="A168" s="3"/>
      <c r="E168" s="3">
        <v>541.88</v>
      </c>
      <c r="F168" s="3">
        <v>15.33</v>
      </c>
      <c r="G168" s="3">
        <v>-26.69</v>
      </c>
      <c r="H168" s="3">
        <v>0</v>
      </c>
      <c r="I168" s="3">
        <v>0</v>
      </c>
      <c r="J168" s="3">
        <v>0</v>
      </c>
    </row>
    <row r="169" spans="1:10" ht="14.4" x14ac:dyDescent="0.3">
      <c r="A169" s="3"/>
      <c r="E169" s="3">
        <v>542.78</v>
      </c>
      <c r="F169" s="3">
        <v>14.21</v>
      </c>
      <c r="G169" s="3">
        <v>-26.18</v>
      </c>
      <c r="H169" s="3">
        <v>0</v>
      </c>
      <c r="I169" s="3">
        <v>0</v>
      </c>
      <c r="J169" s="3">
        <v>0</v>
      </c>
    </row>
    <row r="170" spans="1:10" ht="14.4" x14ac:dyDescent="0.3">
      <c r="A170" s="3"/>
      <c r="E170" s="3">
        <v>535.48</v>
      </c>
      <c r="F170" s="3">
        <v>15.04</v>
      </c>
      <c r="G170" s="3">
        <v>-26.12</v>
      </c>
      <c r="H170" s="3">
        <v>0</v>
      </c>
      <c r="I170" s="3">
        <v>0</v>
      </c>
      <c r="J170" s="3">
        <v>0</v>
      </c>
    </row>
    <row r="171" spans="1:10" ht="14.4" x14ac:dyDescent="0.3">
      <c r="A171" s="3"/>
      <c r="E171" s="3">
        <v>537.25</v>
      </c>
      <c r="F171" s="3">
        <v>16.73</v>
      </c>
      <c r="G171" s="3">
        <v>-27.04</v>
      </c>
      <c r="H171" s="3">
        <v>0</v>
      </c>
      <c r="I171" s="3">
        <v>0</v>
      </c>
      <c r="J171" s="3">
        <v>0</v>
      </c>
    </row>
    <row r="172" spans="1:10" ht="14.4" x14ac:dyDescent="0.3">
      <c r="A172" s="3"/>
      <c r="E172" s="3">
        <v>528.80999999999995</v>
      </c>
      <c r="F172" s="3">
        <v>15.35</v>
      </c>
      <c r="G172" s="3">
        <v>-25.89</v>
      </c>
      <c r="H172" s="3">
        <v>0</v>
      </c>
      <c r="I172" s="3">
        <v>0</v>
      </c>
      <c r="J172" s="3">
        <v>0</v>
      </c>
    </row>
    <row r="173" spans="1:10" ht="14.4" x14ac:dyDescent="0.3">
      <c r="A173" s="3"/>
      <c r="E173" s="3">
        <v>895.27</v>
      </c>
      <c r="F173" s="3">
        <v>23.24</v>
      </c>
      <c r="G173" s="3">
        <v>-38.94</v>
      </c>
      <c r="H173" s="3">
        <v>0</v>
      </c>
      <c r="I173" s="3">
        <v>0</v>
      </c>
      <c r="J173" s="3">
        <v>0</v>
      </c>
    </row>
    <row r="174" spans="1:10" ht="14.4" x14ac:dyDescent="0.3">
      <c r="A174" s="3"/>
      <c r="E174" s="3">
        <v>891.19</v>
      </c>
      <c r="F174" s="3">
        <v>24.56</v>
      </c>
      <c r="G174" s="3">
        <v>-39.119999999999997</v>
      </c>
      <c r="H174" s="3">
        <v>0</v>
      </c>
      <c r="I174" s="3">
        <v>0</v>
      </c>
      <c r="J174" s="3">
        <v>0</v>
      </c>
    </row>
    <row r="175" spans="1:10" ht="14.4" x14ac:dyDescent="0.3">
      <c r="A175" s="3"/>
      <c r="E175" s="3">
        <v>900.58</v>
      </c>
      <c r="F175" s="3">
        <v>25.88</v>
      </c>
      <c r="G175" s="3">
        <v>-40.47</v>
      </c>
      <c r="H175" s="3">
        <v>0</v>
      </c>
      <c r="I175" s="3">
        <v>0</v>
      </c>
      <c r="J175" s="3">
        <v>0</v>
      </c>
    </row>
    <row r="176" spans="1:10" ht="14.4" x14ac:dyDescent="0.3">
      <c r="A176" s="3"/>
      <c r="E176" s="3">
        <v>904.69</v>
      </c>
      <c r="F176" s="3">
        <v>24.96</v>
      </c>
      <c r="G176" s="3">
        <v>-40.299999999999997</v>
      </c>
      <c r="H176" s="3">
        <v>0</v>
      </c>
      <c r="I176" s="3">
        <v>0</v>
      </c>
      <c r="J176" s="3">
        <v>0</v>
      </c>
    </row>
    <row r="177" spans="1:10" ht="14.4" x14ac:dyDescent="0.3">
      <c r="A177" s="3"/>
      <c r="E177" s="3">
        <v>903.79</v>
      </c>
      <c r="F177" s="3">
        <v>26.08</v>
      </c>
      <c r="G177" s="3">
        <v>-40.81</v>
      </c>
      <c r="H177" s="3">
        <v>0</v>
      </c>
      <c r="I177" s="3">
        <v>0</v>
      </c>
      <c r="J177" s="3">
        <v>0</v>
      </c>
    </row>
    <row r="178" spans="1:10" ht="14.4" x14ac:dyDescent="0.3">
      <c r="A178" s="3"/>
      <c r="E178" s="3">
        <v>911.09</v>
      </c>
      <c r="F178" s="3">
        <v>25.24</v>
      </c>
      <c r="G178" s="3">
        <v>-40.869999999999997</v>
      </c>
      <c r="H178" s="3">
        <v>0</v>
      </c>
      <c r="I178" s="3">
        <v>0</v>
      </c>
      <c r="J178" s="3">
        <v>0</v>
      </c>
    </row>
    <row r="179" spans="1:10" ht="14.4" x14ac:dyDescent="0.3">
      <c r="A179" s="3"/>
      <c r="E179" s="3">
        <v>909.32</v>
      </c>
      <c r="F179" s="3">
        <v>23.55</v>
      </c>
      <c r="G179" s="3">
        <v>-39.950000000000003</v>
      </c>
      <c r="H179" s="3">
        <v>0</v>
      </c>
      <c r="I179" s="3">
        <v>0</v>
      </c>
      <c r="J179" s="3">
        <v>0</v>
      </c>
    </row>
    <row r="180" spans="1:10" ht="14.4" x14ac:dyDescent="0.3">
      <c r="A180" s="3"/>
      <c r="E180" s="3">
        <v>917.76</v>
      </c>
      <c r="F180" s="3">
        <v>24.93</v>
      </c>
      <c r="G180" s="3">
        <v>-41.11</v>
      </c>
      <c r="H180" s="3">
        <v>0</v>
      </c>
      <c r="I180" s="3">
        <v>0</v>
      </c>
      <c r="J180" s="3">
        <v>0</v>
      </c>
    </row>
    <row r="181" spans="1:10" ht="14.4" x14ac:dyDescent="0.3">
      <c r="A181" s="3"/>
      <c r="E181" s="3">
        <v>911.89</v>
      </c>
      <c r="F181" s="3">
        <v>26.29</v>
      </c>
      <c r="G181" s="3">
        <v>-41.27</v>
      </c>
      <c r="H181" s="3">
        <v>0</v>
      </c>
      <c r="I181" s="3">
        <v>0</v>
      </c>
      <c r="J181" s="3">
        <v>0</v>
      </c>
    </row>
    <row r="182" spans="1:10" ht="14.4" x14ac:dyDescent="0.3">
      <c r="A182" s="3"/>
      <c r="E182" s="3">
        <v>915.97</v>
      </c>
      <c r="F182" s="3">
        <v>24.97</v>
      </c>
      <c r="G182" s="3">
        <v>-41.09</v>
      </c>
      <c r="H182" s="3">
        <v>0</v>
      </c>
      <c r="I182" s="3">
        <v>0</v>
      </c>
      <c r="J182" s="3">
        <v>0</v>
      </c>
    </row>
    <row r="183" spans="1:10" ht="14.4" x14ac:dyDescent="0.3">
      <c r="A183" s="3"/>
      <c r="E183" s="3">
        <v>906.57</v>
      </c>
      <c r="F183" s="3">
        <v>23.65</v>
      </c>
      <c r="G183" s="3">
        <v>-39.74</v>
      </c>
      <c r="H183" s="3">
        <v>0</v>
      </c>
      <c r="I183" s="3">
        <v>0</v>
      </c>
      <c r="J183" s="3">
        <v>0</v>
      </c>
    </row>
    <row r="184" spans="1:10" ht="14.4" x14ac:dyDescent="0.3">
      <c r="A184" s="3"/>
      <c r="E184" s="3">
        <v>902.46</v>
      </c>
      <c r="F184" s="3">
        <v>24.58</v>
      </c>
      <c r="G184" s="3">
        <v>-39.909999999999997</v>
      </c>
      <c r="H184" s="3">
        <v>0</v>
      </c>
      <c r="I184" s="3">
        <v>0</v>
      </c>
      <c r="J184" s="3">
        <v>0</v>
      </c>
    </row>
    <row r="185" spans="1:10" ht="14.4" x14ac:dyDescent="0.3">
      <c r="A185" s="3"/>
      <c r="E185" s="3">
        <v>903.36</v>
      </c>
      <c r="F185" s="3">
        <v>23.45</v>
      </c>
      <c r="G185" s="3">
        <v>-39.4</v>
      </c>
      <c r="H185" s="3">
        <v>0</v>
      </c>
      <c r="I185" s="3">
        <v>0</v>
      </c>
      <c r="J185" s="3">
        <v>0</v>
      </c>
    </row>
    <row r="186" spans="1:10" ht="14.4" x14ac:dyDescent="0.3">
      <c r="A186" s="3"/>
      <c r="E186" s="3">
        <v>896.06</v>
      </c>
      <c r="F186" s="3">
        <v>24.29</v>
      </c>
      <c r="G186" s="3">
        <v>-39.340000000000003</v>
      </c>
      <c r="H186" s="3">
        <v>0</v>
      </c>
      <c r="I186" s="3">
        <v>0</v>
      </c>
      <c r="J186" s="3">
        <v>0</v>
      </c>
    </row>
    <row r="187" spans="1:10" ht="14.4" x14ac:dyDescent="0.3">
      <c r="A187" s="3"/>
      <c r="E187" s="3">
        <v>897.83</v>
      </c>
      <c r="F187" s="3">
        <v>25.98</v>
      </c>
      <c r="G187" s="3">
        <v>-40.26</v>
      </c>
      <c r="H187" s="3">
        <v>0</v>
      </c>
      <c r="I187" s="3">
        <v>0</v>
      </c>
      <c r="J187" s="3">
        <v>0</v>
      </c>
    </row>
    <row r="188" spans="1:10" ht="14.4" x14ac:dyDescent="0.3">
      <c r="A188" s="3"/>
      <c r="E188" s="3">
        <v>889.39</v>
      </c>
      <c r="F188" s="3">
        <v>24.6</v>
      </c>
      <c r="G188" s="3">
        <v>-39.1</v>
      </c>
      <c r="H188" s="3">
        <v>0</v>
      </c>
      <c r="I188" s="3">
        <v>0</v>
      </c>
      <c r="J188" s="3">
        <v>0</v>
      </c>
    </row>
    <row r="189" spans="1:10" ht="14.4" x14ac:dyDescent="0.3">
      <c r="A189" s="3"/>
      <c r="E189" s="3">
        <v>531.66</v>
      </c>
      <c r="F189" s="3">
        <v>14.22</v>
      </c>
      <c r="G189" s="3">
        <v>-25.69</v>
      </c>
      <c r="H189" s="3">
        <v>0</v>
      </c>
      <c r="I189" s="3">
        <v>0</v>
      </c>
      <c r="J189" s="3">
        <v>0</v>
      </c>
    </row>
    <row r="190" spans="1:10" ht="14.4" x14ac:dyDescent="0.3">
      <c r="A190" s="3"/>
      <c r="E190" s="3">
        <v>523.5</v>
      </c>
      <c r="F190" s="3">
        <v>16.86</v>
      </c>
      <c r="G190" s="3">
        <v>-26.06</v>
      </c>
      <c r="H190" s="3">
        <v>0</v>
      </c>
      <c r="I190" s="3">
        <v>0</v>
      </c>
      <c r="J190" s="3">
        <v>0</v>
      </c>
    </row>
    <row r="191" spans="1:10" ht="14.4" x14ac:dyDescent="0.3">
      <c r="A191" s="3"/>
      <c r="E191" s="3">
        <v>542.29</v>
      </c>
      <c r="F191" s="3">
        <v>19.5</v>
      </c>
      <c r="G191" s="3">
        <v>-28.75</v>
      </c>
      <c r="H191" s="3">
        <v>0</v>
      </c>
      <c r="I191" s="3">
        <v>0</v>
      </c>
      <c r="J191" s="3">
        <v>0</v>
      </c>
    </row>
    <row r="192" spans="1:10" ht="14.4" x14ac:dyDescent="0.3">
      <c r="A192" s="3"/>
      <c r="E192" s="3">
        <v>550.51</v>
      </c>
      <c r="F192" s="3">
        <v>17.649999999999999</v>
      </c>
      <c r="G192" s="3">
        <v>-28.42</v>
      </c>
      <c r="H192" s="3">
        <v>0</v>
      </c>
      <c r="I192" s="3">
        <v>0</v>
      </c>
      <c r="J192" s="3">
        <v>0</v>
      </c>
    </row>
    <row r="193" spans="1:10" ht="14.4" x14ac:dyDescent="0.3">
      <c r="A193" s="3"/>
      <c r="E193" s="3">
        <v>548.71</v>
      </c>
      <c r="F193" s="3">
        <v>19.899999999999999</v>
      </c>
      <c r="G193" s="3">
        <v>-29.44</v>
      </c>
      <c r="H193" s="3">
        <v>0</v>
      </c>
      <c r="I193" s="3">
        <v>0</v>
      </c>
      <c r="J193" s="3">
        <v>0</v>
      </c>
    </row>
    <row r="194" spans="1:10" ht="14.4" x14ac:dyDescent="0.3">
      <c r="A194" s="3"/>
      <c r="E194" s="3">
        <v>563.30999999999995</v>
      </c>
      <c r="F194" s="3">
        <v>18.23</v>
      </c>
      <c r="G194" s="3">
        <v>-29.56</v>
      </c>
      <c r="H194" s="3">
        <v>0</v>
      </c>
      <c r="I194" s="3">
        <v>0</v>
      </c>
      <c r="J194" s="3">
        <v>0</v>
      </c>
    </row>
    <row r="195" spans="1:10" ht="14.4" x14ac:dyDescent="0.3">
      <c r="A195" s="3"/>
      <c r="E195" s="3">
        <v>559.77</v>
      </c>
      <c r="F195" s="3">
        <v>14.84</v>
      </c>
      <c r="G195" s="3">
        <v>-27.72</v>
      </c>
      <c r="H195" s="3">
        <v>0</v>
      </c>
      <c r="I195" s="3">
        <v>0</v>
      </c>
      <c r="J195" s="3">
        <v>0</v>
      </c>
    </row>
    <row r="196" spans="1:10" ht="14.4" x14ac:dyDescent="0.3">
      <c r="A196" s="3"/>
      <c r="E196" s="3">
        <v>576.65</v>
      </c>
      <c r="F196" s="3">
        <v>17.61</v>
      </c>
      <c r="G196" s="3">
        <v>-30.03</v>
      </c>
      <c r="H196" s="3">
        <v>0</v>
      </c>
      <c r="I196" s="3">
        <v>0</v>
      </c>
      <c r="J196" s="3">
        <v>0</v>
      </c>
    </row>
    <row r="197" spans="1:10" ht="14.4" x14ac:dyDescent="0.3">
      <c r="A197" s="3"/>
      <c r="E197" s="3">
        <v>564.9</v>
      </c>
      <c r="F197" s="3">
        <v>20.329999999999998</v>
      </c>
      <c r="G197" s="3">
        <v>-30.36</v>
      </c>
      <c r="H197" s="3">
        <v>0</v>
      </c>
      <c r="I197" s="3">
        <v>0</v>
      </c>
      <c r="J197" s="3">
        <v>0</v>
      </c>
    </row>
    <row r="198" spans="1:10" ht="14.4" x14ac:dyDescent="0.3">
      <c r="A198" s="3"/>
      <c r="E198" s="3">
        <v>573.05999999999995</v>
      </c>
      <c r="F198" s="3">
        <v>17.690000000000001</v>
      </c>
      <c r="G198" s="3">
        <v>-29.99</v>
      </c>
      <c r="H198" s="3">
        <v>0</v>
      </c>
      <c r="I198" s="3">
        <v>0</v>
      </c>
      <c r="J198" s="3">
        <v>0</v>
      </c>
    </row>
    <row r="199" spans="1:10" ht="14.4" x14ac:dyDescent="0.3">
      <c r="A199" s="3"/>
      <c r="E199" s="3">
        <v>554.26</v>
      </c>
      <c r="F199" s="3">
        <v>15.05</v>
      </c>
      <c r="G199" s="3">
        <v>-27.3</v>
      </c>
      <c r="H199" s="3">
        <v>0</v>
      </c>
      <c r="I199" s="3">
        <v>0</v>
      </c>
      <c r="J199" s="3">
        <v>0</v>
      </c>
    </row>
    <row r="200" spans="1:10" ht="14.4" x14ac:dyDescent="0.3">
      <c r="A200" s="3"/>
      <c r="E200" s="3">
        <v>546.04999999999995</v>
      </c>
      <c r="F200" s="3">
        <v>16.899999999999999</v>
      </c>
      <c r="G200" s="3">
        <v>-27.63</v>
      </c>
      <c r="H200" s="3">
        <v>0</v>
      </c>
      <c r="I200" s="3">
        <v>0</v>
      </c>
      <c r="J200" s="3">
        <v>0</v>
      </c>
    </row>
    <row r="201" spans="1:10" ht="14.4" x14ac:dyDescent="0.3">
      <c r="A201" s="3"/>
      <c r="E201" s="3">
        <v>547.84</v>
      </c>
      <c r="F201" s="3">
        <v>14.65</v>
      </c>
      <c r="G201" s="3">
        <v>-26.61</v>
      </c>
      <c r="H201" s="3">
        <v>0</v>
      </c>
      <c r="I201" s="3">
        <v>0</v>
      </c>
      <c r="J201" s="3">
        <v>0</v>
      </c>
    </row>
    <row r="202" spans="1:10" ht="14.4" x14ac:dyDescent="0.3">
      <c r="A202" s="3"/>
      <c r="E202" s="3">
        <v>533.25</v>
      </c>
      <c r="F202" s="3">
        <v>16.32</v>
      </c>
      <c r="G202" s="3">
        <v>-26.49</v>
      </c>
      <c r="H202" s="3">
        <v>0</v>
      </c>
      <c r="I202" s="3">
        <v>0</v>
      </c>
      <c r="J202" s="3">
        <v>0</v>
      </c>
    </row>
    <row r="203" spans="1:10" ht="14.4" x14ac:dyDescent="0.3">
      <c r="A203" s="3"/>
      <c r="E203" s="3">
        <v>536.79</v>
      </c>
      <c r="F203" s="3">
        <v>19.71</v>
      </c>
      <c r="G203" s="3">
        <v>-28.33</v>
      </c>
      <c r="H203" s="3">
        <v>0</v>
      </c>
      <c r="I203" s="3">
        <v>0</v>
      </c>
      <c r="J203" s="3">
        <v>0</v>
      </c>
    </row>
    <row r="204" spans="1:10" ht="14.4" x14ac:dyDescent="0.3">
      <c r="A204" s="3"/>
      <c r="E204" s="3">
        <v>495.92</v>
      </c>
      <c r="F204" s="3">
        <v>16.059999999999999</v>
      </c>
      <c r="G204" s="3">
        <v>-23.74</v>
      </c>
      <c r="H204" s="3">
        <v>0</v>
      </c>
      <c r="I204" s="3">
        <v>0</v>
      </c>
      <c r="J204" s="3">
        <v>0</v>
      </c>
    </row>
    <row r="205" spans="1:10" ht="14.4" x14ac:dyDescent="0.3">
      <c r="A205" s="3"/>
      <c r="E205" s="3">
        <v>531.66</v>
      </c>
      <c r="F205" s="3">
        <v>14.22</v>
      </c>
      <c r="G205" s="3">
        <v>-25.69</v>
      </c>
      <c r="H205" s="3">
        <v>0</v>
      </c>
      <c r="I205" s="3">
        <v>0</v>
      </c>
      <c r="J205" s="3">
        <v>0</v>
      </c>
    </row>
    <row r="206" spans="1:10" ht="14.4" x14ac:dyDescent="0.3">
      <c r="A206" s="3"/>
      <c r="E206" s="3">
        <v>523.5</v>
      </c>
      <c r="F206" s="3">
        <v>16.86</v>
      </c>
      <c r="G206" s="3">
        <v>-26.06</v>
      </c>
      <c r="H206" s="3">
        <v>0</v>
      </c>
      <c r="I206" s="3">
        <v>0</v>
      </c>
      <c r="J206" s="3">
        <v>0</v>
      </c>
    </row>
    <row r="207" spans="1:10" ht="14.4" x14ac:dyDescent="0.3">
      <c r="A207" s="3"/>
      <c r="E207" s="3">
        <v>542.29</v>
      </c>
      <c r="F207" s="3">
        <v>19.5</v>
      </c>
      <c r="G207" s="3">
        <v>-28.75</v>
      </c>
      <c r="H207" s="3">
        <v>0</v>
      </c>
      <c r="I207" s="3">
        <v>0</v>
      </c>
      <c r="J207" s="3">
        <v>0</v>
      </c>
    </row>
    <row r="208" spans="1:10" ht="14.4" x14ac:dyDescent="0.3">
      <c r="A208" s="3"/>
      <c r="E208" s="3">
        <v>550.51</v>
      </c>
      <c r="F208" s="3">
        <v>17.649999999999999</v>
      </c>
      <c r="G208" s="3">
        <v>-28.42</v>
      </c>
      <c r="H208" s="3">
        <v>0</v>
      </c>
      <c r="I208" s="3">
        <v>0</v>
      </c>
      <c r="J208" s="3">
        <v>0</v>
      </c>
    </row>
    <row r="209" spans="1:10" ht="14.4" x14ac:dyDescent="0.3">
      <c r="A209" s="3"/>
      <c r="E209" s="3">
        <v>548.71</v>
      </c>
      <c r="F209" s="3">
        <v>19.899999999999999</v>
      </c>
      <c r="G209" s="3">
        <v>-29.44</v>
      </c>
      <c r="H209" s="3">
        <v>0</v>
      </c>
      <c r="I209" s="3">
        <v>0</v>
      </c>
      <c r="J209" s="3">
        <v>0</v>
      </c>
    </row>
    <row r="210" spans="1:10" ht="14.4" x14ac:dyDescent="0.3">
      <c r="A210" s="3"/>
      <c r="E210" s="3">
        <v>563.30999999999995</v>
      </c>
      <c r="F210" s="3">
        <v>18.23</v>
      </c>
      <c r="G210" s="3">
        <v>-29.56</v>
      </c>
      <c r="H210" s="3">
        <v>0</v>
      </c>
      <c r="I210" s="3">
        <v>0</v>
      </c>
      <c r="J210" s="3">
        <v>0</v>
      </c>
    </row>
    <row r="211" spans="1:10" ht="14.4" x14ac:dyDescent="0.3">
      <c r="A211" s="3"/>
      <c r="E211" s="3">
        <v>559.77</v>
      </c>
      <c r="F211" s="3">
        <v>14.84</v>
      </c>
      <c r="G211" s="3">
        <v>-27.72</v>
      </c>
      <c r="H211" s="3">
        <v>0</v>
      </c>
      <c r="I211" s="3">
        <v>0</v>
      </c>
      <c r="J211" s="3">
        <v>0</v>
      </c>
    </row>
    <row r="212" spans="1:10" ht="14.4" x14ac:dyDescent="0.3">
      <c r="A212" s="3"/>
      <c r="E212" s="3">
        <v>576.65</v>
      </c>
      <c r="F212" s="3">
        <v>17.61</v>
      </c>
      <c r="G212" s="3">
        <v>-30.03</v>
      </c>
      <c r="H212" s="3">
        <v>0</v>
      </c>
      <c r="I212" s="3">
        <v>0</v>
      </c>
      <c r="J212" s="3">
        <v>0</v>
      </c>
    </row>
    <row r="213" spans="1:10" ht="14.4" x14ac:dyDescent="0.3">
      <c r="A213" s="3"/>
      <c r="E213" s="3">
        <v>564.9</v>
      </c>
      <c r="F213" s="3">
        <v>20.329999999999998</v>
      </c>
      <c r="G213" s="3">
        <v>-30.36</v>
      </c>
      <c r="H213" s="3">
        <v>0</v>
      </c>
      <c r="I213" s="3">
        <v>0</v>
      </c>
      <c r="J213" s="3">
        <v>0</v>
      </c>
    </row>
    <row r="214" spans="1:10" ht="14.4" x14ac:dyDescent="0.3">
      <c r="A214" s="3"/>
      <c r="E214" s="3">
        <v>573.05999999999995</v>
      </c>
      <c r="F214" s="3">
        <v>17.690000000000001</v>
      </c>
      <c r="G214" s="3">
        <v>-29.99</v>
      </c>
      <c r="H214" s="3">
        <v>0</v>
      </c>
      <c r="I214" s="3">
        <v>0</v>
      </c>
      <c r="J214" s="3">
        <v>0</v>
      </c>
    </row>
    <row r="215" spans="1:10" ht="14.4" x14ac:dyDescent="0.3">
      <c r="A215" s="3"/>
      <c r="E215" s="3">
        <v>554.26</v>
      </c>
      <c r="F215" s="3">
        <v>15.05</v>
      </c>
      <c r="G215" s="3">
        <v>-27.3</v>
      </c>
      <c r="H215" s="3">
        <v>0</v>
      </c>
      <c r="I215" s="3">
        <v>0</v>
      </c>
      <c r="J215" s="3">
        <v>0</v>
      </c>
    </row>
    <row r="216" spans="1:10" ht="14.4" x14ac:dyDescent="0.3">
      <c r="A216" s="3"/>
      <c r="E216" s="3">
        <v>546.04999999999995</v>
      </c>
      <c r="F216" s="3">
        <v>16.899999999999999</v>
      </c>
      <c r="G216" s="3">
        <v>-27.63</v>
      </c>
      <c r="H216" s="3">
        <v>0</v>
      </c>
      <c r="I216" s="3">
        <v>0</v>
      </c>
      <c r="J216" s="3">
        <v>0</v>
      </c>
    </row>
    <row r="217" spans="1:10" ht="14.4" x14ac:dyDescent="0.3">
      <c r="A217" s="3"/>
      <c r="E217" s="3">
        <v>547.84</v>
      </c>
      <c r="F217" s="3">
        <v>14.65</v>
      </c>
      <c r="G217" s="3">
        <v>-26.61</v>
      </c>
      <c r="H217" s="3">
        <v>0</v>
      </c>
      <c r="I217" s="3">
        <v>0</v>
      </c>
      <c r="J217" s="3">
        <v>0</v>
      </c>
    </row>
    <row r="218" spans="1:10" ht="14.4" x14ac:dyDescent="0.3">
      <c r="A218" s="3"/>
      <c r="E218" s="3">
        <v>533.25</v>
      </c>
      <c r="F218" s="3">
        <v>16.32</v>
      </c>
      <c r="G218" s="3">
        <v>-26.49</v>
      </c>
      <c r="H218" s="3">
        <v>0</v>
      </c>
      <c r="I218" s="3">
        <v>0</v>
      </c>
      <c r="J218" s="3">
        <v>0</v>
      </c>
    </row>
    <row r="219" spans="1:10" ht="14.4" x14ac:dyDescent="0.3">
      <c r="A219" s="3"/>
      <c r="E219" s="3">
        <v>536.79</v>
      </c>
      <c r="F219" s="3">
        <v>19.71</v>
      </c>
      <c r="G219" s="3">
        <v>-28.33</v>
      </c>
      <c r="H219" s="3">
        <v>0</v>
      </c>
      <c r="I219" s="3">
        <v>0</v>
      </c>
      <c r="J219" s="3">
        <v>0</v>
      </c>
    </row>
    <row r="220" spans="1:10" ht="14.4" x14ac:dyDescent="0.3">
      <c r="A220" s="3"/>
      <c r="E220" s="3">
        <v>536.79</v>
      </c>
      <c r="F220" s="3">
        <v>19.71</v>
      </c>
      <c r="G220" s="3">
        <v>-28.33</v>
      </c>
      <c r="H220" s="3">
        <v>0</v>
      </c>
      <c r="I220" s="3">
        <v>0</v>
      </c>
      <c r="J220" s="3">
        <v>0</v>
      </c>
    </row>
    <row r="221" spans="1:10" ht="14.4" x14ac:dyDescent="0.3">
      <c r="A221" s="3"/>
      <c r="E221" s="3">
        <v>389.06</v>
      </c>
      <c r="F221" s="3">
        <v>8.5399999999999991</v>
      </c>
      <c r="G221" s="3">
        <v>-17.72</v>
      </c>
      <c r="H221" s="3">
        <v>0</v>
      </c>
      <c r="I221" s="3">
        <v>0</v>
      </c>
      <c r="J221" s="3">
        <v>0</v>
      </c>
    </row>
    <row r="222" spans="1:10" ht="14.4" x14ac:dyDescent="0.3">
      <c r="A222" s="3"/>
      <c r="E222" s="3">
        <v>380.9</v>
      </c>
      <c r="F222" s="3">
        <v>11.18</v>
      </c>
      <c r="G222" s="3">
        <v>-18.09</v>
      </c>
      <c r="H222" s="3">
        <v>0</v>
      </c>
      <c r="I222" s="3">
        <v>0</v>
      </c>
      <c r="J222" s="3">
        <v>0</v>
      </c>
    </row>
    <row r="223" spans="1:10" ht="14.4" x14ac:dyDescent="0.3">
      <c r="A223" s="3"/>
      <c r="E223" s="3">
        <v>399.69</v>
      </c>
      <c r="F223" s="3">
        <v>13.82</v>
      </c>
      <c r="G223" s="3">
        <v>-20.78</v>
      </c>
      <c r="H223" s="3">
        <v>0</v>
      </c>
      <c r="I223" s="3">
        <v>0</v>
      </c>
      <c r="J223" s="3">
        <v>0</v>
      </c>
    </row>
    <row r="224" spans="1:10" ht="14.4" x14ac:dyDescent="0.3">
      <c r="A224" s="3"/>
      <c r="E224" s="3">
        <v>407.9</v>
      </c>
      <c r="F224" s="3">
        <v>11.97</v>
      </c>
      <c r="G224" s="3">
        <v>-20.440000000000001</v>
      </c>
      <c r="H224" s="3">
        <v>0</v>
      </c>
      <c r="I224" s="3">
        <v>0</v>
      </c>
      <c r="J224" s="3">
        <v>0</v>
      </c>
    </row>
    <row r="225" spans="1:10" ht="14.4" x14ac:dyDescent="0.3">
      <c r="A225" s="3"/>
      <c r="E225" s="3">
        <v>406.11</v>
      </c>
      <c r="F225" s="3">
        <v>14.22</v>
      </c>
      <c r="G225" s="3">
        <v>-21.47</v>
      </c>
      <c r="H225" s="3">
        <v>0</v>
      </c>
      <c r="I225" s="3">
        <v>0</v>
      </c>
      <c r="J225" s="3">
        <v>0</v>
      </c>
    </row>
    <row r="226" spans="1:10" ht="14.4" x14ac:dyDescent="0.3">
      <c r="A226" s="3"/>
      <c r="E226" s="3">
        <v>420.7</v>
      </c>
      <c r="F226" s="3">
        <v>12.55</v>
      </c>
      <c r="G226" s="3">
        <v>-21.58</v>
      </c>
      <c r="H226" s="3">
        <v>0</v>
      </c>
      <c r="I226" s="3">
        <v>0</v>
      </c>
      <c r="J226" s="3">
        <v>0</v>
      </c>
    </row>
    <row r="227" spans="1:10" ht="14.4" x14ac:dyDescent="0.3">
      <c r="A227" s="3"/>
      <c r="E227" s="3">
        <v>417.16</v>
      </c>
      <c r="F227" s="3">
        <v>9.16</v>
      </c>
      <c r="G227" s="3">
        <v>-19.739999999999998</v>
      </c>
      <c r="H227" s="3">
        <v>0</v>
      </c>
      <c r="I227" s="3">
        <v>0</v>
      </c>
      <c r="J227" s="3">
        <v>0</v>
      </c>
    </row>
    <row r="228" spans="1:10" ht="14.4" x14ac:dyDescent="0.3">
      <c r="A228" s="3"/>
      <c r="E228" s="3">
        <v>434.05</v>
      </c>
      <c r="F228" s="3">
        <v>11.92</v>
      </c>
      <c r="G228" s="3">
        <v>-22.06</v>
      </c>
      <c r="H228" s="3">
        <v>0</v>
      </c>
      <c r="I228" s="3">
        <v>0</v>
      </c>
      <c r="J228" s="3">
        <v>0</v>
      </c>
    </row>
    <row r="229" spans="1:10" ht="14.4" x14ac:dyDescent="0.3">
      <c r="A229" s="3"/>
      <c r="E229" s="3">
        <v>422.29</v>
      </c>
      <c r="F229" s="3">
        <v>14.65</v>
      </c>
      <c r="G229" s="3">
        <v>-22.38</v>
      </c>
      <c r="H229" s="3">
        <v>0</v>
      </c>
      <c r="I229" s="3">
        <v>0</v>
      </c>
      <c r="J229" s="3">
        <v>0</v>
      </c>
    </row>
    <row r="230" spans="1:10" ht="14.4" x14ac:dyDescent="0.3">
      <c r="A230" s="3"/>
      <c r="E230" s="3">
        <v>430.45</v>
      </c>
      <c r="F230" s="3">
        <v>12.01</v>
      </c>
      <c r="G230" s="3">
        <v>-22.01</v>
      </c>
      <c r="H230" s="3">
        <v>0</v>
      </c>
      <c r="I230" s="3">
        <v>0</v>
      </c>
      <c r="J230" s="3">
        <v>0</v>
      </c>
    </row>
    <row r="231" spans="1:10" ht="14.4" x14ac:dyDescent="0.3">
      <c r="A231" s="3"/>
      <c r="E231" s="3">
        <v>411.66</v>
      </c>
      <c r="F231" s="3">
        <v>9.3699999999999992</v>
      </c>
      <c r="G231" s="3">
        <v>-19.32</v>
      </c>
      <c r="H231" s="3">
        <v>0</v>
      </c>
      <c r="I231" s="3">
        <v>0</v>
      </c>
      <c r="J231" s="3">
        <v>0</v>
      </c>
    </row>
    <row r="232" spans="1:10" ht="14.4" x14ac:dyDescent="0.3">
      <c r="A232" s="3"/>
      <c r="E232" s="3">
        <v>403.45</v>
      </c>
      <c r="F232" s="3">
        <v>11.21</v>
      </c>
      <c r="G232" s="3">
        <v>-19.66</v>
      </c>
      <c r="H232" s="3">
        <v>0</v>
      </c>
      <c r="I232" s="3">
        <v>0</v>
      </c>
      <c r="J232" s="3">
        <v>0</v>
      </c>
    </row>
    <row r="233" spans="1:10" ht="14.4" x14ac:dyDescent="0.3">
      <c r="A233" s="3"/>
      <c r="E233" s="3">
        <v>405.24</v>
      </c>
      <c r="F233" s="3">
        <v>8.9700000000000006</v>
      </c>
      <c r="G233" s="3">
        <v>-18.63</v>
      </c>
      <c r="H233" s="3">
        <v>0</v>
      </c>
      <c r="I233" s="3">
        <v>0</v>
      </c>
      <c r="J233" s="3">
        <v>0</v>
      </c>
    </row>
    <row r="234" spans="1:10" ht="14.4" x14ac:dyDescent="0.3">
      <c r="A234" s="3"/>
      <c r="E234" s="3">
        <v>390.64</v>
      </c>
      <c r="F234" s="3">
        <v>10.64</v>
      </c>
      <c r="G234" s="3">
        <v>-18.52</v>
      </c>
      <c r="H234" s="3">
        <v>0</v>
      </c>
      <c r="I234" s="3">
        <v>0</v>
      </c>
      <c r="J234" s="3">
        <v>0</v>
      </c>
    </row>
    <row r="235" spans="1:10" ht="14.4" x14ac:dyDescent="0.3">
      <c r="A235" s="3"/>
      <c r="E235" s="3">
        <v>394.19</v>
      </c>
      <c r="F235" s="3">
        <v>14.02</v>
      </c>
      <c r="G235" s="3">
        <v>-20.36</v>
      </c>
      <c r="H235" s="3">
        <v>0</v>
      </c>
      <c r="I235" s="3">
        <v>0</v>
      </c>
      <c r="J235" s="3">
        <v>0</v>
      </c>
    </row>
    <row r="236" spans="1:10" ht="14.4" x14ac:dyDescent="0.3">
      <c r="A236" s="3"/>
      <c r="E236" s="3">
        <v>377.3</v>
      </c>
      <c r="F236" s="3">
        <v>11.26</v>
      </c>
      <c r="G236" s="3">
        <v>-18.05</v>
      </c>
      <c r="H236" s="3">
        <v>0</v>
      </c>
      <c r="I236" s="3">
        <v>0</v>
      </c>
      <c r="J236" s="3">
        <v>0</v>
      </c>
    </row>
    <row r="237" spans="1:10" ht="14.4" x14ac:dyDescent="0.3">
      <c r="A237" s="3"/>
      <c r="E237" s="3">
        <v>523.41999999999996</v>
      </c>
      <c r="F237" s="3">
        <v>-11.3</v>
      </c>
      <c r="G237" s="3">
        <v>-6.22</v>
      </c>
      <c r="H237" s="3">
        <v>0</v>
      </c>
      <c r="I237" s="3">
        <v>0</v>
      </c>
      <c r="J237" s="3">
        <v>0</v>
      </c>
    </row>
    <row r="238" spans="1:10" ht="14.4" x14ac:dyDescent="0.3">
      <c r="A238" s="3"/>
      <c r="E238" s="3">
        <v>478.09</v>
      </c>
      <c r="F238" s="3">
        <v>54.06</v>
      </c>
      <c r="G238" s="3">
        <v>-47.78</v>
      </c>
      <c r="H238" s="3">
        <v>0</v>
      </c>
      <c r="I238" s="3">
        <v>0</v>
      </c>
      <c r="J238" s="3">
        <v>0</v>
      </c>
    </row>
    <row r="239" spans="1:10" ht="14.4" x14ac:dyDescent="0.3">
      <c r="A239" s="3"/>
      <c r="E239" s="3">
        <v>617.16</v>
      </c>
      <c r="F239" s="3">
        <v>-19.54</v>
      </c>
      <c r="G239" s="3">
        <v>-8.17</v>
      </c>
      <c r="H239" s="3">
        <v>0</v>
      </c>
      <c r="I239" s="3">
        <v>0</v>
      </c>
      <c r="J239" s="3">
        <v>0</v>
      </c>
    </row>
    <row r="240" spans="1:10" ht="14.4" x14ac:dyDescent="0.3">
      <c r="A240" s="3"/>
      <c r="E240" s="3">
        <v>571.83000000000004</v>
      </c>
      <c r="F240" s="3">
        <v>45.81</v>
      </c>
      <c r="G240" s="3">
        <v>-49.73</v>
      </c>
      <c r="H240" s="3">
        <v>0</v>
      </c>
      <c r="I240" s="3">
        <v>0</v>
      </c>
      <c r="J240" s="3">
        <v>0</v>
      </c>
    </row>
    <row r="241" spans="1:10" ht="14.4" x14ac:dyDescent="0.3">
      <c r="A241" s="3"/>
      <c r="E241" s="3">
        <v>523.41999999999996</v>
      </c>
      <c r="F241" s="3">
        <v>-11.3</v>
      </c>
      <c r="G241" s="3">
        <v>-6.22</v>
      </c>
      <c r="H241" s="3">
        <v>0</v>
      </c>
      <c r="I241" s="3">
        <v>0</v>
      </c>
      <c r="J241" s="3">
        <v>0</v>
      </c>
    </row>
    <row r="242" spans="1:10" ht="14.4" x14ac:dyDescent="0.3">
      <c r="A242" s="3"/>
      <c r="E242" s="3">
        <v>478.09</v>
      </c>
      <c r="F242" s="3">
        <v>54.06</v>
      </c>
      <c r="G242" s="3">
        <v>-47.78</v>
      </c>
      <c r="H242" s="3">
        <v>0</v>
      </c>
      <c r="I242" s="3">
        <v>0</v>
      </c>
      <c r="J242" s="3">
        <v>0</v>
      </c>
    </row>
    <row r="243" spans="1:10" ht="14.4" x14ac:dyDescent="0.3">
      <c r="A243" s="3"/>
      <c r="E243" s="3">
        <v>617.16</v>
      </c>
      <c r="F243" s="3">
        <v>-19.54</v>
      </c>
      <c r="G243" s="3">
        <v>-8.17</v>
      </c>
      <c r="H243" s="3">
        <v>0</v>
      </c>
      <c r="I243" s="3">
        <v>0</v>
      </c>
      <c r="J243" s="3">
        <v>0</v>
      </c>
    </row>
    <row r="244" spans="1:10" ht="14.4" x14ac:dyDescent="0.3">
      <c r="A244" s="3"/>
      <c r="E244" s="3">
        <v>571.83000000000004</v>
      </c>
      <c r="F244" s="3">
        <v>45.81</v>
      </c>
      <c r="G244" s="3">
        <v>-49.73</v>
      </c>
      <c r="H244" s="3">
        <v>0</v>
      </c>
      <c r="I244" s="3">
        <v>0</v>
      </c>
      <c r="J244" s="3">
        <v>0</v>
      </c>
    </row>
    <row r="245" spans="1:10" ht="14.4" x14ac:dyDescent="0.3">
      <c r="A245" s="3"/>
      <c r="E245" s="3">
        <v>463.08</v>
      </c>
      <c r="F245" s="3">
        <v>22.68</v>
      </c>
      <c r="G245" s="3">
        <v>-21.55</v>
      </c>
      <c r="H245" s="3">
        <v>0</v>
      </c>
      <c r="I245" s="3">
        <v>0</v>
      </c>
      <c r="J245" s="3">
        <v>0</v>
      </c>
    </row>
    <row r="246" spans="1:10" ht="14.4" x14ac:dyDescent="0.3">
      <c r="A246" s="3"/>
      <c r="E246" s="3">
        <v>591.13</v>
      </c>
      <c r="F246" s="3">
        <v>-9.6</v>
      </c>
      <c r="G246" s="3">
        <v>-19.059999999999999</v>
      </c>
      <c r="H246" s="3">
        <v>0</v>
      </c>
      <c r="I246" s="3">
        <v>0</v>
      </c>
      <c r="J246" s="3">
        <v>0</v>
      </c>
    </row>
    <row r="247" spans="1:10" ht="14.4" x14ac:dyDescent="0.3">
      <c r="A247" s="3"/>
      <c r="E247" s="3">
        <v>504.11</v>
      </c>
      <c r="F247" s="3">
        <v>44.11</v>
      </c>
      <c r="G247" s="3">
        <v>-36.9</v>
      </c>
      <c r="H247" s="3">
        <v>0</v>
      </c>
      <c r="I247" s="3">
        <v>0</v>
      </c>
      <c r="J247" s="3">
        <v>0</v>
      </c>
    </row>
    <row r="248" spans="1:10" ht="14.4" x14ac:dyDescent="0.3">
      <c r="A248" s="3"/>
      <c r="E248" s="3">
        <v>632.16</v>
      </c>
      <c r="F248" s="3">
        <v>11.83</v>
      </c>
      <c r="G248" s="3">
        <v>-34.4</v>
      </c>
      <c r="H248" s="3">
        <v>0</v>
      </c>
      <c r="I248" s="3">
        <v>0</v>
      </c>
      <c r="J248" s="3">
        <v>0</v>
      </c>
    </row>
    <row r="249" spans="1:10" ht="14.4" x14ac:dyDescent="0.3">
      <c r="A249" s="3"/>
      <c r="E249" s="3">
        <v>463.08</v>
      </c>
      <c r="F249" s="3">
        <v>22.68</v>
      </c>
      <c r="G249" s="3">
        <v>-21.55</v>
      </c>
      <c r="H249" s="3">
        <v>0</v>
      </c>
      <c r="I249" s="3">
        <v>0</v>
      </c>
      <c r="J249" s="3">
        <v>0</v>
      </c>
    </row>
    <row r="250" spans="1:10" ht="14.4" x14ac:dyDescent="0.3">
      <c r="A250" s="3"/>
      <c r="E250" s="3">
        <v>591.13</v>
      </c>
      <c r="F250" s="3">
        <v>-9.6</v>
      </c>
      <c r="G250" s="3">
        <v>-19.059999999999999</v>
      </c>
      <c r="H250" s="3">
        <v>0</v>
      </c>
      <c r="I250" s="3">
        <v>0</v>
      </c>
      <c r="J250" s="3">
        <v>0</v>
      </c>
    </row>
    <row r="251" spans="1:10" ht="14.4" x14ac:dyDescent="0.3">
      <c r="A251" s="3"/>
      <c r="E251" s="3">
        <v>504.11</v>
      </c>
      <c r="F251" s="3">
        <v>44.11</v>
      </c>
      <c r="G251" s="3">
        <v>-36.9</v>
      </c>
      <c r="H251" s="3">
        <v>0</v>
      </c>
      <c r="I251" s="3">
        <v>0</v>
      </c>
      <c r="J251" s="3">
        <v>0</v>
      </c>
    </row>
    <row r="252" spans="1:10" ht="14.4" x14ac:dyDescent="0.3">
      <c r="A252" s="3"/>
      <c r="E252" s="3">
        <v>632.16</v>
      </c>
      <c r="F252" s="3">
        <v>11.83</v>
      </c>
      <c r="G252" s="3">
        <v>-34.4</v>
      </c>
      <c r="H252" s="3">
        <v>0</v>
      </c>
      <c r="I252" s="3">
        <v>0</v>
      </c>
      <c r="J252" s="3">
        <v>0</v>
      </c>
    </row>
    <row r="253" spans="1:10" ht="14.4" x14ac:dyDescent="0.3">
      <c r="A253" s="3"/>
      <c r="E253" s="3">
        <v>798.31</v>
      </c>
      <c r="F253" s="3">
        <v>61.1</v>
      </c>
      <c r="G253" s="3">
        <v>-3.66</v>
      </c>
      <c r="H253" s="3">
        <v>0</v>
      </c>
      <c r="I253" s="3">
        <v>0</v>
      </c>
      <c r="J253" s="3">
        <v>0</v>
      </c>
    </row>
    <row r="254" spans="1:10" ht="14.4" x14ac:dyDescent="0.3">
      <c r="A254" s="3"/>
      <c r="E254" s="3">
        <v>413.92</v>
      </c>
      <c r="F254" s="3">
        <v>-17.420000000000002</v>
      </c>
      <c r="G254" s="3">
        <v>-47.8</v>
      </c>
      <c r="H254" s="3">
        <v>0</v>
      </c>
      <c r="I254" s="3">
        <v>0</v>
      </c>
      <c r="J254" s="3">
        <v>0</v>
      </c>
    </row>
    <row r="255" spans="1:10" ht="14.4" x14ac:dyDescent="0.3">
      <c r="A255" s="3"/>
      <c r="E255" s="3">
        <v>681.32</v>
      </c>
      <c r="F255" s="3">
        <v>51.93</v>
      </c>
      <c r="G255" s="3">
        <v>-8.15</v>
      </c>
      <c r="H255" s="3">
        <v>0</v>
      </c>
      <c r="I255" s="3">
        <v>0</v>
      </c>
      <c r="J255" s="3">
        <v>0</v>
      </c>
    </row>
    <row r="256" spans="1:10" ht="14.4" x14ac:dyDescent="0.3">
      <c r="A256" s="3"/>
      <c r="E256" s="3">
        <v>296.94</v>
      </c>
      <c r="F256" s="3">
        <v>-26.59</v>
      </c>
      <c r="G256" s="3">
        <v>-52.29</v>
      </c>
      <c r="H256" s="3">
        <v>0</v>
      </c>
      <c r="I256" s="3">
        <v>0</v>
      </c>
      <c r="J256" s="3">
        <v>0</v>
      </c>
    </row>
    <row r="257" spans="1:10" ht="14.4" x14ac:dyDescent="0.3">
      <c r="A257" s="3"/>
      <c r="E257" s="3">
        <v>861.2</v>
      </c>
      <c r="F257" s="3">
        <v>46.07</v>
      </c>
      <c r="G257" s="3">
        <v>-16.98</v>
      </c>
      <c r="H257" s="3">
        <v>0</v>
      </c>
      <c r="I257" s="3">
        <v>0</v>
      </c>
      <c r="J257" s="3">
        <v>0</v>
      </c>
    </row>
    <row r="258" spans="1:10" ht="14.4" x14ac:dyDescent="0.3">
      <c r="A258" s="3"/>
      <c r="E258" s="3">
        <v>296.08999999999997</v>
      </c>
      <c r="F258" s="3">
        <v>10.75</v>
      </c>
      <c r="G258" s="3">
        <v>-22.85</v>
      </c>
      <c r="H258" s="3">
        <v>0</v>
      </c>
      <c r="I258" s="3">
        <v>0</v>
      </c>
      <c r="J258" s="3">
        <v>0</v>
      </c>
    </row>
    <row r="259" spans="1:10" ht="14.4" x14ac:dyDescent="0.3">
      <c r="A259" s="3"/>
      <c r="E259" s="3">
        <v>799.16</v>
      </c>
      <c r="F259" s="3">
        <v>23.76</v>
      </c>
      <c r="G259" s="3">
        <v>-33.11</v>
      </c>
      <c r="H259" s="3">
        <v>0</v>
      </c>
      <c r="I259" s="3">
        <v>0</v>
      </c>
      <c r="J259" s="3">
        <v>0</v>
      </c>
    </row>
    <row r="260" spans="1:10" ht="14.4" x14ac:dyDescent="0.3">
      <c r="A260" s="3"/>
      <c r="E260" s="3">
        <v>234.04</v>
      </c>
      <c r="F260" s="3">
        <v>-11.55</v>
      </c>
      <c r="G260" s="3">
        <v>-38.97</v>
      </c>
      <c r="H260" s="3">
        <v>0</v>
      </c>
      <c r="I260" s="3">
        <v>0</v>
      </c>
      <c r="J260" s="3">
        <v>0</v>
      </c>
    </row>
    <row r="261" spans="1:10" ht="14.4" x14ac:dyDescent="0.3">
      <c r="A261" s="3"/>
      <c r="E261" s="3">
        <v>397.21</v>
      </c>
      <c r="F261" s="3">
        <v>-14.91</v>
      </c>
      <c r="G261" s="3">
        <v>0.01</v>
      </c>
      <c r="H261" s="3">
        <v>0</v>
      </c>
      <c r="I261" s="3">
        <v>0</v>
      </c>
      <c r="J261" s="3">
        <v>0</v>
      </c>
    </row>
    <row r="262" spans="1:10" ht="14.4" x14ac:dyDescent="0.3">
      <c r="A262" s="3"/>
      <c r="E262" s="3">
        <v>333.85</v>
      </c>
      <c r="F262" s="3">
        <v>49.93</v>
      </c>
      <c r="G262" s="3">
        <v>-40.65</v>
      </c>
      <c r="H262" s="3">
        <v>0</v>
      </c>
      <c r="I262" s="3">
        <v>0</v>
      </c>
      <c r="J262" s="3">
        <v>0</v>
      </c>
    </row>
    <row r="263" spans="1:10" ht="14.4" x14ac:dyDescent="0.3">
      <c r="A263" s="3"/>
      <c r="E263" s="3">
        <v>490.95</v>
      </c>
      <c r="F263" s="3">
        <v>-23.15</v>
      </c>
      <c r="G263" s="3">
        <v>-1.93</v>
      </c>
      <c r="H263" s="3">
        <v>0</v>
      </c>
      <c r="I263" s="3">
        <v>0</v>
      </c>
      <c r="J263" s="3">
        <v>0</v>
      </c>
    </row>
    <row r="264" spans="1:10" ht="14.4" x14ac:dyDescent="0.3">
      <c r="A264" s="3"/>
      <c r="E264" s="3">
        <v>427.59</v>
      </c>
      <c r="F264" s="3">
        <v>41.69</v>
      </c>
      <c r="G264" s="3">
        <v>-42.6</v>
      </c>
      <c r="H264" s="3">
        <v>0</v>
      </c>
      <c r="I264" s="3">
        <v>0</v>
      </c>
      <c r="J264" s="3">
        <v>0</v>
      </c>
    </row>
    <row r="265" spans="1:10" ht="14.4" x14ac:dyDescent="0.3">
      <c r="A265" s="3"/>
      <c r="E265" s="3">
        <v>397.21</v>
      </c>
      <c r="F265" s="3">
        <v>-14.91</v>
      </c>
      <c r="G265" s="3">
        <v>0.01</v>
      </c>
      <c r="H265" s="3">
        <v>0</v>
      </c>
      <c r="I265" s="3">
        <v>0</v>
      </c>
      <c r="J265" s="3">
        <v>0</v>
      </c>
    </row>
    <row r="266" spans="1:10" ht="14.4" x14ac:dyDescent="0.3">
      <c r="A266" s="3"/>
      <c r="E266" s="3">
        <v>333.85</v>
      </c>
      <c r="F266" s="3">
        <v>49.93</v>
      </c>
      <c r="G266" s="3">
        <v>-40.65</v>
      </c>
      <c r="H266" s="3">
        <v>0</v>
      </c>
      <c r="I266" s="3">
        <v>0</v>
      </c>
      <c r="J266" s="3">
        <v>0</v>
      </c>
    </row>
    <row r="267" spans="1:10" ht="14.4" x14ac:dyDescent="0.3">
      <c r="A267" s="3"/>
      <c r="E267" s="3">
        <v>490.95</v>
      </c>
      <c r="F267" s="3">
        <v>-23.15</v>
      </c>
      <c r="G267" s="3">
        <v>-1.93</v>
      </c>
      <c r="H267" s="3">
        <v>0</v>
      </c>
      <c r="I267" s="3">
        <v>0</v>
      </c>
      <c r="J267" s="3">
        <v>0</v>
      </c>
    </row>
    <row r="268" spans="1:10" ht="14.4" x14ac:dyDescent="0.3">
      <c r="A268" s="3"/>
      <c r="E268" s="3">
        <v>427.59</v>
      </c>
      <c r="F268" s="3">
        <v>41.69</v>
      </c>
      <c r="G268" s="3">
        <v>-42.6</v>
      </c>
      <c r="H268" s="3">
        <v>0</v>
      </c>
      <c r="I268" s="3">
        <v>0</v>
      </c>
      <c r="J268" s="3">
        <v>0</v>
      </c>
    </row>
    <row r="269" spans="1:10" ht="14.4" x14ac:dyDescent="0.3">
      <c r="A269" s="3"/>
      <c r="E269" s="3">
        <v>336.87</v>
      </c>
      <c r="F269" s="3">
        <v>19.07</v>
      </c>
      <c r="G269" s="3">
        <v>-15.32</v>
      </c>
      <c r="H269" s="3">
        <v>0</v>
      </c>
      <c r="I269" s="3">
        <v>0</v>
      </c>
      <c r="J269" s="3">
        <v>0</v>
      </c>
    </row>
    <row r="270" spans="1:10" ht="14.4" x14ac:dyDescent="0.3">
      <c r="A270" s="3"/>
      <c r="E270" s="3">
        <v>446.89</v>
      </c>
      <c r="F270" s="3">
        <v>-13.72</v>
      </c>
      <c r="G270" s="3">
        <v>-11.93</v>
      </c>
      <c r="H270" s="3">
        <v>0</v>
      </c>
      <c r="I270" s="3">
        <v>0</v>
      </c>
      <c r="J270" s="3">
        <v>0</v>
      </c>
    </row>
    <row r="271" spans="1:10" ht="14.4" x14ac:dyDescent="0.3">
      <c r="A271" s="3"/>
      <c r="E271" s="3">
        <v>377.9</v>
      </c>
      <c r="F271" s="3">
        <v>40.51</v>
      </c>
      <c r="G271" s="3">
        <v>-30.66</v>
      </c>
      <c r="H271" s="3">
        <v>0</v>
      </c>
      <c r="I271" s="3">
        <v>0</v>
      </c>
      <c r="J271" s="3">
        <v>0</v>
      </c>
    </row>
    <row r="272" spans="1:10" ht="14.4" x14ac:dyDescent="0.3">
      <c r="A272" s="3"/>
      <c r="E272" s="3">
        <v>487.92</v>
      </c>
      <c r="F272" s="3">
        <v>7.71</v>
      </c>
      <c r="G272" s="3">
        <v>-27.27</v>
      </c>
      <c r="H272" s="3">
        <v>0</v>
      </c>
      <c r="I272" s="3">
        <v>0</v>
      </c>
      <c r="J272" s="3">
        <v>0</v>
      </c>
    </row>
    <row r="273" spans="1:10" ht="14.4" x14ac:dyDescent="0.3">
      <c r="A273" s="3"/>
      <c r="E273" s="3">
        <v>336.87</v>
      </c>
      <c r="F273" s="3">
        <v>19.07</v>
      </c>
      <c r="G273" s="3">
        <v>-15.32</v>
      </c>
      <c r="H273" s="3">
        <v>0</v>
      </c>
      <c r="I273" s="3">
        <v>0</v>
      </c>
      <c r="J273" s="3">
        <v>0</v>
      </c>
    </row>
    <row r="274" spans="1:10" ht="14.4" x14ac:dyDescent="0.3">
      <c r="A274" s="3"/>
      <c r="E274" s="3">
        <v>446.89</v>
      </c>
      <c r="F274" s="3">
        <v>-13.72</v>
      </c>
      <c r="G274" s="3">
        <v>-11.93</v>
      </c>
      <c r="H274" s="3">
        <v>0</v>
      </c>
      <c r="I274" s="3">
        <v>0</v>
      </c>
      <c r="J274" s="3">
        <v>0</v>
      </c>
    </row>
    <row r="275" spans="1:10" ht="14.4" x14ac:dyDescent="0.3">
      <c r="A275" s="3"/>
      <c r="E275" s="3">
        <v>377.9</v>
      </c>
      <c r="F275" s="3">
        <v>40.51</v>
      </c>
      <c r="G275" s="3">
        <v>-30.66</v>
      </c>
      <c r="H275" s="3">
        <v>0</v>
      </c>
      <c r="I275" s="3">
        <v>0</v>
      </c>
      <c r="J275" s="3">
        <v>0</v>
      </c>
    </row>
    <row r="276" spans="1:10" ht="14.4" x14ac:dyDescent="0.3">
      <c r="A276" s="3"/>
      <c r="E276" s="3">
        <v>487.92</v>
      </c>
      <c r="F276" s="3">
        <v>7.71</v>
      </c>
      <c r="G276" s="3">
        <v>-27.27</v>
      </c>
      <c r="H276" s="3">
        <v>0</v>
      </c>
      <c r="I276" s="3">
        <v>0</v>
      </c>
      <c r="J276" s="3">
        <v>0</v>
      </c>
    </row>
    <row r="277" spans="1:10" ht="14.4" x14ac:dyDescent="0.3">
      <c r="A277" s="3"/>
      <c r="E277" s="3">
        <v>672.1</v>
      </c>
      <c r="F277" s="3">
        <v>57.49</v>
      </c>
      <c r="G277" s="3">
        <v>2.58</v>
      </c>
      <c r="H277" s="3">
        <v>0</v>
      </c>
      <c r="I277" s="3">
        <v>0</v>
      </c>
      <c r="J277" s="3">
        <v>0</v>
      </c>
    </row>
    <row r="278" spans="1:10" ht="14.4" x14ac:dyDescent="0.3">
      <c r="A278" s="3"/>
      <c r="E278" s="3">
        <v>269.68</v>
      </c>
      <c r="F278" s="3">
        <v>-21.54</v>
      </c>
      <c r="G278" s="3">
        <v>-40.67</v>
      </c>
      <c r="H278" s="3">
        <v>0</v>
      </c>
      <c r="I278" s="3">
        <v>0</v>
      </c>
      <c r="J278" s="3">
        <v>0</v>
      </c>
    </row>
    <row r="279" spans="1:10" ht="14.4" x14ac:dyDescent="0.3">
      <c r="A279" s="3"/>
      <c r="E279" s="3">
        <v>555.11</v>
      </c>
      <c r="F279" s="3">
        <v>48.32</v>
      </c>
      <c r="G279" s="3">
        <v>-1.91</v>
      </c>
      <c r="H279" s="3">
        <v>0</v>
      </c>
      <c r="I279" s="3">
        <v>0</v>
      </c>
      <c r="J279" s="3">
        <v>0</v>
      </c>
    </row>
    <row r="280" spans="1:10" ht="14.4" x14ac:dyDescent="0.3">
      <c r="A280" s="3"/>
      <c r="E280" s="3">
        <v>152.69999999999999</v>
      </c>
      <c r="F280" s="3">
        <v>-30.71</v>
      </c>
      <c r="G280" s="3">
        <v>-45.16</v>
      </c>
      <c r="H280" s="3">
        <v>0</v>
      </c>
      <c r="I280" s="3">
        <v>0</v>
      </c>
      <c r="J280" s="3">
        <v>0</v>
      </c>
    </row>
    <row r="281" spans="1:10" ht="14.4" x14ac:dyDescent="0.3">
      <c r="A281" s="3"/>
      <c r="E281" s="3">
        <v>734.99</v>
      </c>
      <c r="F281" s="3">
        <v>42.46</v>
      </c>
      <c r="G281" s="3">
        <v>-10.74</v>
      </c>
      <c r="H281" s="3">
        <v>0</v>
      </c>
      <c r="I281" s="3">
        <v>0</v>
      </c>
      <c r="J281" s="3">
        <v>0</v>
      </c>
    </row>
    <row r="282" spans="1:10" ht="14.4" x14ac:dyDescent="0.3">
      <c r="A282" s="3"/>
      <c r="E282" s="3">
        <v>151.85</v>
      </c>
      <c r="F282" s="3">
        <v>6.63</v>
      </c>
      <c r="G282" s="3">
        <v>-15.72</v>
      </c>
      <c r="H282" s="3">
        <v>0</v>
      </c>
      <c r="I282" s="3">
        <v>0</v>
      </c>
      <c r="J282" s="3">
        <v>0</v>
      </c>
    </row>
    <row r="283" spans="1:10" ht="14.4" x14ac:dyDescent="0.3">
      <c r="A283" s="3"/>
      <c r="E283" s="3">
        <v>672.95</v>
      </c>
      <c r="F283" s="3">
        <v>20.16</v>
      </c>
      <c r="G283" s="3">
        <v>-26.87</v>
      </c>
      <c r="H283" s="3">
        <v>0</v>
      </c>
      <c r="I283" s="3">
        <v>0</v>
      </c>
      <c r="J283" s="3">
        <v>0</v>
      </c>
    </row>
    <row r="284" spans="1:10" ht="14.4" x14ac:dyDescent="0.3">
      <c r="A284" s="3"/>
      <c r="E284" s="3">
        <v>474.62</v>
      </c>
      <c r="F284" s="3">
        <v>14.49</v>
      </c>
      <c r="G284" s="3">
        <v>-17.07</v>
      </c>
      <c r="H284" s="3">
        <v>0</v>
      </c>
      <c r="I284" s="3">
        <v>0</v>
      </c>
      <c r="J284" s="3">
        <v>0</v>
      </c>
    </row>
    <row r="285" spans="1:10" ht="14.4" x14ac:dyDescent="0.3">
      <c r="A285" s="3"/>
      <c r="E285" s="3">
        <v>396.46</v>
      </c>
      <c r="F285" s="3">
        <v>-61.71</v>
      </c>
      <c r="G285" s="3">
        <v>28.55</v>
      </c>
      <c r="H285" s="3">
        <v>0</v>
      </c>
      <c r="I285" s="3">
        <v>0</v>
      </c>
      <c r="J285" s="3">
        <v>0</v>
      </c>
    </row>
    <row r="286" spans="1:10" ht="14.4" x14ac:dyDescent="0.3">
      <c r="A286" s="3"/>
      <c r="E286" s="3">
        <v>698.79</v>
      </c>
      <c r="F286" s="3">
        <v>96.23</v>
      </c>
      <c r="G286" s="3">
        <v>-84.5</v>
      </c>
      <c r="H286" s="3">
        <v>0</v>
      </c>
      <c r="I286" s="3">
        <v>0</v>
      </c>
      <c r="J286" s="3">
        <v>0</v>
      </c>
    </row>
    <row r="287" spans="1:10" ht="14.4" x14ac:dyDescent="0.3">
      <c r="A287" s="3"/>
      <c r="E287" s="3">
        <v>202.27</v>
      </c>
      <c r="F287" s="3">
        <v>47.64</v>
      </c>
      <c r="G287" s="3">
        <v>-20.79</v>
      </c>
      <c r="H287" s="3">
        <v>0</v>
      </c>
      <c r="I287" s="3">
        <v>0</v>
      </c>
      <c r="J287" s="3">
        <v>0</v>
      </c>
    </row>
    <row r="288" spans="1:10" ht="14.4" x14ac:dyDescent="0.3">
      <c r="A288" s="3"/>
      <c r="E288" s="3">
        <v>892.97</v>
      </c>
      <c r="F288" s="3">
        <v>-13.13</v>
      </c>
      <c r="G288" s="3">
        <v>-35.159999999999997</v>
      </c>
      <c r="H288" s="3">
        <v>0</v>
      </c>
      <c r="I288" s="3">
        <v>0</v>
      </c>
      <c r="J288" s="3">
        <v>0</v>
      </c>
    </row>
    <row r="289" spans="1:10" ht="14.4" x14ac:dyDescent="0.3">
      <c r="A289" s="3"/>
      <c r="E289" s="3">
        <v>396.46</v>
      </c>
      <c r="F289" s="3">
        <v>-61.71</v>
      </c>
      <c r="G289" s="3">
        <v>28.55</v>
      </c>
      <c r="H289" s="3">
        <v>0</v>
      </c>
      <c r="I289" s="3">
        <v>0</v>
      </c>
      <c r="J289" s="3">
        <v>0</v>
      </c>
    </row>
    <row r="290" spans="1:10" ht="14.4" x14ac:dyDescent="0.3">
      <c r="A290" s="3"/>
      <c r="E290" s="3">
        <v>698.79</v>
      </c>
      <c r="F290" s="3">
        <v>96.23</v>
      </c>
      <c r="G290" s="3">
        <v>-84.5</v>
      </c>
      <c r="H290" s="3">
        <v>0</v>
      </c>
      <c r="I290" s="3">
        <v>0</v>
      </c>
      <c r="J290" s="3">
        <v>0</v>
      </c>
    </row>
    <row r="291" spans="1:10" ht="14.4" x14ac:dyDescent="0.3">
      <c r="A291" s="3"/>
      <c r="E291" s="3">
        <v>202.27</v>
      </c>
      <c r="F291" s="3">
        <v>47.64</v>
      </c>
      <c r="G291" s="3">
        <v>-20.79</v>
      </c>
      <c r="H291" s="3">
        <v>0</v>
      </c>
      <c r="I291" s="3">
        <v>0</v>
      </c>
      <c r="J291" s="3">
        <v>0</v>
      </c>
    </row>
    <row r="292" spans="1:10" ht="14.4" x14ac:dyDescent="0.3">
      <c r="A292" s="3"/>
      <c r="E292" s="3">
        <v>892.97</v>
      </c>
      <c r="F292" s="3">
        <v>-13.13</v>
      </c>
      <c r="G292" s="3">
        <v>-35.159999999999997</v>
      </c>
      <c r="H292" s="3">
        <v>0</v>
      </c>
      <c r="I292" s="3">
        <v>0</v>
      </c>
      <c r="J292" s="3">
        <v>0</v>
      </c>
    </row>
    <row r="293" spans="1:10" ht="14.4" x14ac:dyDescent="0.3">
      <c r="A293" s="3"/>
      <c r="E293" s="3">
        <v>254.51</v>
      </c>
      <c r="F293" s="3">
        <v>-67.38</v>
      </c>
      <c r="G293" s="3">
        <v>36.47</v>
      </c>
      <c r="H293" s="3">
        <v>0</v>
      </c>
      <c r="I293" s="3">
        <v>0</v>
      </c>
      <c r="J293" s="3">
        <v>0</v>
      </c>
    </row>
    <row r="294" spans="1:10" ht="14.4" x14ac:dyDescent="0.3">
      <c r="A294" s="3"/>
      <c r="E294" s="3">
        <v>556.84</v>
      </c>
      <c r="F294" s="3">
        <v>90.56</v>
      </c>
      <c r="G294" s="3">
        <v>-76.58</v>
      </c>
      <c r="H294" s="3">
        <v>0</v>
      </c>
      <c r="I294" s="3">
        <v>0</v>
      </c>
      <c r="J294" s="3">
        <v>0</v>
      </c>
    </row>
    <row r="295" spans="1:10" ht="14.4" x14ac:dyDescent="0.3">
      <c r="A295" s="3"/>
      <c r="E295" s="3">
        <v>60.32</v>
      </c>
      <c r="F295" s="3">
        <v>41.98</v>
      </c>
      <c r="G295" s="3">
        <v>-12.87</v>
      </c>
      <c r="H295" s="3">
        <v>0</v>
      </c>
      <c r="I295" s="3">
        <v>0</v>
      </c>
      <c r="J295" s="3">
        <v>0</v>
      </c>
    </row>
    <row r="296" spans="1:10" ht="14.4" x14ac:dyDescent="0.3">
      <c r="A296" s="3"/>
      <c r="E296" s="3">
        <v>751.02</v>
      </c>
      <c r="F296" s="3">
        <v>-18.79</v>
      </c>
      <c r="G296" s="3">
        <v>-27.23</v>
      </c>
      <c r="H296" s="3">
        <v>0</v>
      </c>
      <c r="I296" s="3">
        <v>0</v>
      </c>
      <c r="J296" s="3">
        <v>0</v>
      </c>
    </row>
    <row r="297" spans="1:10" ht="14.4" x14ac:dyDescent="0.3">
      <c r="A297" s="3"/>
      <c r="E297" s="3">
        <v>254.51</v>
      </c>
      <c r="F297" s="3">
        <v>-67.38</v>
      </c>
      <c r="G297" s="3">
        <v>36.47</v>
      </c>
      <c r="H297" s="3">
        <v>0</v>
      </c>
      <c r="I297" s="3">
        <v>0</v>
      </c>
      <c r="J297" s="3">
        <v>0</v>
      </c>
    </row>
    <row r="298" spans="1:10" ht="14.4" x14ac:dyDescent="0.3">
      <c r="A298" s="3"/>
      <c r="E298" s="3">
        <v>556.84</v>
      </c>
      <c r="F298" s="3">
        <v>90.56</v>
      </c>
      <c r="G298" s="3">
        <v>-76.58</v>
      </c>
      <c r="H298" s="3">
        <v>0</v>
      </c>
      <c r="I298" s="3">
        <v>0</v>
      </c>
      <c r="J298" s="3">
        <v>0</v>
      </c>
    </row>
    <row r="299" spans="1:10" ht="14.4" x14ac:dyDescent="0.3">
      <c r="A299" s="3"/>
      <c r="E299" s="3">
        <v>60.32</v>
      </c>
      <c r="F299" s="3">
        <v>41.98</v>
      </c>
      <c r="G299" s="3">
        <v>-12.87</v>
      </c>
      <c r="H299" s="3">
        <v>0</v>
      </c>
      <c r="I299" s="3">
        <v>0</v>
      </c>
      <c r="J299" s="3">
        <v>0</v>
      </c>
    </row>
    <row r="300" spans="1:10" ht="14.4" x14ac:dyDescent="0.3">
      <c r="A300" s="3"/>
      <c r="E300" s="3">
        <v>751.02</v>
      </c>
      <c r="F300" s="3">
        <v>-18.79</v>
      </c>
      <c r="G300" s="3">
        <v>-27.23</v>
      </c>
      <c r="H300" s="3">
        <v>0</v>
      </c>
      <c r="I300" s="3">
        <v>0</v>
      </c>
      <c r="J300" s="3">
        <v>0</v>
      </c>
    </row>
    <row r="301" spans="1:10" ht="14.4" x14ac:dyDescent="0.3">
      <c r="A301" s="3"/>
      <c r="E301" s="3">
        <v>743.71</v>
      </c>
      <c r="F301" s="3">
        <v>6.52</v>
      </c>
      <c r="G301" s="3">
        <v>-14.58</v>
      </c>
      <c r="H301" s="3">
        <v>0</v>
      </c>
      <c r="I301" s="3">
        <v>24.78</v>
      </c>
      <c r="J301" s="3">
        <v>11.09</v>
      </c>
    </row>
    <row r="302" spans="1:10" ht="14.4" x14ac:dyDescent="0.3">
      <c r="A302" s="3"/>
      <c r="E302" s="3">
        <v>737.23</v>
      </c>
      <c r="F302" s="3">
        <v>8.11</v>
      </c>
      <c r="G302" s="3">
        <v>-10.95</v>
      </c>
      <c r="H302" s="3">
        <v>0</v>
      </c>
      <c r="I302" s="3">
        <v>18.62</v>
      </c>
      <c r="J302" s="3">
        <v>13.78</v>
      </c>
    </row>
    <row r="303" spans="1:10" ht="14.4" x14ac:dyDescent="0.3">
      <c r="A303" s="3"/>
      <c r="E303" s="3">
        <v>857.84</v>
      </c>
      <c r="F303" s="3">
        <v>9.76</v>
      </c>
      <c r="G303" s="3">
        <v>-11.7</v>
      </c>
      <c r="H303" s="3">
        <v>0</v>
      </c>
      <c r="I303" s="3">
        <v>19.88</v>
      </c>
      <c r="J303" s="3">
        <v>16.579999999999998</v>
      </c>
    </row>
    <row r="304" spans="1:10" ht="14.4" x14ac:dyDescent="0.3">
      <c r="A304" s="3"/>
      <c r="E304" s="3">
        <v>698.54</v>
      </c>
      <c r="F304" s="3">
        <v>6.91</v>
      </c>
      <c r="G304" s="3">
        <v>-11.6</v>
      </c>
      <c r="H304" s="3">
        <v>0</v>
      </c>
      <c r="I304" s="3">
        <v>19.72</v>
      </c>
      <c r="J304" s="3">
        <v>11.75</v>
      </c>
    </row>
    <row r="305" spans="1:10" ht="14.4" x14ac:dyDescent="0.3">
      <c r="A305" s="3"/>
      <c r="E305" s="3">
        <v>1084.49</v>
      </c>
      <c r="F305" s="3">
        <v>12.18</v>
      </c>
      <c r="G305" s="3">
        <v>-13.97</v>
      </c>
      <c r="H305" s="3">
        <v>0</v>
      </c>
      <c r="I305" s="3">
        <v>23.76</v>
      </c>
      <c r="J305" s="3">
        <v>20.71</v>
      </c>
    </row>
    <row r="306" spans="1:10" ht="14.4" x14ac:dyDescent="0.3">
      <c r="A306" s="3"/>
      <c r="E306" s="3">
        <v>637.75</v>
      </c>
      <c r="F306" s="3">
        <v>5.61</v>
      </c>
      <c r="G306" s="3">
        <v>-11.89</v>
      </c>
      <c r="H306" s="3">
        <v>0</v>
      </c>
      <c r="I306" s="3">
        <v>20.22</v>
      </c>
      <c r="J306" s="3">
        <v>9.5399999999999991</v>
      </c>
    </row>
    <row r="307" spans="1:10" ht="14.4" x14ac:dyDescent="0.3">
      <c r="A307" s="3"/>
      <c r="E307" s="3">
        <v>647.73</v>
      </c>
      <c r="F307" s="3">
        <v>5.81</v>
      </c>
      <c r="G307" s="3">
        <v>-12.27</v>
      </c>
      <c r="H307" s="3">
        <v>0</v>
      </c>
      <c r="I307" s="3">
        <v>20.86</v>
      </c>
      <c r="J307" s="3">
        <v>9.8699999999999992</v>
      </c>
    </row>
    <row r="308" spans="1:10" ht="14.4" x14ac:dyDescent="0.3">
      <c r="A308" s="3"/>
      <c r="E308" s="3">
        <v>644.84</v>
      </c>
      <c r="F308" s="3">
        <v>5.68</v>
      </c>
      <c r="G308" s="3">
        <v>-12.97</v>
      </c>
      <c r="H308" s="3">
        <v>0</v>
      </c>
      <c r="I308" s="3">
        <v>22.05</v>
      </c>
      <c r="J308" s="3">
        <v>9.65</v>
      </c>
    </row>
    <row r="309" spans="1:10" ht="14.4" x14ac:dyDescent="0.3">
      <c r="A309" s="3"/>
      <c r="E309" s="3">
        <v>638.64</v>
      </c>
      <c r="F309" s="3">
        <v>5.55</v>
      </c>
      <c r="G309" s="3">
        <v>-12.71</v>
      </c>
      <c r="H309" s="3">
        <v>0</v>
      </c>
      <c r="I309" s="3">
        <v>21.61</v>
      </c>
      <c r="J309" s="3">
        <v>9.43</v>
      </c>
    </row>
    <row r="310" spans="1:10" ht="14.4" x14ac:dyDescent="0.3">
      <c r="A310" s="3"/>
      <c r="E310" s="3">
        <v>643.80999999999995</v>
      </c>
      <c r="F310" s="3">
        <v>5.7</v>
      </c>
      <c r="G310" s="3">
        <v>-13.09</v>
      </c>
      <c r="H310" s="3">
        <v>0</v>
      </c>
      <c r="I310" s="3">
        <v>22.25</v>
      </c>
      <c r="J310" s="3">
        <v>9.6999999999999993</v>
      </c>
    </row>
    <row r="311" spans="1:10" ht="14.4" x14ac:dyDescent="0.3">
      <c r="A311" s="3"/>
      <c r="E311" s="3">
        <v>638.14</v>
      </c>
      <c r="F311" s="3">
        <v>5.48</v>
      </c>
      <c r="G311" s="3">
        <v>-12.8</v>
      </c>
      <c r="H311" s="3">
        <v>0</v>
      </c>
      <c r="I311" s="3">
        <v>21.77</v>
      </c>
      <c r="J311" s="3">
        <v>9.32</v>
      </c>
    </row>
    <row r="312" spans="1:10" ht="14.4" x14ac:dyDescent="0.3">
      <c r="A312" s="3"/>
      <c r="E312" s="3">
        <v>633.02</v>
      </c>
      <c r="F312" s="3">
        <v>5.41</v>
      </c>
      <c r="G312" s="3">
        <v>-12.13</v>
      </c>
      <c r="H312" s="3">
        <v>0</v>
      </c>
      <c r="I312" s="3">
        <v>20.62</v>
      </c>
      <c r="J312" s="3">
        <v>9.1999999999999993</v>
      </c>
    </row>
    <row r="313" spans="1:10" ht="14.4" x14ac:dyDescent="0.3">
      <c r="A313" s="3"/>
      <c r="E313" s="3">
        <v>632.84</v>
      </c>
      <c r="F313" s="3">
        <v>5.29</v>
      </c>
      <c r="G313" s="3">
        <v>-12.84</v>
      </c>
      <c r="H313" s="3">
        <v>0</v>
      </c>
      <c r="I313" s="3">
        <v>21.82</v>
      </c>
      <c r="J313" s="3">
        <v>9</v>
      </c>
    </row>
    <row r="314" spans="1:10" ht="14.4" x14ac:dyDescent="0.3">
      <c r="A314" s="3"/>
      <c r="E314" s="3">
        <v>642.91999999999996</v>
      </c>
      <c r="F314" s="3">
        <v>5.54</v>
      </c>
      <c r="G314" s="3">
        <v>-13.15</v>
      </c>
      <c r="H314" s="3">
        <v>0</v>
      </c>
      <c r="I314" s="3">
        <v>22.35</v>
      </c>
      <c r="J314" s="3">
        <v>9.42</v>
      </c>
    </row>
    <row r="315" spans="1:10" ht="14.4" x14ac:dyDescent="0.3">
      <c r="A315" s="3"/>
      <c r="E315" s="3">
        <v>632.95000000000005</v>
      </c>
      <c r="F315" s="3">
        <v>5.34</v>
      </c>
      <c r="G315" s="3">
        <v>-12.77</v>
      </c>
      <c r="H315" s="3">
        <v>0</v>
      </c>
      <c r="I315" s="3">
        <v>21.71</v>
      </c>
      <c r="J315" s="3">
        <v>9.08</v>
      </c>
    </row>
    <row r="316" spans="1:10" ht="14.4" x14ac:dyDescent="0.3">
      <c r="A316" s="3"/>
      <c r="E316" s="3">
        <v>635.83000000000004</v>
      </c>
      <c r="F316" s="3">
        <v>5.47</v>
      </c>
      <c r="G316" s="3">
        <v>-12.07</v>
      </c>
      <c r="H316" s="3">
        <v>0</v>
      </c>
      <c r="I316" s="3">
        <v>20.52</v>
      </c>
      <c r="J316" s="3">
        <v>9.3000000000000007</v>
      </c>
    </row>
    <row r="317" spans="1:10" ht="14.4" x14ac:dyDescent="0.3">
      <c r="A317" s="3"/>
      <c r="E317" s="3">
        <v>642.03</v>
      </c>
      <c r="F317" s="3">
        <v>5.6</v>
      </c>
      <c r="G317" s="3">
        <v>-12.33</v>
      </c>
      <c r="H317" s="3">
        <v>0</v>
      </c>
      <c r="I317" s="3">
        <v>20.96</v>
      </c>
      <c r="J317" s="3">
        <v>9.52</v>
      </c>
    </row>
    <row r="318" spans="1:10" ht="14.4" x14ac:dyDescent="0.3">
      <c r="A318" s="3"/>
      <c r="E318" s="3">
        <v>636.86</v>
      </c>
      <c r="F318" s="3">
        <v>5.45</v>
      </c>
      <c r="G318" s="3">
        <v>-11.95</v>
      </c>
      <c r="H318" s="3">
        <v>0</v>
      </c>
      <c r="I318" s="3">
        <v>20.32</v>
      </c>
      <c r="J318" s="3">
        <v>9.26</v>
      </c>
    </row>
    <row r="319" spans="1:10" ht="14.4" x14ac:dyDescent="0.3">
      <c r="A319" s="3"/>
      <c r="E319" s="3">
        <v>642.53</v>
      </c>
      <c r="F319" s="3">
        <v>5.67</v>
      </c>
      <c r="G319" s="3">
        <v>-12.24</v>
      </c>
      <c r="H319" s="3">
        <v>0</v>
      </c>
      <c r="I319" s="3">
        <v>20.8</v>
      </c>
      <c r="J319" s="3">
        <v>9.6300000000000008</v>
      </c>
    </row>
    <row r="320" spans="1:10" ht="14.4" x14ac:dyDescent="0.3">
      <c r="A320" s="3"/>
      <c r="E320" s="3">
        <v>647.65</v>
      </c>
      <c r="F320" s="3">
        <v>5.74</v>
      </c>
      <c r="G320" s="3">
        <v>-12.91</v>
      </c>
      <c r="H320" s="3">
        <v>0</v>
      </c>
      <c r="I320" s="3">
        <v>21.95</v>
      </c>
      <c r="J320" s="3">
        <v>9.76</v>
      </c>
    </row>
    <row r="321" spans="1:10" ht="14.4" x14ac:dyDescent="0.3">
      <c r="A321" s="3"/>
      <c r="E321" s="3">
        <v>647.84</v>
      </c>
      <c r="F321" s="3">
        <v>5.86</v>
      </c>
      <c r="G321" s="3">
        <v>-12.2</v>
      </c>
      <c r="H321" s="3">
        <v>0</v>
      </c>
      <c r="I321" s="3">
        <v>20.75</v>
      </c>
      <c r="J321" s="3">
        <v>9.9600000000000009</v>
      </c>
    </row>
    <row r="322" spans="1:10" ht="14.4" x14ac:dyDescent="0.3">
      <c r="A322" s="3"/>
      <c r="E322" s="3">
        <v>1023.7</v>
      </c>
      <c r="F322" s="3">
        <v>10.88</v>
      </c>
      <c r="G322" s="3">
        <v>-14.27</v>
      </c>
      <c r="H322" s="3">
        <v>0</v>
      </c>
      <c r="I322" s="3">
        <v>24.25</v>
      </c>
      <c r="J322" s="3">
        <v>18.5</v>
      </c>
    </row>
    <row r="323" spans="1:10" ht="14.4" x14ac:dyDescent="0.3">
      <c r="A323" s="3"/>
      <c r="E323" s="3">
        <v>1033.67</v>
      </c>
      <c r="F323" s="3">
        <v>11.08</v>
      </c>
      <c r="G323" s="3">
        <v>-14.65</v>
      </c>
      <c r="H323" s="3">
        <v>0</v>
      </c>
      <c r="I323" s="3">
        <v>24.9</v>
      </c>
      <c r="J323" s="3">
        <v>18.84</v>
      </c>
    </row>
    <row r="324" spans="1:10" ht="14.4" x14ac:dyDescent="0.3">
      <c r="A324" s="3"/>
      <c r="E324" s="3">
        <v>1030.79</v>
      </c>
      <c r="F324" s="3">
        <v>10.95</v>
      </c>
      <c r="G324" s="3">
        <v>-15.35</v>
      </c>
      <c r="H324" s="3">
        <v>0</v>
      </c>
      <c r="I324" s="3">
        <v>26.09</v>
      </c>
      <c r="J324" s="3">
        <v>18.62</v>
      </c>
    </row>
    <row r="325" spans="1:10" ht="14.4" x14ac:dyDescent="0.3">
      <c r="A325" s="3"/>
      <c r="E325" s="3">
        <v>1024.5899999999999</v>
      </c>
      <c r="F325" s="3">
        <v>10.82</v>
      </c>
      <c r="G325" s="3">
        <v>-15.09</v>
      </c>
      <c r="H325" s="3">
        <v>0</v>
      </c>
      <c r="I325" s="3">
        <v>25.65</v>
      </c>
      <c r="J325" s="3">
        <v>18.399999999999999</v>
      </c>
    </row>
    <row r="326" spans="1:10" ht="14.4" x14ac:dyDescent="0.3">
      <c r="A326" s="3"/>
      <c r="E326" s="3">
        <v>1029.76</v>
      </c>
      <c r="F326" s="3">
        <v>10.98</v>
      </c>
      <c r="G326" s="3">
        <v>-15.46</v>
      </c>
      <c r="H326" s="3">
        <v>0</v>
      </c>
      <c r="I326" s="3">
        <v>26.29</v>
      </c>
      <c r="J326" s="3">
        <v>18.66</v>
      </c>
    </row>
    <row r="327" spans="1:10" ht="14.4" x14ac:dyDescent="0.3">
      <c r="A327" s="3"/>
      <c r="E327" s="3">
        <v>1024.0899999999999</v>
      </c>
      <c r="F327" s="3">
        <v>10.75</v>
      </c>
      <c r="G327" s="3">
        <v>-15.18</v>
      </c>
      <c r="H327" s="3">
        <v>0</v>
      </c>
      <c r="I327" s="3">
        <v>25.81</v>
      </c>
      <c r="J327" s="3">
        <v>18.28</v>
      </c>
    </row>
    <row r="328" spans="1:10" ht="14.4" x14ac:dyDescent="0.3">
      <c r="A328" s="3"/>
      <c r="E328" s="3">
        <v>1018.97</v>
      </c>
      <c r="F328" s="3">
        <v>10.68</v>
      </c>
      <c r="G328" s="3">
        <v>-14.5</v>
      </c>
      <c r="H328" s="3">
        <v>0</v>
      </c>
      <c r="I328" s="3">
        <v>24.66</v>
      </c>
      <c r="J328" s="3">
        <v>18.16</v>
      </c>
    </row>
    <row r="329" spans="1:10" ht="14.4" x14ac:dyDescent="0.3">
      <c r="A329" s="3"/>
      <c r="E329" s="3">
        <v>1018.79</v>
      </c>
      <c r="F329" s="3">
        <v>10.56</v>
      </c>
      <c r="G329" s="3">
        <v>-15.21</v>
      </c>
      <c r="H329" s="3">
        <v>0</v>
      </c>
      <c r="I329" s="3">
        <v>25.86</v>
      </c>
      <c r="J329" s="3">
        <v>17.96</v>
      </c>
    </row>
    <row r="330" spans="1:10" ht="14.4" x14ac:dyDescent="0.3">
      <c r="A330" s="3"/>
      <c r="E330" s="3">
        <v>1028.8699999999999</v>
      </c>
      <c r="F330" s="3">
        <v>10.81</v>
      </c>
      <c r="G330" s="3">
        <v>-15.53</v>
      </c>
      <c r="H330" s="3">
        <v>0</v>
      </c>
      <c r="I330" s="3">
        <v>26.39</v>
      </c>
      <c r="J330" s="3">
        <v>18.38</v>
      </c>
    </row>
    <row r="331" spans="1:10" ht="14.4" x14ac:dyDescent="0.3">
      <c r="A331" s="3"/>
      <c r="E331" s="3">
        <v>1018.9</v>
      </c>
      <c r="F331" s="3">
        <v>10.61</v>
      </c>
      <c r="G331" s="3">
        <v>-15.14</v>
      </c>
      <c r="H331" s="3">
        <v>0</v>
      </c>
      <c r="I331" s="3">
        <v>25.75</v>
      </c>
      <c r="J331" s="3">
        <v>18.04</v>
      </c>
    </row>
    <row r="332" spans="1:10" ht="14.4" x14ac:dyDescent="0.3">
      <c r="A332" s="3"/>
      <c r="E332" s="3">
        <v>1021.78</v>
      </c>
      <c r="F332" s="3">
        <v>10.74</v>
      </c>
      <c r="G332" s="3">
        <v>-14.45</v>
      </c>
      <c r="H332" s="3">
        <v>0</v>
      </c>
      <c r="I332" s="3">
        <v>24.56</v>
      </c>
      <c r="J332" s="3">
        <v>18.260000000000002</v>
      </c>
    </row>
    <row r="333" spans="1:10" ht="14.4" x14ac:dyDescent="0.3">
      <c r="A333" s="3"/>
      <c r="E333" s="3">
        <v>1027.98</v>
      </c>
      <c r="F333" s="3">
        <v>10.87</v>
      </c>
      <c r="G333" s="3">
        <v>-14.71</v>
      </c>
      <c r="H333" s="3">
        <v>0</v>
      </c>
      <c r="I333" s="3">
        <v>25</v>
      </c>
      <c r="J333" s="3">
        <v>18.48</v>
      </c>
    </row>
    <row r="334" spans="1:10" ht="14.4" x14ac:dyDescent="0.3">
      <c r="A334" s="3"/>
      <c r="E334" s="3">
        <v>1022.81</v>
      </c>
      <c r="F334" s="3">
        <v>10.72</v>
      </c>
      <c r="G334" s="3">
        <v>-14.33</v>
      </c>
      <c r="H334" s="3">
        <v>0</v>
      </c>
      <c r="I334" s="3">
        <v>24.36</v>
      </c>
      <c r="J334" s="3">
        <v>18.22</v>
      </c>
    </row>
    <row r="335" spans="1:10" ht="14.4" x14ac:dyDescent="0.3">
      <c r="A335" s="3"/>
      <c r="E335" s="3">
        <v>1028.48</v>
      </c>
      <c r="F335" s="3">
        <v>10.94</v>
      </c>
      <c r="G335" s="3">
        <v>-14.61</v>
      </c>
      <c r="H335" s="3">
        <v>0</v>
      </c>
      <c r="I335" s="3">
        <v>24.84</v>
      </c>
      <c r="J335" s="3">
        <v>18.600000000000001</v>
      </c>
    </row>
    <row r="336" spans="1:10" ht="14.4" x14ac:dyDescent="0.3">
      <c r="A336" s="3"/>
      <c r="E336" s="3">
        <v>1033.5999999999999</v>
      </c>
      <c r="F336" s="3">
        <v>11.01</v>
      </c>
      <c r="G336" s="3">
        <v>-15.29</v>
      </c>
      <c r="H336" s="3">
        <v>0</v>
      </c>
      <c r="I336" s="3">
        <v>25.99</v>
      </c>
      <c r="J336" s="3">
        <v>18.72</v>
      </c>
    </row>
    <row r="337" spans="1:10" ht="14.4" x14ac:dyDescent="0.3">
      <c r="A337" s="3"/>
      <c r="E337" s="3">
        <v>1033.78</v>
      </c>
      <c r="F337" s="3">
        <v>11.13</v>
      </c>
      <c r="G337" s="3">
        <v>-14.58</v>
      </c>
      <c r="H337" s="3">
        <v>0</v>
      </c>
      <c r="I337" s="3">
        <v>24.79</v>
      </c>
      <c r="J337" s="3">
        <v>18.920000000000002</v>
      </c>
    </row>
    <row r="338" spans="1:10" ht="14.4" x14ac:dyDescent="0.3">
      <c r="A338" s="3"/>
      <c r="E338" s="3">
        <v>691.4</v>
      </c>
      <c r="F338" s="3">
        <v>6.99</v>
      </c>
      <c r="G338" s="3">
        <v>-10.32</v>
      </c>
      <c r="H338" s="3">
        <v>0</v>
      </c>
      <c r="I338" s="3">
        <v>17.55</v>
      </c>
      <c r="J338" s="3">
        <v>11.88</v>
      </c>
    </row>
    <row r="339" spans="1:10" ht="14.4" x14ac:dyDescent="0.3">
      <c r="A339" s="3"/>
      <c r="E339" s="3">
        <v>711.34</v>
      </c>
      <c r="F339" s="3">
        <v>7.39</v>
      </c>
      <c r="G339" s="3">
        <v>-11.08</v>
      </c>
      <c r="H339" s="3">
        <v>0</v>
      </c>
      <c r="I339" s="3">
        <v>18.84</v>
      </c>
      <c r="J339" s="3">
        <v>12.56</v>
      </c>
    </row>
    <row r="340" spans="1:10" ht="14.4" x14ac:dyDescent="0.3">
      <c r="A340" s="3"/>
      <c r="E340" s="3">
        <v>705.57</v>
      </c>
      <c r="F340" s="3">
        <v>7.13</v>
      </c>
      <c r="G340" s="3">
        <v>-12.48</v>
      </c>
      <c r="H340" s="3">
        <v>0</v>
      </c>
      <c r="I340" s="3">
        <v>21.22</v>
      </c>
      <c r="J340" s="3">
        <v>12.12</v>
      </c>
    </row>
    <row r="341" spans="1:10" ht="14.4" x14ac:dyDescent="0.3">
      <c r="A341" s="3"/>
      <c r="E341" s="3">
        <v>693.18</v>
      </c>
      <c r="F341" s="3">
        <v>6.87</v>
      </c>
      <c r="G341" s="3">
        <v>-11.96</v>
      </c>
      <c r="H341" s="3">
        <v>0</v>
      </c>
      <c r="I341" s="3">
        <v>20.329999999999998</v>
      </c>
      <c r="J341" s="3">
        <v>11.68</v>
      </c>
    </row>
    <row r="342" spans="1:10" ht="14.4" x14ac:dyDescent="0.3">
      <c r="A342" s="3"/>
      <c r="E342" s="3">
        <v>703.51</v>
      </c>
      <c r="F342" s="3">
        <v>7.18</v>
      </c>
      <c r="G342" s="3">
        <v>-12.72</v>
      </c>
      <c r="H342" s="3">
        <v>0</v>
      </c>
      <c r="I342" s="3">
        <v>21.62</v>
      </c>
      <c r="J342" s="3">
        <v>12.2</v>
      </c>
    </row>
    <row r="343" spans="1:10" ht="14.4" x14ac:dyDescent="0.3">
      <c r="A343" s="3"/>
      <c r="E343" s="3">
        <v>692.18</v>
      </c>
      <c r="F343" s="3">
        <v>6.73</v>
      </c>
      <c r="G343" s="3">
        <v>-12.15</v>
      </c>
      <c r="H343" s="3">
        <v>0</v>
      </c>
      <c r="I343" s="3">
        <v>20.65</v>
      </c>
      <c r="J343" s="3">
        <v>11.45</v>
      </c>
    </row>
    <row r="344" spans="1:10" ht="14.4" x14ac:dyDescent="0.3">
      <c r="A344" s="3"/>
      <c r="E344" s="3">
        <v>681.94</v>
      </c>
      <c r="F344" s="3">
        <v>6.59</v>
      </c>
      <c r="G344" s="3">
        <v>-10.8</v>
      </c>
      <c r="H344" s="3">
        <v>0</v>
      </c>
      <c r="I344" s="3">
        <v>18.36</v>
      </c>
      <c r="J344" s="3">
        <v>11.21</v>
      </c>
    </row>
    <row r="345" spans="1:10" ht="14.4" x14ac:dyDescent="0.3">
      <c r="A345" s="3"/>
      <c r="E345" s="3">
        <v>681.57</v>
      </c>
      <c r="F345" s="3">
        <v>6.36</v>
      </c>
      <c r="G345" s="3">
        <v>-12.21</v>
      </c>
      <c r="H345" s="3">
        <v>0</v>
      </c>
      <c r="I345" s="3">
        <v>20.76</v>
      </c>
      <c r="J345" s="3">
        <v>10.8</v>
      </c>
    </row>
    <row r="346" spans="1:10" ht="14.4" x14ac:dyDescent="0.3">
      <c r="A346" s="3"/>
      <c r="E346" s="3">
        <v>701.73</v>
      </c>
      <c r="F346" s="3">
        <v>6.85</v>
      </c>
      <c r="G346" s="3">
        <v>-12.84</v>
      </c>
      <c r="H346" s="3">
        <v>0</v>
      </c>
      <c r="I346" s="3">
        <v>21.83</v>
      </c>
      <c r="J346" s="3">
        <v>11.65</v>
      </c>
    </row>
    <row r="347" spans="1:10" ht="14.4" x14ac:dyDescent="0.3">
      <c r="A347" s="3"/>
      <c r="E347" s="3">
        <v>681.79</v>
      </c>
      <c r="F347" s="3">
        <v>6.45</v>
      </c>
      <c r="G347" s="3">
        <v>-12.08</v>
      </c>
      <c r="H347" s="3">
        <v>0</v>
      </c>
      <c r="I347" s="3">
        <v>20.53</v>
      </c>
      <c r="J347" s="3">
        <v>10.97</v>
      </c>
    </row>
    <row r="348" spans="1:10" ht="14.4" x14ac:dyDescent="0.3">
      <c r="A348" s="3"/>
      <c r="E348" s="3">
        <v>687.56</v>
      </c>
      <c r="F348" s="3">
        <v>6.71</v>
      </c>
      <c r="G348" s="3">
        <v>-10.68</v>
      </c>
      <c r="H348" s="3">
        <v>0</v>
      </c>
      <c r="I348" s="3">
        <v>18.16</v>
      </c>
      <c r="J348" s="3">
        <v>11.41</v>
      </c>
    </row>
    <row r="349" spans="1:10" ht="14.4" x14ac:dyDescent="0.3">
      <c r="A349" s="3"/>
      <c r="E349" s="3">
        <v>699.95</v>
      </c>
      <c r="F349" s="3">
        <v>6.97</v>
      </c>
      <c r="G349" s="3">
        <v>-11.2</v>
      </c>
      <c r="H349" s="3">
        <v>0</v>
      </c>
      <c r="I349" s="3">
        <v>19.04</v>
      </c>
      <c r="J349" s="3">
        <v>11.85</v>
      </c>
    </row>
    <row r="350" spans="1:10" ht="14.4" x14ac:dyDescent="0.3">
      <c r="A350" s="3"/>
      <c r="E350" s="3">
        <v>689.62</v>
      </c>
      <c r="F350" s="3">
        <v>6.66</v>
      </c>
      <c r="G350" s="3">
        <v>-10.45</v>
      </c>
      <c r="H350" s="3">
        <v>0</v>
      </c>
      <c r="I350" s="3">
        <v>17.760000000000002</v>
      </c>
      <c r="J350" s="3">
        <v>11.33</v>
      </c>
    </row>
    <row r="351" spans="1:10" ht="14.4" x14ac:dyDescent="0.3">
      <c r="A351" s="3"/>
      <c r="E351" s="3">
        <v>700.96</v>
      </c>
      <c r="F351" s="3">
        <v>7.1</v>
      </c>
      <c r="G351" s="3">
        <v>-11.01</v>
      </c>
      <c r="H351" s="3">
        <v>0</v>
      </c>
      <c r="I351" s="3">
        <v>18.72</v>
      </c>
      <c r="J351" s="3">
        <v>12.08</v>
      </c>
    </row>
    <row r="352" spans="1:10" ht="14.4" x14ac:dyDescent="0.3">
      <c r="A352" s="3"/>
      <c r="E352" s="3">
        <v>711.19</v>
      </c>
      <c r="F352" s="3">
        <v>7.25</v>
      </c>
      <c r="G352" s="3">
        <v>-12.36</v>
      </c>
      <c r="H352" s="3">
        <v>0</v>
      </c>
      <c r="I352" s="3">
        <v>21.02</v>
      </c>
      <c r="J352" s="3">
        <v>12.32</v>
      </c>
    </row>
    <row r="353" spans="1:10" ht="14.4" x14ac:dyDescent="0.3">
      <c r="A353" s="3"/>
      <c r="E353" s="3">
        <v>675.41</v>
      </c>
      <c r="F353" s="3">
        <v>7.41</v>
      </c>
      <c r="G353" s="3">
        <v>-9.26</v>
      </c>
      <c r="H353" s="3">
        <v>0</v>
      </c>
      <c r="I353" s="3">
        <v>15.74</v>
      </c>
      <c r="J353" s="3">
        <v>12.6</v>
      </c>
    </row>
    <row r="354" spans="1:10" ht="14.4" x14ac:dyDescent="0.3">
      <c r="A354" s="3"/>
      <c r="E354" s="3">
        <v>691.4</v>
      </c>
      <c r="F354" s="3">
        <v>6.99</v>
      </c>
      <c r="G354" s="3">
        <v>-10.32</v>
      </c>
      <c r="H354" s="3">
        <v>0</v>
      </c>
      <c r="I354" s="3">
        <v>17.55</v>
      </c>
      <c r="J354" s="3">
        <v>11.88</v>
      </c>
    </row>
    <row r="355" spans="1:10" ht="14.4" x14ac:dyDescent="0.3">
      <c r="A355" s="3"/>
      <c r="E355" s="3">
        <v>711.34</v>
      </c>
      <c r="F355" s="3">
        <v>7.39</v>
      </c>
      <c r="G355" s="3">
        <v>-11.08</v>
      </c>
      <c r="H355" s="3">
        <v>0</v>
      </c>
      <c r="I355" s="3">
        <v>18.84</v>
      </c>
      <c r="J355" s="3">
        <v>12.56</v>
      </c>
    </row>
    <row r="356" spans="1:10" ht="14.4" x14ac:dyDescent="0.3">
      <c r="A356" s="3"/>
      <c r="E356" s="3">
        <v>705.57</v>
      </c>
      <c r="F356" s="3">
        <v>7.13</v>
      </c>
      <c r="G356" s="3">
        <v>-12.48</v>
      </c>
      <c r="H356" s="3">
        <v>0</v>
      </c>
      <c r="I356" s="3">
        <v>21.22</v>
      </c>
      <c r="J356" s="3">
        <v>12.12</v>
      </c>
    </row>
    <row r="357" spans="1:10" ht="14.4" x14ac:dyDescent="0.3">
      <c r="A357" s="3"/>
      <c r="E357" s="3">
        <v>693.18</v>
      </c>
      <c r="F357" s="3">
        <v>6.87</v>
      </c>
      <c r="G357" s="3">
        <v>-11.96</v>
      </c>
      <c r="H357" s="3">
        <v>0</v>
      </c>
      <c r="I357" s="3">
        <v>20.329999999999998</v>
      </c>
      <c r="J357" s="3">
        <v>11.68</v>
      </c>
    </row>
    <row r="358" spans="1:10" ht="14.4" x14ac:dyDescent="0.3">
      <c r="A358" s="3"/>
      <c r="E358" s="3">
        <v>703.51</v>
      </c>
      <c r="F358" s="3">
        <v>7.18</v>
      </c>
      <c r="G358" s="3">
        <v>-12.72</v>
      </c>
      <c r="H358" s="3">
        <v>0</v>
      </c>
      <c r="I358" s="3">
        <v>21.62</v>
      </c>
      <c r="J358" s="3">
        <v>12.2</v>
      </c>
    </row>
    <row r="359" spans="1:10" ht="14.4" x14ac:dyDescent="0.3">
      <c r="A359" s="3"/>
      <c r="E359" s="3">
        <v>692.18</v>
      </c>
      <c r="F359" s="3">
        <v>6.73</v>
      </c>
      <c r="G359" s="3">
        <v>-12.15</v>
      </c>
      <c r="H359" s="3">
        <v>0</v>
      </c>
      <c r="I359" s="3">
        <v>20.65</v>
      </c>
      <c r="J359" s="3">
        <v>11.45</v>
      </c>
    </row>
    <row r="360" spans="1:10" ht="14.4" x14ac:dyDescent="0.3">
      <c r="A360" s="3"/>
      <c r="E360" s="3">
        <v>681.94</v>
      </c>
      <c r="F360" s="3">
        <v>6.59</v>
      </c>
      <c r="G360" s="3">
        <v>-10.8</v>
      </c>
      <c r="H360" s="3">
        <v>0</v>
      </c>
      <c r="I360" s="3">
        <v>18.36</v>
      </c>
      <c r="J360" s="3">
        <v>11.21</v>
      </c>
    </row>
    <row r="361" spans="1:10" ht="14.4" x14ac:dyDescent="0.3">
      <c r="A361" s="3"/>
      <c r="E361" s="3">
        <v>681.57</v>
      </c>
      <c r="F361" s="3">
        <v>6.36</v>
      </c>
      <c r="G361" s="3">
        <v>-12.21</v>
      </c>
      <c r="H361" s="3">
        <v>0</v>
      </c>
      <c r="I361" s="3">
        <v>20.76</v>
      </c>
      <c r="J361" s="3">
        <v>10.8</v>
      </c>
    </row>
    <row r="362" spans="1:10" ht="14.4" x14ac:dyDescent="0.3">
      <c r="A362" s="3"/>
      <c r="E362" s="3">
        <v>701.73</v>
      </c>
      <c r="F362" s="3">
        <v>6.85</v>
      </c>
      <c r="G362" s="3">
        <v>-12.84</v>
      </c>
      <c r="H362" s="3">
        <v>0</v>
      </c>
      <c r="I362" s="3">
        <v>21.83</v>
      </c>
      <c r="J362" s="3">
        <v>11.65</v>
      </c>
    </row>
    <row r="363" spans="1:10" ht="14.4" x14ac:dyDescent="0.3">
      <c r="A363" s="3"/>
      <c r="E363" s="3">
        <v>681.79</v>
      </c>
      <c r="F363" s="3">
        <v>6.45</v>
      </c>
      <c r="G363" s="3">
        <v>-12.08</v>
      </c>
      <c r="H363" s="3">
        <v>0</v>
      </c>
      <c r="I363" s="3">
        <v>20.53</v>
      </c>
      <c r="J363" s="3">
        <v>10.97</v>
      </c>
    </row>
    <row r="364" spans="1:10" ht="14.4" x14ac:dyDescent="0.3">
      <c r="A364" s="3"/>
      <c r="E364" s="3">
        <v>687.56</v>
      </c>
      <c r="F364" s="3">
        <v>6.71</v>
      </c>
      <c r="G364" s="3">
        <v>-10.68</v>
      </c>
      <c r="H364" s="3">
        <v>0</v>
      </c>
      <c r="I364" s="3">
        <v>18.16</v>
      </c>
      <c r="J364" s="3">
        <v>11.41</v>
      </c>
    </row>
    <row r="365" spans="1:10" ht="14.4" x14ac:dyDescent="0.3">
      <c r="A365" s="3"/>
      <c r="E365" s="3">
        <v>699.95</v>
      </c>
      <c r="F365" s="3">
        <v>6.97</v>
      </c>
      <c r="G365" s="3">
        <v>-11.2</v>
      </c>
      <c r="H365" s="3">
        <v>0</v>
      </c>
      <c r="I365" s="3">
        <v>19.04</v>
      </c>
      <c r="J365" s="3">
        <v>11.85</v>
      </c>
    </row>
    <row r="366" spans="1:10" ht="14.4" x14ac:dyDescent="0.3">
      <c r="A366" s="3"/>
      <c r="E366" s="3">
        <v>689.62</v>
      </c>
      <c r="F366" s="3">
        <v>6.66</v>
      </c>
      <c r="G366" s="3">
        <v>-10.45</v>
      </c>
      <c r="H366" s="3">
        <v>0</v>
      </c>
      <c r="I366" s="3">
        <v>17.760000000000002</v>
      </c>
      <c r="J366" s="3">
        <v>11.33</v>
      </c>
    </row>
    <row r="367" spans="1:10" ht="14.4" x14ac:dyDescent="0.3">
      <c r="A367" s="3"/>
      <c r="E367" s="3">
        <v>700.96</v>
      </c>
      <c r="F367" s="3">
        <v>7.1</v>
      </c>
      <c r="G367" s="3">
        <v>-11.01</v>
      </c>
      <c r="H367" s="3">
        <v>0</v>
      </c>
      <c r="I367" s="3">
        <v>18.72</v>
      </c>
      <c r="J367" s="3">
        <v>12.08</v>
      </c>
    </row>
    <row r="368" spans="1:10" ht="14.4" x14ac:dyDescent="0.3">
      <c r="A368" s="3"/>
      <c r="E368" s="3">
        <v>711.19</v>
      </c>
      <c r="F368" s="3">
        <v>7.25</v>
      </c>
      <c r="G368" s="3">
        <v>-12.36</v>
      </c>
      <c r="H368" s="3">
        <v>0</v>
      </c>
      <c r="I368" s="3">
        <v>21.02</v>
      </c>
      <c r="J368" s="3">
        <v>12.32</v>
      </c>
    </row>
    <row r="369" spans="1:10" ht="14.4" x14ac:dyDescent="0.3">
      <c r="A369" s="3"/>
      <c r="E369" s="3">
        <v>711.19</v>
      </c>
      <c r="F369" s="3">
        <v>7.25</v>
      </c>
      <c r="G369" s="3">
        <v>-12.36</v>
      </c>
      <c r="H369" s="3">
        <v>0</v>
      </c>
      <c r="I369" s="3">
        <v>21.02</v>
      </c>
      <c r="J369" s="3">
        <v>12.32</v>
      </c>
    </row>
    <row r="370" spans="1:10" ht="14.4" x14ac:dyDescent="0.3">
      <c r="A370" s="3"/>
      <c r="E370" s="3">
        <v>472.93</v>
      </c>
      <c r="F370" s="3">
        <v>4.26</v>
      </c>
      <c r="G370" s="3">
        <v>-8.11</v>
      </c>
      <c r="H370" s="3">
        <v>0</v>
      </c>
      <c r="I370" s="3">
        <v>13.79</v>
      </c>
      <c r="J370" s="3">
        <v>7.24</v>
      </c>
    </row>
    <row r="371" spans="1:10" ht="14.4" x14ac:dyDescent="0.3">
      <c r="A371" s="3"/>
      <c r="E371" s="3">
        <v>492.88</v>
      </c>
      <c r="F371" s="3">
        <v>4.66</v>
      </c>
      <c r="G371" s="3">
        <v>-8.8800000000000008</v>
      </c>
      <c r="H371" s="3">
        <v>0</v>
      </c>
      <c r="I371" s="3">
        <v>15.09</v>
      </c>
      <c r="J371" s="3">
        <v>7.92</v>
      </c>
    </row>
    <row r="372" spans="1:10" ht="14.4" x14ac:dyDescent="0.3">
      <c r="A372" s="3"/>
      <c r="E372" s="3">
        <v>487.11</v>
      </c>
      <c r="F372" s="3">
        <v>4.4000000000000004</v>
      </c>
      <c r="G372" s="3">
        <v>-10.27</v>
      </c>
      <c r="H372" s="3">
        <v>0</v>
      </c>
      <c r="I372" s="3">
        <v>17.46</v>
      </c>
      <c r="J372" s="3">
        <v>7.48</v>
      </c>
    </row>
    <row r="373" spans="1:10" ht="14.4" x14ac:dyDescent="0.3">
      <c r="A373" s="3"/>
      <c r="E373" s="3">
        <v>474.71</v>
      </c>
      <c r="F373" s="3">
        <v>4.1399999999999997</v>
      </c>
      <c r="G373" s="3">
        <v>-9.75</v>
      </c>
      <c r="H373" s="3">
        <v>0</v>
      </c>
      <c r="I373" s="3">
        <v>16.579999999999998</v>
      </c>
      <c r="J373" s="3">
        <v>7.04</v>
      </c>
    </row>
    <row r="374" spans="1:10" ht="14.4" x14ac:dyDescent="0.3">
      <c r="A374" s="3"/>
      <c r="E374" s="3">
        <v>485.05</v>
      </c>
      <c r="F374" s="3">
        <v>4.45</v>
      </c>
      <c r="G374" s="3">
        <v>-10.51</v>
      </c>
      <c r="H374" s="3">
        <v>0</v>
      </c>
      <c r="I374" s="3">
        <v>17.86</v>
      </c>
      <c r="J374" s="3">
        <v>7.56</v>
      </c>
    </row>
    <row r="375" spans="1:10" ht="14.4" x14ac:dyDescent="0.3">
      <c r="A375" s="3"/>
      <c r="E375" s="3">
        <v>473.71</v>
      </c>
      <c r="F375" s="3">
        <v>4.01</v>
      </c>
      <c r="G375" s="3">
        <v>-9.94</v>
      </c>
      <c r="H375" s="3">
        <v>0</v>
      </c>
      <c r="I375" s="3">
        <v>16.899999999999999</v>
      </c>
      <c r="J375" s="3">
        <v>6.81</v>
      </c>
    </row>
    <row r="376" spans="1:10" ht="14.4" x14ac:dyDescent="0.3">
      <c r="A376" s="3"/>
      <c r="E376" s="3">
        <v>463.47</v>
      </c>
      <c r="F376" s="3">
        <v>3.86</v>
      </c>
      <c r="G376" s="3">
        <v>-8.59</v>
      </c>
      <c r="H376" s="3">
        <v>0</v>
      </c>
      <c r="I376" s="3">
        <v>14.6</v>
      </c>
      <c r="J376" s="3">
        <v>6.57</v>
      </c>
    </row>
    <row r="377" spans="1:10" ht="14.4" x14ac:dyDescent="0.3">
      <c r="A377" s="3"/>
      <c r="E377" s="3">
        <v>463.1</v>
      </c>
      <c r="F377" s="3">
        <v>3.63</v>
      </c>
      <c r="G377" s="3">
        <v>-10</v>
      </c>
      <c r="H377" s="3">
        <v>0</v>
      </c>
      <c r="I377" s="3">
        <v>17.010000000000002</v>
      </c>
      <c r="J377" s="3">
        <v>6.17</v>
      </c>
    </row>
    <row r="378" spans="1:10" ht="14.4" x14ac:dyDescent="0.3">
      <c r="A378" s="3"/>
      <c r="E378" s="3">
        <v>483.27</v>
      </c>
      <c r="F378" s="3">
        <v>4.12</v>
      </c>
      <c r="G378" s="3">
        <v>-10.63</v>
      </c>
      <c r="H378" s="3">
        <v>0</v>
      </c>
      <c r="I378" s="3">
        <v>18.07</v>
      </c>
      <c r="J378" s="3">
        <v>7.01</v>
      </c>
    </row>
    <row r="379" spans="1:10" ht="14.4" x14ac:dyDescent="0.3">
      <c r="A379" s="3"/>
      <c r="E379" s="3">
        <v>463.32</v>
      </c>
      <c r="F379" s="3">
        <v>3.73</v>
      </c>
      <c r="G379" s="3">
        <v>-9.8699999999999992</v>
      </c>
      <c r="H379" s="3">
        <v>0</v>
      </c>
      <c r="I379" s="3">
        <v>16.77</v>
      </c>
      <c r="J379" s="3">
        <v>6.33</v>
      </c>
    </row>
    <row r="380" spans="1:10" ht="14.4" x14ac:dyDescent="0.3">
      <c r="A380" s="3"/>
      <c r="E380" s="3">
        <v>469.09</v>
      </c>
      <c r="F380" s="3">
        <v>3.98</v>
      </c>
      <c r="G380" s="3">
        <v>-8.4700000000000006</v>
      </c>
      <c r="H380" s="3">
        <v>0</v>
      </c>
      <c r="I380" s="3">
        <v>14.4</v>
      </c>
      <c r="J380" s="3">
        <v>6.77</v>
      </c>
    </row>
    <row r="381" spans="1:10" ht="14.4" x14ac:dyDescent="0.3">
      <c r="A381" s="3"/>
      <c r="E381" s="3">
        <v>481.49</v>
      </c>
      <c r="F381" s="3">
        <v>4.24</v>
      </c>
      <c r="G381" s="3">
        <v>-8.99</v>
      </c>
      <c r="H381" s="3">
        <v>0</v>
      </c>
      <c r="I381" s="3">
        <v>15.29</v>
      </c>
      <c r="J381" s="3">
        <v>7.21</v>
      </c>
    </row>
    <row r="382" spans="1:10" ht="14.4" x14ac:dyDescent="0.3">
      <c r="A382" s="3"/>
      <c r="E382" s="3">
        <v>471.15</v>
      </c>
      <c r="F382" s="3">
        <v>3.94</v>
      </c>
      <c r="G382" s="3">
        <v>-8.24</v>
      </c>
      <c r="H382" s="3">
        <v>0</v>
      </c>
      <c r="I382" s="3">
        <v>14</v>
      </c>
      <c r="J382" s="3">
        <v>6.69</v>
      </c>
    </row>
    <row r="383" spans="1:10" ht="14.4" x14ac:dyDescent="0.3">
      <c r="A383" s="3"/>
      <c r="E383" s="3">
        <v>482.49</v>
      </c>
      <c r="F383" s="3">
        <v>4.38</v>
      </c>
      <c r="G383" s="3">
        <v>-8.8000000000000007</v>
      </c>
      <c r="H383" s="3">
        <v>0</v>
      </c>
      <c r="I383" s="3">
        <v>14.96</v>
      </c>
      <c r="J383" s="3">
        <v>7.44</v>
      </c>
    </row>
    <row r="384" spans="1:10" ht="14.4" x14ac:dyDescent="0.3">
      <c r="A384" s="3"/>
      <c r="E384" s="3">
        <v>492.73</v>
      </c>
      <c r="F384" s="3">
        <v>4.5199999999999996</v>
      </c>
      <c r="G384" s="3">
        <v>-10.15</v>
      </c>
      <c r="H384" s="3">
        <v>0</v>
      </c>
      <c r="I384" s="3">
        <v>17.260000000000002</v>
      </c>
      <c r="J384" s="3">
        <v>7.68</v>
      </c>
    </row>
    <row r="385" spans="1:10" ht="14.4" x14ac:dyDescent="0.3">
      <c r="A385" s="3"/>
      <c r="E385" s="3">
        <v>493.1</v>
      </c>
      <c r="F385" s="3">
        <v>4.76</v>
      </c>
      <c r="G385" s="3">
        <v>-8.74</v>
      </c>
      <c r="H385" s="3">
        <v>0</v>
      </c>
      <c r="I385" s="3">
        <v>14.86</v>
      </c>
      <c r="J385" s="3">
        <v>8.08</v>
      </c>
    </row>
    <row r="386" spans="1:10" ht="14.4" x14ac:dyDescent="0.3">
      <c r="A386" s="3"/>
      <c r="E386" s="3">
        <v>671.91</v>
      </c>
      <c r="F386" s="3">
        <v>5.31</v>
      </c>
      <c r="G386" s="3">
        <v>0.11</v>
      </c>
      <c r="H386" s="3">
        <v>0</v>
      </c>
      <c r="I386" s="3">
        <v>-0.18</v>
      </c>
      <c r="J386" s="3">
        <v>9.0299999999999994</v>
      </c>
    </row>
    <row r="387" spans="1:10" ht="14.4" x14ac:dyDescent="0.3">
      <c r="A387" s="3"/>
      <c r="E387" s="3">
        <v>766.28</v>
      </c>
      <c r="F387" s="3">
        <v>10.61</v>
      </c>
      <c r="G387" s="3">
        <v>-27.34</v>
      </c>
      <c r="H387" s="3">
        <v>0</v>
      </c>
      <c r="I387" s="3">
        <v>46.48</v>
      </c>
      <c r="J387" s="3">
        <v>18.03</v>
      </c>
    </row>
    <row r="388" spans="1:10" ht="14.4" x14ac:dyDescent="0.3">
      <c r="A388" s="3"/>
      <c r="E388" s="3">
        <v>625.04999999999995</v>
      </c>
      <c r="F388" s="3">
        <v>3.24</v>
      </c>
      <c r="G388" s="3">
        <v>4.2</v>
      </c>
      <c r="H388" s="3">
        <v>0</v>
      </c>
      <c r="I388" s="3">
        <v>-7.13</v>
      </c>
      <c r="J388" s="3">
        <v>5.51</v>
      </c>
    </row>
    <row r="389" spans="1:10" ht="14.4" x14ac:dyDescent="0.3">
      <c r="A389" s="3"/>
      <c r="E389" s="3">
        <v>719.43</v>
      </c>
      <c r="F389" s="3">
        <v>8.5299999999999994</v>
      </c>
      <c r="G389" s="3">
        <v>-23.25</v>
      </c>
      <c r="H389" s="3">
        <v>0</v>
      </c>
      <c r="I389" s="3">
        <v>39.53</v>
      </c>
      <c r="J389" s="3">
        <v>14.51</v>
      </c>
    </row>
    <row r="390" spans="1:10" ht="14.4" x14ac:dyDescent="0.3">
      <c r="A390" s="3"/>
      <c r="E390" s="3">
        <v>671.91</v>
      </c>
      <c r="F390" s="3">
        <v>5.31</v>
      </c>
      <c r="G390" s="3">
        <v>0.11</v>
      </c>
      <c r="H390" s="3">
        <v>0</v>
      </c>
      <c r="I390" s="3">
        <v>-0.18</v>
      </c>
      <c r="J390" s="3">
        <v>9.0299999999999994</v>
      </c>
    </row>
    <row r="391" spans="1:10" ht="14.4" x14ac:dyDescent="0.3">
      <c r="A391" s="3"/>
      <c r="E391" s="3">
        <v>766.28</v>
      </c>
      <c r="F391" s="3">
        <v>10.61</v>
      </c>
      <c r="G391" s="3">
        <v>-27.34</v>
      </c>
      <c r="H391" s="3">
        <v>0</v>
      </c>
      <c r="I391" s="3">
        <v>46.48</v>
      </c>
      <c r="J391" s="3">
        <v>18.03</v>
      </c>
    </row>
    <row r="392" spans="1:10" ht="14.4" x14ac:dyDescent="0.3">
      <c r="A392" s="3"/>
      <c r="E392" s="3">
        <v>625.04999999999995</v>
      </c>
      <c r="F392" s="3">
        <v>3.24</v>
      </c>
      <c r="G392" s="3">
        <v>4.2</v>
      </c>
      <c r="H392" s="3">
        <v>0</v>
      </c>
      <c r="I392" s="3">
        <v>-7.13</v>
      </c>
      <c r="J392" s="3">
        <v>5.51</v>
      </c>
    </row>
    <row r="393" spans="1:10" ht="14.4" x14ac:dyDescent="0.3">
      <c r="A393" s="3"/>
      <c r="E393" s="3">
        <v>719.43</v>
      </c>
      <c r="F393" s="3">
        <v>8.5299999999999994</v>
      </c>
      <c r="G393" s="3">
        <v>-23.25</v>
      </c>
      <c r="H393" s="3">
        <v>0</v>
      </c>
      <c r="I393" s="3">
        <v>39.53</v>
      </c>
      <c r="J393" s="3">
        <v>14.51</v>
      </c>
    </row>
    <row r="394" spans="1:10" ht="14.4" x14ac:dyDescent="0.3">
      <c r="A394" s="3"/>
      <c r="E394" s="3">
        <v>832.34</v>
      </c>
      <c r="F394" s="3">
        <v>10.18</v>
      </c>
      <c r="G394" s="3">
        <v>-15.57</v>
      </c>
      <c r="H394" s="3">
        <v>0</v>
      </c>
      <c r="I394" s="3">
        <v>26.48</v>
      </c>
      <c r="J394" s="3">
        <v>17.3</v>
      </c>
    </row>
    <row r="395" spans="1:10" ht="14.4" x14ac:dyDescent="0.3">
      <c r="A395" s="3"/>
      <c r="E395" s="3">
        <v>465.71</v>
      </c>
      <c r="F395" s="3">
        <v>1.49</v>
      </c>
      <c r="G395" s="3">
        <v>2.04</v>
      </c>
      <c r="H395" s="3">
        <v>0</v>
      </c>
      <c r="I395" s="3">
        <v>-3.47</v>
      </c>
      <c r="J395" s="3">
        <v>2.54</v>
      </c>
    </row>
    <row r="396" spans="1:10" ht="14.4" x14ac:dyDescent="0.3">
      <c r="A396" s="3"/>
      <c r="E396" s="3">
        <v>925.62</v>
      </c>
      <c r="F396" s="3">
        <v>12.35</v>
      </c>
      <c r="G396" s="3">
        <v>-25.18</v>
      </c>
      <c r="H396" s="3">
        <v>0</v>
      </c>
      <c r="I396" s="3">
        <v>42.81</v>
      </c>
      <c r="J396" s="3">
        <v>21</v>
      </c>
    </row>
    <row r="397" spans="1:10" ht="14.4" x14ac:dyDescent="0.3">
      <c r="A397" s="3"/>
      <c r="E397" s="3">
        <v>559</v>
      </c>
      <c r="F397" s="3">
        <v>3.67</v>
      </c>
      <c r="G397" s="3">
        <v>-7.57</v>
      </c>
      <c r="H397" s="3">
        <v>0</v>
      </c>
      <c r="I397" s="3">
        <v>12.87</v>
      </c>
      <c r="J397" s="3">
        <v>6.24</v>
      </c>
    </row>
    <row r="398" spans="1:10" ht="14.4" x14ac:dyDescent="0.3">
      <c r="A398" s="3"/>
      <c r="E398" s="3">
        <v>832.34</v>
      </c>
      <c r="F398" s="3">
        <v>10.18</v>
      </c>
      <c r="G398" s="3">
        <v>-15.57</v>
      </c>
      <c r="H398" s="3">
        <v>0</v>
      </c>
      <c r="I398" s="3">
        <v>26.48</v>
      </c>
      <c r="J398" s="3">
        <v>17.3</v>
      </c>
    </row>
    <row r="399" spans="1:10" ht="14.4" x14ac:dyDescent="0.3">
      <c r="A399" s="3"/>
      <c r="E399" s="3">
        <v>465.71</v>
      </c>
      <c r="F399" s="3">
        <v>1.49</v>
      </c>
      <c r="G399" s="3">
        <v>2.04</v>
      </c>
      <c r="H399" s="3">
        <v>0</v>
      </c>
      <c r="I399" s="3">
        <v>-3.47</v>
      </c>
      <c r="J399" s="3">
        <v>2.54</v>
      </c>
    </row>
    <row r="400" spans="1:10" ht="14.4" x14ac:dyDescent="0.3">
      <c r="A400" s="3"/>
      <c r="E400" s="3">
        <v>925.62</v>
      </c>
      <c r="F400" s="3">
        <v>12.35</v>
      </c>
      <c r="G400" s="3">
        <v>-25.18</v>
      </c>
      <c r="H400" s="3">
        <v>0</v>
      </c>
      <c r="I400" s="3">
        <v>42.81</v>
      </c>
      <c r="J400" s="3">
        <v>21</v>
      </c>
    </row>
    <row r="401" spans="1:10" ht="14.4" x14ac:dyDescent="0.3">
      <c r="A401" s="3"/>
      <c r="E401" s="3">
        <v>559</v>
      </c>
      <c r="F401" s="3">
        <v>3.67</v>
      </c>
      <c r="G401" s="3">
        <v>-7.57</v>
      </c>
      <c r="H401" s="3">
        <v>0</v>
      </c>
      <c r="I401" s="3">
        <v>12.87</v>
      </c>
      <c r="J401" s="3">
        <v>6.24</v>
      </c>
    </row>
    <row r="402" spans="1:10" ht="14.4" x14ac:dyDescent="0.3">
      <c r="A402" s="3"/>
      <c r="E402" s="3">
        <v>976.75</v>
      </c>
      <c r="F402" s="3">
        <v>12.49</v>
      </c>
      <c r="G402" s="3">
        <v>5.31</v>
      </c>
      <c r="H402" s="3">
        <v>0</v>
      </c>
      <c r="I402" s="3">
        <v>-9.0299999999999994</v>
      </c>
      <c r="J402" s="3">
        <v>21.24</v>
      </c>
    </row>
    <row r="403" spans="1:10" ht="14.4" x14ac:dyDescent="0.3">
      <c r="A403" s="3"/>
      <c r="E403" s="3">
        <v>467.16</v>
      </c>
      <c r="F403" s="3">
        <v>3.62</v>
      </c>
      <c r="G403" s="3">
        <v>-24.16</v>
      </c>
      <c r="H403" s="3">
        <v>0</v>
      </c>
      <c r="I403" s="3">
        <v>41.08</v>
      </c>
      <c r="J403" s="3">
        <v>6.16</v>
      </c>
    </row>
    <row r="404" spans="1:10" ht="14.4" x14ac:dyDescent="0.3">
      <c r="A404" s="3"/>
      <c r="E404" s="3">
        <v>924.18</v>
      </c>
      <c r="F404" s="3">
        <v>10.220000000000001</v>
      </c>
      <c r="G404" s="3">
        <v>1.02</v>
      </c>
      <c r="H404" s="3">
        <v>0</v>
      </c>
      <c r="I404" s="3">
        <v>-1.73</v>
      </c>
      <c r="J404" s="3">
        <v>17.38</v>
      </c>
    </row>
    <row r="405" spans="1:10" ht="14.4" x14ac:dyDescent="0.3">
      <c r="A405" s="3"/>
      <c r="E405" s="3">
        <v>414.59</v>
      </c>
      <c r="F405" s="3">
        <v>1.35</v>
      </c>
      <c r="G405" s="3">
        <v>-28.46</v>
      </c>
      <c r="H405" s="3">
        <v>0</v>
      </c>
      <c r="I405" s="3">
        <v>48.38</v>
      </c>
      <c r="J405" s="3">
        <v>2.2999999999999998</v>
      </c>
    </row>
    <row r="406" spans="1:10" ht="14.4" x14ac:dyDescent="0.3">
      <c r="A406" s="3"/>
      <c r="E406" s="3">
        <v>933.53</v>
      </c>
      <c r="F406" s="3">
        <v>12.65</v>
      </c>
      <c r="G406" s="3">
        <v>-1.48</v>
      </c>
      <c r="H406" s="3">
        <v>0</v>
      </c>
      <c r="I406" s="3">
        <v>2.5099999999999998</v>
      </c>
      <c r="J406" s="3">
        <v>21.51</v>
      </c>
    </row>
    <row r="407" spans="1:10" ht="14.4" x14ac:dyDescent="0.3">
      <c r="A407" s="3"/>
      <c r="E407" s="3">
        <v>548.13</v>
      </c>
      <c r="F407" s="3">
        <v>3.32</v>
      </c>
      <c r="G407" s="3">
        <v>-11.44</v>
      </c>
      <c r="H407" s="3">
        <v>0</v>
      </c>
      <c r="I407" s="3">
        <v>19.45</v>
      </c>
      <c r="J407" s="3">
        <v>5.65</v>
      </c>
    </row>
    <row r="408" spans="1:10" ht="14.4" x14ac:dyDescent="0.3">
      <c r="A408" s="3"/>
      <c r="E408" s="3">
        <v>843.21</v>
      </c>
      <c r="F408" s="3">
        <v>10.52</v>
      </c>
      <c r="G408" s="3">
        <v>-11.71</v>
      </c>
      <c r="H408" s="3">
        <v>0</v>
      </c>
      <c r="I408" s="3">
        <v>19.899999999999999</v>
      </c>
      <c r="J408" s="3">
        <v>17.89</v>
      </c>
    </row>
    <row r="409" spans="1:10" ht="14.4" x14ac:dyDescent="0.3">
      <c r="A409" s="3"/>
      <c r="E409" s="3">
        <v>457.81</v>
      </c>
      <c r="F409" s="3">
        <v>1.19</v>
      </c>
      <c r="G409" s="3">
        <v>-21.67</v>
      </c>
      <c r="H409" s="3">
        <v>0</v>
      </c>
      <c r="I409" s="3">
        <v>36.83</v>
      </c>
      <c r="J409" s="3">
        <v>2.0299999999999998</v>
      </c>
    </row>
    <row r="410" spans="1:10" ht="14.4" x14ac:dyDescent="0.3">
      <c r="A410" s="3"/>
      <c r="E410" s="3">
        <v>523.16999999999996</v>
      </c>
      <c r="F410" s="3">
        <v>4.01</v>
      </c>
      <c r="G410" s="3">
        <v>3.02</v>
      </c>
      <c r="H410" s="3">
        <v>0</v>
      </c>
      <c r="I410" s="3">
        <v>-5.14</v>
      </c>
      <c r="J410" s="3">
        <v>6.82</v>
      </c>
    </row>
    <row r="411" spans="1:10" ht="14.4" x14ac:dyDescent="0.3">
      <c r="A411" s="3"/>
      <c r="E411" s="3">
        <v>596.29</v>
      </c>
      <c r="F411" s="3">
        <v>9.1199999999999992</v>
      </c>
      <c r="G411" s="3">
        <v>-24.01</v>
      </c>
      <c r="H411" s="3">
        <v>0</v>
      </c>
      <c r="I411" s="3">
        <v>40.82</v>
      </c>
      <c r="J411" s="3">
        <v>15.5</v>
      </c>
    </row>
    <row r="412" spans="1:10" ht="14.4" x14ac:dyDescent="0.3">
      <c r="A412" s="3"/>
      <c r="E412" s="3">
        <v>476.31</v>
      </c>
      <c r="F412" s="3">
        <v>1.94</v>
      </c>
      <c r="G412" s="3">
        <v>7.11</v>
      </c>
      <c r="H412" s="3">
        <v>0</v>
      </c>
      <c r="I412" s="3">
        <v>-12.09</v>
      </c>
      <c r="J412" s="3">
        <v>3.29</v>
      </c>
    </row>
    <row r="413" spans="1:10" ht="14.4" x14ac:dyDescent="0.3">
      <c r="A413" s="3"/>
      <c r="E413" s="3">
        <v>549.44000000000005</v>
      </c>
      <c r="F413" s="3">
        <v>7.04</v>
      </c>
      <c r="G413" s="3">
        <v>-19.920000000000002</v>
      </c>
      <c r="H413" s="3">
        <v>0</v>
      </c>
      <c r="I413" s="3">
        <v>33.86</v>
      </c>
      <c r="J413" s="3">
        <v>11.97</v>
      </c>
    </row>
    <row r="414" spans="1:10" ht="14.4" x14ac:dyDescent="0.3">
      <c r="A414" s="3"/>
      <c r="E414" s="3">
        <v>523.16999999999996</v>
      </c>
      <c r="F414" s="3">
        <v>4.01</v>
      </c>
      <c r="G414" s="3">
        <v>3.02</v>
      </c>
      <c r="H414" s="3">
        <v>0</v>
      </c>
      <c r="I414" s="3">
        <v>-5.14</v>
      </c>
      <c r="J414" s="3">
        <v>6.82</v>
      </c>
    </row>
    <row r="415" spans="1:10" ht="14.4" x14ac:dyDescent="0.3">
      <c r="A415" s="3"/>
      <c r="E415" s="3">
        <v>596.29</v>
      </c>
      <c r="F415" s="3">
        <v>9.1199999999999992</v>
      </c>
      <c r="G415" s="3">
        <v>-24.01</v>
      </c>
      <c r="H415" s="3">
        <v>0</v>
      </c>
      <c r="I415" s="3">
        <v>40.82</v>
      </c>
      <c r="J415" s="3">
        <v>15.5</v>
      </c>
    </row>
    <row r="416" spans="1:10" ht="14.4" x14ac:dyDescent="0.3">
      <c r="A416" s="3"/>
      <c r="E416" s="3">
        <v>476.31</v>
      </c>
      <c r="F416" s="3">
        <v>1.94</v>
      </c>
      <c r="G416" s="3">
        <v>7.11</v>
      </c>
      <c r="H416" s="3">
        <v>0</v>
      </c>
      <c r="I416" s="3">
        <v>-12.09</v>
      </c>
      <c r="J416" s="3">
        <v>3.29</v>
      </c>
    </row>
    <row r="417" spans="1:10" ht="14.4" x14ac:dyDescent="0.3">
      <c r="A417" s="3"/>
      <c r="E417" s="3">
        <v>549.44000000000005</v>
      </c>
      <c r="F417" s="3">
        <v>7.04</v>
      </c>
      <c r="G417" s="3">
        <v>-19.920000000000002</v>
      </c>
      <c r="H417" s="3">
        <v>0</v>
      </c>
      <c r="I417" s="3">
        <v>33.86</v>
      </c>
      <c r="J417" s="3">
        <v>11.97</v>
      </c>
    </row>
    <row r="418" spans="1:10" ht="14.4" x14ac:dyDescent="0.3">
      <c r="A418" s="3"/>
      <c r="E418" s="3">
        <v>683.6</v>
      </c>
      <c r="F418" s="3">
        <v>8.8699999999999992</v>
      </c>
      <c r="G418" s="3">
        <v>-12.66</v>
      </c>
      <c r="H418" s="3">
        <v>0</v>
      </c>
      <c r="I418" s="3">
        <v>21.52</v>
      </c>
      <c r="J418" s="3">
        <v>15.08</v>
      </c>
    </row>
    <row r="419" spans="1:10" ht="14.4" x14ac:dyDescent="0.3">
      <c r="A419" s="3"/>
      <c r="E419" s="3">
        <v>295.72000000000003</v>
      </c>
      <c r="F419" s="3">
        <v>0</v>
      </c>
      <c r="G419" s="3">
        <v>5.37</v>
      </c>
      <c r="H419" s="3">
        <v>0</v>
      </c>
      <c r="I419" s="3">
        <v>-9.1300000000000008</v>
      </c>
      <c r="J419" s="3">
        <v>0.01</v>
      </c>
    </row>
    <row r="420" spans="1:10" ht="14.4" x14ac:dyDescent="0.3">
      <c r="A420" s="3"/>
      <c r="E420" s="3">
        <v>776.88</v>
      </c>
      <c r="F420" s="3">
        <v>11.05</v>
      </c>
      <c r="G420" s="3">
        <v>-22.27</v>
      </c>
      <c r="H420" s="3">
        <v>0</v>
      </c>
      <c r="I420" s="3">
        <v>37.86</v>
      </c>
      <c r="J420" s="3">
        <v>18.78</v>
      </c>
    </row>
    <row r="421" spans="1:10" ht="14.4" x14ac:dyDescent="0.3">
      <c r="A421" s="3"/>
      <c r="E421" s="3">
        <v>389.01</v>
      </c>
      <c r="F421" s="3">
        <v>2.1800000000000002</v>
      </c>
      <c r="G421" s="3">
        <v>-4.24</v>
      </c>
      <c r="H421" s="3">
        <v>0</v>
      </c>
      <c r="I421" s="3">
        <v>7.21</v>
      </c>
      <c r="J421" s="3">
        <v>3.71</v>
      </c>
    </row>
    <row r="422" spans="1:10" ht="14.4" x14ac:dyDescent="0.3">
      <c r="A422" s="3"/>
      <c r="E422" s="3">
        <v>683.6</v>
      </c>
      <c r="F422" s="3">
        <v>8.8699999999999992</v>
      </c>
      <c r="G422" s="3">
        <v>-12.66</v>
      </c>
      <c r="H422" s="3">
        <v>0</v>
      </c>
      <c r="I422" s="3">
        <v>21.52</v>
      </c>
      <c r="J422" s="3">
        <v>15.08</v>
      </c>
    </row>
    <row r="423" spans="1:10" ht="14.4" x14ac:dyDescent="0.3">
      <c r="A423" s="3"/>
      <c r="E423" s="3">
        <v>295.72000000000003</v>
      </c>
      <c r="F423" s="3">
        <v>0</v>
      </c>
      <c r="G423" s="3">
        <v>5.37</v>
      </c>
      <c r="H423" s="3">
        <v>0</v>
      </c>
      <c r="I423" s="3">
        <v>-9.1300000000000008</v>
      </c>
      <c r="J423" s="3">
        <v>0.01</v>
      </c>
    </row>
    <row r="424" spans="1:10" ht="14.4" x14ac:dyDescent="0.3">
      <c r="A424" s="3"/>
      <c r="E424" s="3">
        <v>776.88</v>
      </c>
      <c r="F424" s="3">
        <v>11.05</v>
      </c>
      <c r="G424" s="3">
        <v>-22.27</v>
      </c>
      <c r="H424" s="3">
        <v>0</v>
      </c>
      <c r="I424" s="3">
        <v>37.86</v>
      </c>
      <c r="J424" s="3">
        <v>18.78</v>
      </c>
    </row>
    <row r="425" spans="1:10" ht="14.4" x14ac:dyDescent="0.3">
      <c r="A425" s="3"/>
      <c r="E425" s="3">
        <v>389.01</v>
      </c>
      <c r="F425" s="3">
        <v>2.1800000000000002</v>
      </c>
      <c r="G425" s="3">
        <v>-4.24</v>
      </c>
      <c r="H425" s="3">
        <v>0</v>
      </c>
      <c r="I425" s="3">
        <v>7.21</v>
      </c>
      <c r="J425" s="3">
        <v>3.71</v>
      </c>
    </row>
    <row r="426" spans="1:10" ht="14.4" x14ac:dyDescent="0.3">
      <c r="A426" s="3"/>
      <c r="E426" s="3">
        <v>828</v>
      </c>
      <c r="F426" s="3">
        <v>11.19</v>
      </c>
      <c r="G426" s="3">
        <v>8.23</v>
      </c>
      <c r="H426" s="3">
        <v>0</v>
      </c>
      <c r="I426" s="3">
        <v>-13.99</v>
      </c>
      <c r="J426" s="3">
        <v>19.02</v>
      </c>
    </row>
    <row r="427" spans="1:10" ht="14.4" x14ac:dyDescent="0.3">
      <c r="A427" s="3"/>
      <c r="E427" s="3">
        <v>297.17</v>
      </c>
      <c r="F427" s="3">
        <v>2.13</v>
      </c>
      <c r="G427" s="3">
        <v>-20.83</v>
      </c>
      <c r="H427" s="3">
        <v>0</v>
      </c>
      <c r="I427" s="3">
        <v>35.409999999999997</v>
      </c>
      <c r="J427" s="3">
        <v>3.63</v>
      </c>
    </row>
    <row r="428" spans="1:10" ht="14.4" x14ac:dyDescent="0.3">
      <c r="A428" s="3"/>
      <c r="E428" s="3">
        <v>775.44</v>
      </c>
      <c r="F428" s="3">
        <v>8.92</v>
      </c>
      <c r="G428" s="3">
        <v>3.93</v>
      </c>
      <c r="H428" s="3">
        <v>0</v>
      </c>
      <c r="I428" s="3">
        <v>-6.69</v>
      </c>
      <c r="J428" s="3">
        <v>15.17</v>
      </c>
    </row>
    <row r="429" spans="1:10" ht="14.4" x14ac:dyDescent="0.3">
      <c r="A429" s="3"/>
      <c r="E429" s="3">
        <v>244.6</v>
      </c>
      <c r="F429" s="3">
        <v>-0.14000000000000001</v>
      </c>
      <c r="G429" s="3">
        <v>-25.13</v>
      </c>
      <c r="H429" s="3">
        <v>0</v>
      </c>
      <c r="I429" s="3">
        <v>42.71</v>
      </c>
      <c r="J429" s="3">
        <v>-0.23</v>
      </c>
    </row>
    <row r="430" spans="1:10" ht="14.4" x14ac:dyDescent="0.3">
      <c r="A430" s="3"/>
      <c r="E430" s="3">
        <v>784.79</v>
      </c>
      <c r="F430" s="3">
        <v>11.35</v>
      </c>
      <c r="G430" s="3">
        <v>1.44</v>
      </c>
      <c r="H430" s="3">
        <v>0</v>
      </c>
      <c r="I430" s="3">
        <v>-2.44</v>
      </c>
      <c r="J430" s="3">
        <v>19.29</v>
      </c>
    </row>
    <row r="431" spans="1:10" ht="14.4" x14ac:dyDescent="0.3">
      <c r="A431" s="3"/>
      <c r="E431" s="3">
        <v>378.14</v>
      </c>
      <c r="F431" s="3">
        <v>1.83</v>
      </c>
      <c r="G431" s="3">
        <v>-8.11</v>
      </c>
      <c r="H431" s="3">
        <v>0</v>
      </c>
      <c r="I431" s="3">
        <v>13.78</v>
      </c>
      <c r="J431" s="3">
        <v>3.12</v>
      </c>
    </row>
    <row r="432" spans="1:10" ht="14.4" x14ac:dyDescent="0.3">
      <c r="A432" s="3"/>
      <c r="E432" s="3">
        <v>694.47</v>
      </c>
      <c r="F432" s="3">
        <v>9.2200000000000006</v>
      </c>
      <c r="G432" s="3">
        <v>-8.7899999999999991</v>
      </c>
      <c r="H432" s="3">
        <v>0</v>
      </c>
      <c r="I432" s="3">
        <v>14.94</v>
      </c>
      <c r="J432" s="3">
        <v>15.67</v>
      </c>
    </row>
    <row r="433" spans="1:10" ht="14.4" x14ac:dyDescent="0.3">
      <c r="A433" s="3"/>
      <c r="E433" s="3">
        <v>460.73</v>
      </c>
      <c r="F433" s="3">
        <v>7.17</v>
      </c>
      <c r="G433" s="3">
        <v>-4.21</v>
      </c>
      <c r="H433" s="3">
        <v>0</v>
      </c>
      <c r="I433" s="3">
        <v>7.15</v>
      </c>
      <c r="J433" s="3">
        <v>12.19</v>
      </c>
    </row>
    <row r="434" spans="1:10" ht="14.4" x14ac:dyDescent="0.3">
      <c r="A434" s="3"/>
      <c r="E434" s="3">
        <v>351.98</v>
      </c>
      <c r="F434" s="3">
        <v>-1.0900000000000001</v>
      </c>
      <c r="G434" s="3">
        <v>23.83</v>
      </c>
      <c r="H434" s="3">
        <v>0</v>
      </c>
      <c r="I434" s="3">
        <v>-40.520000000000003</v>
      </c>
      <c r="J434" s="3">
        <v>-1.86</v>
      </c>
    </row>
    <row r="435" spans="1:10" ht="14.4" x14ac:dyDescent="0.3">
      <c r="A435" s="3"/>
      <c r="E435" s="3">
        <v>1039.3599999999999</v>
      </c>
      <c r="F435" s="3">
        <v>14.94</v>
      </c>
      <c r="G435" s="3">
        <v>-46.98</v>
      </c>
      <c r="H435" s="3">
        <v>0</v>
      </c>
      <c r="I435" s="3">
        <v>79.86</v>
      </c>
      <c r="J435" s="3">
        <v>25.4</v>
      </c>
    </row>
    <row r="436" spans="1:10" ht="14.4" x14ac:dyDescent="0.3">
      <c r="A436" s="3"/>
      <c r="E436" s="3">
        <v>868.3</v>
      </c>
      <c r="F436" s="3">
        <v>14.56</v>
      </c>
      <c r="G436" s="3">
        <v>-26.64</v>
      </c>
      <c r="H436" s="3">
        <v>0</v>
      </c>
      <c r="I436" s="3">
        <v>45.28</v>
      </c>
      <c r="J436" s="3">
        <v>24.76</v>
      </c>
    </row>
    <row r="437" spans="1:10" ht="14.4" x14ac:dyDescent="0.3">
      <c r="A437" s="3"/>
      <c r="E437" s="3">
        <v>523.04</v>
      </c>
      <c r="F437" s="3">
        <v>-0.71</v>
      </c>
      <c r="G437" s="3">
        <v>3.49</v>
      </c>
      <c r="H437" s="3">
        <v>0</v>
      </c>
      <c r="I437" s="3">
        <v>-5.93</v>
      </c>
      <c r="J437" s="3">
        <v>-1.21</v>
      </c>
    </row>
    <row r="438" spans="1:10" ht="14.4" x14ac:dyDescent="0.3">
      <c r="A438" s="3"/>
      <c r="E438" s="3">
        <v>351.98</v>
      </c>
      <c r="F438" s="3">
        <v>-1.0900000000000001</v>
      </c>
      <c r="G438" s="3">
        <v>23.83</v>
      </c>
      <c r="H438" s="3">
        <v>0</v>
      </c>
      <c r="I438" s="3">
        <v>-40.520000000000003</v>
      </c>
      <c r="J438" s="3">
        <v>-1.86</v>
      </c>
    </row>
    <row r="439" spans="1:10" ht="14.4" x14ac:dyDescent="0.3">
      <c r="A439" s="3"/>
      <c r="E439" s="3">
        <v>1039.3599999999999</v>
      </c>
      <c r="F439" s="3">
        <v>14.94</v>
      </c>
      <c r="G439" s="3">
        <v>-46.98</v>
      </c>
      <c r="H439" s="3">
        <v>0</v>
      </c>
      <c r="I439" s="3">
        <v>79.86</v>
      </c>
      <c r="J439" s="3">
        <v>25.4</v>
      </c>
    </row>
    <row r="440" spans="1:10" ht="14.4" x14ac:dyDescent="0.3">
      <c r="A440" s="3"/>
      <c r="E440" s="3">
        <v>868.3</v>
      </c>
      <c r="F440" s="3">
        <v>14.56</v>
      </c>
      <c r="G440" s="3">
        <v>-26.64</v>
      </c>
      <c r="H440" s="3">
        <v>0</v>
      </c>
      <c r="I440" s="3">
        <v>45.28</v>
      </c>
      <c r="J440" s="3">
        <v>24.76</v>
      </c>
    </row>
    <row r="441" spans="1:10" ht="14.4" x14ac:dyDescent="0.3">
      <c r="A441" s="3"/>
      <c r="E441" s="3">
        <v>523.04</v>
      </c>
      <c r="F441" s="3">
        <v>-0.71</v>
      </c>
      <c r="G441" s="3">
        <v>3.49</v>
      </c>
      <c r="H441" s="3">
        <v>0</v>
      </c>
      <c r="I441" s="3">
        <v>-5.93</v>
      </c>
      <c r="J441" s="3">
        <v>-1.21</v>
      </c>
    </row>
    <row r="442" spans="1:10" ht="14.4" x14ac:dyDescent="0.3">
      <c r="A442" s="3"/>
      <c r="E442" s="3">
        <v>134.41</v>
      </c>
      <c r="F442" s="3">
        <v>-3.82</v>
      </c>
      <c r="G442" s="3">
        <v>26.04</v>
      </c>
      <c r="H442" s="3">
        <v>0</v>
      </c>
      <c r="I442" s="3">
        <v>-44.26</v>
      </c>
      <c r="J442" s="3">
        <v>-6.5</v>
      </c>
    </row>
    <row r="443" spans="1:10" ht="14.4" x14ac:dyDescent="0.3">
      <c r="A443" s="3"/>
      <c r="E443" s="3">
        <v>821.79</v>
      </c>
      <c r="F443" s="3">
        <v>12.21</v>
      </c>
      <c r="G443" s="3">
        <v>-44.78</v>
      </c>
      <c r="H443" s="3">
        <v>0</v>
      </c>
      <c r="I443" s="3">
        <v>76.12</v>
      </c>
      <c r="J443" s="3">
        <v>20.75</v>
      </c>
    </row>
    <row r="444" spans="1:10" ht="14.4" x14ac:dyDescent="0.3">
      <c r="A444" s="3"/>
      <c r="E444" s="3">
        <v>650.73</v>
      </c>
      <c r="F444" s="3">
        <v>11.83</v>
      </c>
      <c r="G444" s="3">
        <v>-24.43</v>
      </c>
      <c r="H444" s="3">
        <v>0</v>
      </c>
      <c r="I444" s="3">
        <v>41.54</v>
      </c>
      <c r="J444" s="3">
        <v>20.11</v>
      </c>
    </row>
    <row r="445" spans="1:10" ht="14.4" x14ac:dyDescent="0.3">
      <c r="A445" s="3"/>
      <c r="E445" s="3">
        <v>305.47000000000003</v>
      </c>
      <c r="F445" s="3">
        <v>-3.45</v>
      </c>
      <c r="G445" s="3">
        <v>5.69</v>
      </c>
      <c r="H445" s="3">
        <v>0</v>
      </c>
      <c r="I445" s="3">
        <v>-9.68</v>
      </c>
      <c r="J445" s="3">
        <v>-5.86</v>
      </c>
    </row>
    <row r="446" spans="1:10" ht="14.4" x14ac:dyDescent="0.3">
      <c r="A446" s="3"/>
      <c r="E446" s="3">
        <v>134.41</v>
      </c>
      <c r="F446" s="3">
        <v>-3.82</v>
      </c>
      <c r="G446" s="3">
        <v>26.04</v>
      </c>
      <c r="H446" s="3">
        <v>0</v>
      </c>
      <c r="I446" s="3">
        <v>-44.26</v>
      </c>
      <c r="J446" s="3">
        <v>-6.5</v>
      </c>
    </row>
    <row r="447" spans="1:10" ht="14.4" x14ac:dyDescent="0.3">
      <c r="A447" s="3"/>
      <c r="E447" s="3">
        <v>821.79</v>
      </c>
      <c r="F447" s="3">
        <v>12.21</v>
      </c>
      <c r="G447" s="3">
        <v>-44.78</v>
      </c>
      <c r="H447" s="3">
        <v>0</v>
      </c>
      <c r="I447" s="3">
        <v>76.12</v>
      </c>
      <c r="J447" s="3">
        <v>20.75</v>
      </c>
    </row>
    <row r="448" spans="1:10" ht="14.4" x14ac:dyDescent="0.3">
      <c r="A448" s="3"/>
      <c r="E448" s="3">
        <v>650.73</v>
      </c>
      <c r="F448" s="3">
        <v>11.83</v>
      </c>
      <c r="G448" s="3">
        <v>-24.43</v>
      </c>
      <c r="H448" s="3">
        <v>0</v>
      </c>
      <c r="I448" s="3">
        <v>41.54</v>
      </c>
      <c r="J448" s="3">
        <v>20.11</v>
      </c>
    </row>
    <row r="449" spans="1:10" ht="14.4" x14ac:dyDescent="0.3">
      <c r="A449" s="3"/>
      <c r="E449" s="3">
        <v>305.47000000000003</v>
      </c>
      <c r="F449" s="3">
        <v>-3.45</v>
      </c>
      <c r="G449" s="3">
        <v>5.69</v>
      </c>
      <c r="H449" s="3">
        <v>0</v>
      </c>
      <c r="I449" s="3">
        <v>-9.68</v>
      </c>
      <c r="J449" s="3">
        <v>-5.86</v>
      </c>
    </row>
    <row r="450" spans="1:10" ht="14.4" x14ac:dyDescent="0.3">
      <c r="A450" s="3"/>
      <c r="E450" s="3">
        <v>757.2</v>
      </c>
      <c r="F450" s="3">
        <v>6.52</v>
      </c>
      <c r="G450" s="3">
        <v>-14.58</v>
      </c>
      <c r="H450" s="3">
        <v>0</v>
      </c>
      <c r="I450" s="3">
        <v>0</v>
      </c>
      <c r="J450" s="3">
        <v>0</v>
      </c>
    </row>
    <row r="451" spans="1:10" ht="14.4" x14ac:dyDescent="0.3">
      <c r="A451" s="3"/>
      <c r="E451" s="3">
        <v>748.79</v>
      </c>
      <c r="F451" s="3">
        <v>8.11</v>
      </c>
      <c r="G451" s="3">
        <v>-10.95</v>
      </c>
      <c r="H451" s="3">
        <v>0</v>
      </c>
      <c r="I451" s="3">
        <v>0</v>
      </c>
      <c r="J451" s="3">
        <v>0</v>
      </c>
    </row>
    <row r="452" spans="1:10" ht="14.4" x14ac:dyDescent="0.3">
      <c r="A452" s="3"/>
      <c r="E452" s="3">
        <v>874.21</v>
      </c>
      <c r="F452" s="3">
        <v>9.76</v>
      </c>
      <c r="G452" s="3">
        <v>-11.7</v>
      </c>
      <c r="H452" s="3">
        <v>0</v>
      </c>
      <c r="I452" s="3">
        <v>0</v>
      </c>
      <c r="J452" s="3">
        <v>0</v>
      </c>
    </row>
    <row r="453" spans="1:10" ht="14.4" x14ac:dyDescent="0.3">
      <c r="A453" s="3"/>
      <c r="E453" s="3">
        <v>710.1</v>
      </c>
      <c r="F453" s="3">
        <v>6.91</v>
      </c>
      <c r="G453" s="3">
        <v>-11.6</v>
      </c>
      <c r="H453" s="3">
        <v>0</v>
      </c>
      <c r="I453" s="3">
        <v>0</v>
      </c>
      <c r="J453" s="3">
        <v>0</v>
      </c>
    </row>
    <row r="454" spans="1:10" ht="14.4" x14ac:dyDescent="0.3">
      <c r="A454" s="3"/>
      <c r="E454" s="3">
        <v>1111.45</v>
      </c>
      <c r="F454" s="3">
        <v>12.18</v>
      </c>
      <c r="G454" s="3">
        <v>-13.97</v>
      </c>
      <c r="H454" s="3">
        <v>0</v>
      </c>
      <c r="I454" s="3">
        <v>0</v>
      </c>
      <c r="J454" s="3">
        <v>0</v>
      </c>
    </row>
    <row r="455" spans="1:10" ht="14.4" x14ac:dyDescent="0.3">
      <c r="A455" s="3"/>
      <c r="E455" s="3">
        <v>649.30999999999995</v>
      </c>
      <c r="F455" s="3">
        <v>5.61</v>
      </c>
      <c r="G455" s="3">
        <v>-11.89</v>
      </c>
      <c r="H455" s="3">
        <v>0</v>
      </c>
      <c r="I455" s="3">
        <v>0</v>
      </c>
      <c r="J455" s="3">
        <v>0</v>
      </c>
    </row>
    <row r="456" spans="1:10" ht="14.4" x14ac:dyDescent="0.3">
      <c r="A456" s="3"/>
      <c r="E456" s="3">
        <v>659.28</v>
      </c>
      <c r="F456" s="3">
        <v>5.81</v>
      </c>
      <c r="G456" s="3">
        <v>-12.27</v>
      </c>
      <c r="H456" s="3">
        <v>0</v>
      </c>
      <c r="I456" s="3">
        <v>0</v>
      </c>
      <c r="J456" s="3">
        <v>0</v>
      </c>
    </row>
    <row r="457" spans="1:10" ht="14.4" x14ac:dyDescent="0.3">
      <c r="A457" s="3"/>
      <c r="E457" s="3">
        <v>656.4</v>
      </c>
      <c r="F457" s="3">
        <v>5.68</v>
      </c>
      <c r="G457" s="3">
        <v>-12.97</v>
      </c>
      <c r="H457" s="3">
        <v>0</v>
      </c>
      <c r="I457" s="3">
        <v>0</v>
      </c>
      <c r="J457" s="3">
        <v>0</v>
      </c>
    </row>
    <row r="458" spans="1:10" ht="14.4" x14ac:dyDescent="0.3">
      <c r="A458" s="3"/>
      <c r="E458" s="3">
        <v>650.20000000000005</v>
      </c>
      <c r="F458" s="3">
        <v>5.55</v>
      </c>
      <c r="G458" s="3">
        <v>-12.71</v>
      </c>
      <c r="H458" s="3">
        <v>0</v>
      </c>
      <c r="I458" s="3">
        <v>0</v>
      </c>
      <c r="J458" s="3">
        <v>0</v>
      </c>
    </row>
    <row r="459" spans="1:10" ht="14.4" x14ac:dyDescent="0.3">
      <c r="A459" s="3"/>
      <c r="E459" s="3">
        <v>655.37</v>
      </c>
      <c r="F459" s="3">
        <v>5.7</v>
      </c>
      <c r="G459" s="3">
        <v>-13.09</v>
      </c>
      <c r="H459" s="3">
        <v>0</v>
      </c>
      <c r="I459" s="3">
        <v>0</v>
      </c>
      <c r="J459" s="3">
        <v>0</v>
      </c>
    </row>
    <row r="460" spans="1:10" ht="14.4" x14ac:dyDescent="0.3">
      <c r="A460" s="3"/>
      <c r="E460" s="3">
        <v>649.70000000000005</v>
      </c>
      <c r="F460" s="3">
        <v>5.48</v>
      </c>
      <c r="G460" s="3">
        <v>-12.8</v>
      </c>
      <c r="H460" s="3">
        <v>0</v>
      </c>
      <c r="I460" s="3">
        <v>0</v>
      </c>
      <c r="J460" s="3">
        <v>0</v>
      </c>
    </row>
    <row r="461" spans="1:10" ht="14.4" x14ac:dyDescent="0.3">
      <c r="A461" s="3"/>
      <c r="E461" s="3">
        <v>644.58000000000004</v>
      </c>
      <c r="F461" s="3">
        <v>5.41</v>
      </c>
      <c r="G461" s="3">
        <v>-12.13</v>
      </c>
      <c r="H461" s="3">
        <v>0</v>
      </c>
      <c r="I461" s="3">
        <v>0</v>
      </c>
      <c r="J461" s="3">
        <v>0</v>
      </c>
    </row>
    <row r="462" spans="1:10" ht="14.4" x14ac:dyDescent="0.3">
      <c r="A462" s="3"/>
      <c r="E462" s="3">
        <v>644.4</v>
      </c>
      <c r="F462" s="3">
        <v>5.29</v>
      </c>
      <c r="G462" s="3">
        <v>-12.84</v>
      </c>
      <c r="H462" s="3">
        <v>0</v>
      </c>
      <c r="I462" s="3">
        <v>0</v>
      </c>
      <c r="J462" s="3">
        <v>0</v>
      </c>
    </row>
    <row r="463" spans="1:10" ht="14.4" x14ac:dyDescent="0.3">
      <c r="A463" s="3"/>
      <c r="E463" s="3">
        <v>654.48</v>
      </c>
      <c r="F463" s="3">
        <v>5.54</v>
      </c>
      <c r="G463" s="3">
        <v>-13.15</v>
      </c>
      <c r="H463" s="3">
        <v>0</v>
      </c>
      <c r="I463" s="3">
        <v>0</v>
      </c>
      <c r="J463" s="3">
        <v>0</v>
      </c>
    </row>
    <row r="464" spans="1:10" ht="14.4" x14ac:dyDescent="0.3">
      <c r="A464" s="3"/>
      <c r="E464" s="3">
        <v>644.51</v>
      </c>
      <c r="F464" s="3">
        <v>5.34</v>
      </c>
      <c r="G464" s="3">
        <v>-12.77</v>
      </c>
      <c r="H464" s="3">
        <v>0</v>
      </c>
      <c r="I464" s="3">
        <v>0</v>
      </c>
      <c r="J464" s="3">
        <v>0</v>
      </c>
    </row>
    <row r="465" spans="1:10" ht="14.4" x14ac:dyDescent="0.3">
      <c r="A465" s="3"/>
      <c r="E465" s="3">
        <v>647.39</v>
      </c>
      <c r="F465" s="3">
        <v>5.47</v>
      </c>
      <c r="G465" s="3">
        <v>-12.07</v>
      </c>
      <c r="H465" s="3">
        <v>0</v>
      </c>
      <c r="I465" s="3">
        <v>0</v>
      </c>
      <c r="J465" s="3">
        <v>0</v>
      </c>
    </row>
    <row r="466" spans="1:10" ht="14.4" x14ac:dyDescent="0.3">
      <c r="A466" s="3"/>
      <c r="E466" s="3">
        <v>653.59</v>
      </c>
      <c r="F466" s="3">
        <v>5.6</v>
      </c>
      <c r="G466" s="3">
        <v>-12.33</v>
      </c>
      <c r="H466" s="3">
        <v>0</v>
      </c>
      <c r="I466" s="3">
        <v>0</v>
      </c>
      <c r="J466" s="3">
        <v>0</v>
      </c>
    </row>
    <row r="467" spans="1:10" ht="14.4" x14ac:dyDescent="0.3">
      <c r="A467" s="3"/>
      <c r="E467" s="3">
        <v>648.41999999999996</v>
      </c>
      <c r="F467" s="3">
        <v>5.45</v>
      </c>
      <c r="G467" s="3">
        <v>-11.95</v>
      </c>
      <c r="H467" s="3">
        <v>0</v>
      </c>
      <c r="I467" s="3">
        <v>0</v>
      </c>
      <c r="J467" s="3">
        <v>0</v>
      </c>
    </row>
    <row r="468" spans="1:10" ht="14.4" x14ac:dyDescent="0.3">
      <c r="A468" s="3"/>
      <c r="E468" s="3">
        <v>654.09</v>
      </c>
      <c r="F468" s="3">
        <v>5.67</v>
      </c>
      <c r="G468" s="3">
        <v>-12.24</v>
      </c>
      <c r="H468" s="3">
        <v>0</v>
      </c>
      <c r="I468" s="3">
        <v>0</v>
      </c>
      <c r="J468" s="3">
        <v>0</v>
      </c>
    </row>
    <row r="469" spans="1:10" ht="14.4" x14ac:dyDescent="0.3">
      <c r="A469" s="3"/>
      <c r="E469" s="3">
        <v>659.21</v>
      </c>
      <c r="F469" s="3">
        <v>5.74</v>
      </c>
      <c r="G469" s="3">
        <v>-12.91</v>
      </c>
      <c r="H469" s="3">
        <v>0</v>
      </c>
      <c r="I469" s="3">
        <v>0</v>
      </c>
      <c r="J469" s="3">
        <v>0</v>
      </c>
    </row>
    <row r="470" spans="1:10" ht="14.4" x14ac:dyDescent="0.3">
      <c r="A470" s="3"/>
      <c r="E470" s="3">
        <v>659.39</v>
      </c>
      <c r="F470" s="3">
        <v>5.86</v>
      </c>
      <c r="G470" s="3">
        <v>-12.2</v>
      </c>
      <c r="H470" s="3">
        <v>0</v>
      </c>
      <c r="I470" s="3">
        <v>0</v>
      </c>
      <c r="J470" s="3">
        <v>0</v>
      </c>
    </row>
    <row r="471" spans="1:10" ht="14.4" x14ac:dyDescent="0.3">
      <c r="A471" s="3"/>
      <c r="E471" s="3">
        <v>1050.67</v>
      </c>
      <c r="F471" s="3">
        <v>10.88</v>
      </c>
      <c r="G471" s="3">
        <v>-14.27</v>
      </c>
      <c r="H471" s="3">
        <v>0</v>
      </c>
      <c r="I471" s="3">
        <v>0</v>
      </c>
      <c r="J471" s="3">
        <v>0</v>
      </c>
    </row>
    <row r="472" spans="1:10" ht="14.4" x14ac:dyDescent="0.3">
      <c r="A472" s="3"/>
      <c r="E472" s="3">
        <v>1060.6400000000001</v>
      </c>
      <c r="F472" s="3">
        <v>11.08</v>
      </c>
      <c r="G472" s="3">
        <v>-14.65</v>
      </c>
      <c r="H472" s="3">
        <v>0</v>
      </c>
      <c r="I472" s="3">
        <v>0</v>
      </c>
      <c r="J472" s="3">
        <v>0</v>
      </c>
    </row>
    <row r="473" spans="1:10" ht="14.4" x14ac:dyDescent="0.3">
      <c r="A473" s="3"/>
      <c r="E473" s="3">
        <v>1057.76</v>
      </c>
      <c r="F473" s="3">
        <v>10.95</v>
      </c>
      <c r="G473" s="3">
        <v>-15.35</v>
      </c>
      <c r="H473" s="3">
        <v>0</v>
      </c>
      <c r="I473" s="3">
        <v>0</v>
      </c>
      <c r="J473" s="3">
        <v>0</v>
      </c>
    </row>
    <row r="474" spans="1:10" ht="14.4" x14ac:dyDescent="0.3">
      <c r="A474" s="3"/>
      <c r="E474" s="3">
        <v>1051.56</v>
      </c>
      <c r="F474" s="3">
        <v>10.82</v>
      </c>
      <c r="G474" s="3">
        <v>-15.09</v>
      </c>
      <c r="H474" s="3">
        <v>0</v>
      </c>
      <c r="I474" s="3">
        <v>0</v>
      </c>
      <c r="J474" s="3">
        <v>0</v>
      </c>
    </row>
    <row r="475" spans="1:10" ht="14.4" x14ac:dyDescent="0.3">
      <c r="A475" s="3"/>
      <c r="E475" s="3">
        <v>1056.73</v>
      </c>
      <c r="F475" s="3">
        <v>10.98</v>
      </c>
      <c r="G475" s="3">
        <v>-15.46</v>
      </c>
      <c r="H475" s="3">
        <v>0</v>
      </c>
      <c r="I475" s="3">
        <v>0</v>
      </c>
      <c r="J475" s="3">
        <v>0</v>
      </c>
    </row>
    <row r="476" spans="1:10" ht="14.4" x14ac:dyDescent="0.3">
      <c r="A476" s="3"/>
      <c r="E476" s="3">
        <v>1051.06</v>
      </c>
      <c r="F476" s="3">
        <v>10.75</v>
      </c>
      <c r="G476" s="3">
        <v>-15.18</v>
      </c>
      <c r="H476" s="3">
        <v>0</v>
      </c>
      <c r="I476" s="3">
        <v>0</v>
      </c>
      <c r="J476" s="3">
        <v>0</v>
      </c>
    </row>
    <row r="477" spans="1:10" ht="14.4" x14ac:dyDescent="0.3">
      <c r="A477" s="3"/>
      <c r="E477" s="3">
        <v>1045.94</v>
      </c>
      <c r="F477" s="3">
        <v>10.68</v>
      </c>
      <c r="G477" s="3">
        <v>-14.5</v>
      </c>
      <c r="H477" s="3">
        <v>0</v>
      </c>
      <c r="I477" s="3">
        <v>0</v>
      </c>
      <c r="J477" s="3">
        <v>0</v>
      </c>
    </row>
    <row r="478" spans="1:10" ht="14.4" x14ac:dyDescent="0.3">
      <c r="A478" s="3"/>
      <c r="E478" s="3">
        <v>1045.76</v>
      </c>
      <c r="F478" s="3">
        <v>10.56</v>
      </c>
      <c r="G478" s="3">
        <v>-15.21</v>
      </c>
      <c r="H478" s="3">
        <v>0</v>
      </c>
      <c r="I478" s="3">
        <v>0</v>
      </c>
      <c r="J478" s="3">
        <v>0</v>
      </c>
    </row>
    <row r="479" spans="1:10" ht="14.4" x14ac:dyDescent="0.3">
      <c r="A479" s="3"/>
      <c r="E479" s="3">
        <v>1055.8399999999999</v>
      </c>
      <c r="F479" s="3">
        <v>10.81</v>
      </c>
      <c r="G479" s="3">
        <v>-15.53</v>
      </c>
      <c r="H479" s="3">
        <v>0</v>
      </c>
      <c r="I479" s="3">
        <v>0</v>
      </c>
      <c r="J479" s="3">
        <v>0</v>
      </c>
    </row>
    <row r="480" spans="1:10" ht="14.4" x14ac:dyDescent="0.3">
      <c r="A480" s="3"/>
      <c r="E480" s="3">
        <v>1045.8599999999999</v>
      </c>
      <c r="F480" s="3">
        <v>10.61</v>
      </c>
      <c r="G480" s="3">
        <v>-15.14</v>
      </c>
      <c r="H480" s="3">
        <v>0</v>
      </c>
      <c r="I480" s="3">
        <v>0</v>
      </c>
      <c r="J480" s="3">
        <v>0</v>
      </c>
    </row>
    <row r="481" spans="1:10" ht="14.4" x14ac:dyDescent="0.3">
      <c r="A481" s="3"/>
      <c r="E481" s="3">
        <v>1048.75</v>
      </c>
      <c r="F481" s="3">
        <v>10.74</v>
      </c>
      <c r="G481" s="3">
        <v>-14.45</v>
      </c>
      <c r="H481" s="3">
        <v>0</v>
      </c>
      <c r="I481" s="3">
        <v>0</v>
      </c>
      <c r="J481" s="3">
        <v>0</v>
      </c>
    </row>
    <row r="482" spans="1:10" ht="14.4" x14ac:dyDescent="0.3">
      <c r="A482" s="3"/>
      <c r="E482" s="3">
        <v>1054.95</v>
      </c>
      <c r="F482" s="3">
        <v>10.87</v>
      </c>
      <c r="G482" s="3">
        <v>-14.71</v>
      </c>
      <c r="H482" s="3">
        <v>0</v>
      </c>
      <c r="I482" s="3">
        <v>0</v>
      </c>
      <c r="J482" s="3">
        <v>0</v>
      </c>
    </row>
    <row r="483" spans="1:10" ht="14.4" x14ac:dyDescent="0.3">
      <c r="A483" s="3"/>
      <c r="E483" s="3">
        <v>1049.78</v>
      </c>
      <c r="F483" s="3">
        <v>10.72</v>
      </c>
      <c r="G483" s="3">
        <v>-14.33</v>
      </c>
      <c r="H483" s="3">
        <v>0</v>
      </c>
      <c r="I483" s="3">
        <v>0</v>
      </c>
      <c r="J483" s="3">
        <v>0</v>
      </c>
    </row>
    <row r="484" spans="1:10" ht="14.4" x14ac:dyDescent="0.3">
      <c r="A484" s="3"/>
      <c r="E484" s="3">
        <v>1055.45</v>
      </c>
      <c r="F484" s="3">
        <v>10.94</v>
      </c>
      <c r="G484" s="3">
        <v>-14.61</v>
      </c>
      <c r="H484" s="3">
        <v>0</v>
      </c>
      <c r="I484" s="3">
        <v>0</v>
      </c>
      <c r="J484" s="3">
        <v>0</v>
      </c>
    </row>
    <row r="485" spans="1:10" ht="14.4" x14ac:dyDescent="0.3">
      <c r="A485" s="3"/>
      <c r="E485" s="3">
        <v>1060.57</v>
      </c>
      <c r="F485" s="3">
        <v>11.01</v>
      </c>
      <c r="G485" s="3">
        <v>-15.29</v>
      </c>
      <c r="H485" s="3">
        <v>0</v>
      </c>
      <c r="I485" s="3">
        <v>0</v>
      </c>
      <c r="J485" s="3">
        <v>0</v>
      </c>
    </row>
    <row r="486" spans="1:10" ht="14.4" x14ac:dyDescent="0.3">
      <c r="A486" s="3"/>
      <c r="E486" s="3">
        <v>1060.75</v>
      </c>
      <c r="F486" s="3">
        <v>11.13</v>
      </c>
      <c r="G486" s="3">
        <v>-14.58</v>
      </c>
      <c r="H486" s="3">
        <v>0</v>
      </c>
      <c r="I486" s="3">
        <v>0</v>
      </c>
      <c r="J486" s="3">
        <v>0</v>
      </c>
    </row>
    <row r="487" spans="1:10" ht="14.4" x14ac:dyDescent="0.3">
      <c r="A487" s="3"/>
      <c r="E487" s="3">
        <v>702.96</v>
      </c>
      <c r="F487" s="3">
        <v>6.99</v>
      </c>
      <c r="G487" s="3">
        <v>-10.32</v>
      </c>
      <c r="H487" s="3">
        <v>0</v>
      </c>
      <c r="I487" s="3">
        <v>0</v>
      </c>
      <c r="J487" s="3">
        <v>0</v>
      </c>
    </row>
    <row r="488" spans="1:10" ht="14.4" x14ac:dyDescent="0.3">
      <c r="A488" s="3"/>
      <c r="E488" s="3">
        <v>722.9</v>
      </c>
      <c r="F488" s="3">
        <v>7.39</v>
      </c>
      <c r="G488" s="3">
        <v>-11.08</v>
      </c>
      <c r="H488" s="3">
        <v>0</v>
      </c>
      <c r="I488" s="3">
        <v>0</v>
      </c>
      <c r="J488" s="3">
        <v>0</v>
      </c>
    </row>
    <row r="489" spans="1:10" ht="14.4" x14ac:dyDescent="0.3">
      <c r="A489" s="3"/>
      <c r="E489" s="3">
        <v>717.13</v>
      </c>
      <c r="F489" s="3">
        <v>7.13</v>
      </c>
      <c r="G489" s="3">
        <v>-12.48</v>
      </c>
      <c r="H489" s="3">
        <v>0</v>
      </c>
      <c r="I489" s="3">
        <v>0</v>
      </c>
      <c r="J489" s="3">
        <v>0</v>
      </c>
    </row>
    <row r="490" spans="1:10" ht="14.4" x14ac:dyDescent="0.3">
      <c r="A490" s="3"/>
      <c r="E490" s="3">
        <v>704.74</v>
      </c>
      <c r="F490" s="3">
        <v>6.87</v>
      </c>
      <c r="G490" s="3">
        <v>-11.96</v>
      </c>
      <c r="H490" s="3">
        <v>0</v>
      </c>
      <c r="I490" s="3">
        <v>0</v>
      </c>
      <c r="J490" s="3">
        <v>0</v>
      </c>
    </row>
    <row r="491" spans="1:10" ht="14.4" x14ac:dyDescent="0.3">
      <c r="A491" s="3"/>
      <c r="E491" s="3">
        <v>715.07</v>
      </c>
      <c r="F491" s="3">
        <v>7.18</v>
      </c>
      <c r="G491" s="3">
        <v>-12.72</v>
      </c>
      <c r="H491" s="3">
        <v>0</v>
      </c>
      <c r="I491" s="3">
        <v>0</v>
      </c>
      <c r="J491" s="3">
        <v>0</v>
      </c>
    </row>
    <row r="492" spans="1:10" ht="14.4" x14ac:dyDescent="0.3">
      <c r="A492" s="3"/>
      <c r="E492" s="3">
        <v>703.73</v>
      </c>
      <c r="F492" s="3">
        <v>6.73</v>
      </c>
      <c r="G492" s="3">
        <v>-12.15</v>
      </c>
      <c r="H492" s="3">
        <v>0</v>
      </c>
      <c r="I492" s="3">
        <v>0</v>
      </c>
      <c r="J492" s="3">
        <v>0</v>
      </c>
    </row>
    <row r="493" spans="1:10" ht="14.4" x14ac:dyDescent="0.3">
      <c r="A493" s="3"/>
      <c r="E493" s="3">
        <v>693.5</v>
      </c>
      <c r="F493" s="3">
        <v>6.59</v>
      </c>
      <c r="G493" s="3">
        <v>-10.8</v>
      </c>
      <c r="H493" s="3">
        <v>0</v>
      </c>
      <c r="I493" s="3">
        <v>0</v>
      </c>
      <c r="J493" s="3">
        <v>0</v>
      </c>
    </row>
    <row r="494" spans="1:10" ht="14.4" x14ac:dyDescent="0.3">
      <c r="A494" s="3"/>
      <c r="E494" s="3">
        <v>693.13</v>
      </c>
      <c r="F494" s="3">
        <v>6.36</v>
      </c>
      <c r="G494" s="3">
        <v>-12.21</v>
      </c>
      <c r="H494" s="3">
        <v>0</v>
      </c>
      <c r="I494" s="3">
        <v>0</v>
      </c>
      <c r="J494" s="3">
        <v>0</v>
      </c>
    </row>
    <row r="495" spans="1:10" ht="14.4" x14ac:dyDescent="0.3">
      <c r="A495" s="3"/>
      <c r="E495" s="3">
        <v>713.29</v>
      </c>
      <c r="F495" s="3">
        <v>6.85</v>
      </c>
      <c r="G495" s="3">
        <v>-12.84</v>
      </c>
      <c r="H495" s="3">
        <v>0</v>
      </c>
      <c r="I495" s="3">
        <v>0</v>
      </c>
      <c r="J495" s="3">
        <v>0</v>
      </c>
    </row>
    <row r="496" spans="1:10" ht="14.4" x14ac:dyDescent="0.3">
      <c r="A496" s="3"/>
      <c r="E496" s="3">
        <v>693.35</v>
      </c>
      <c r="F496" s="3">
        <v>6.45</v>
      </c>
      <c r="G496" s="3">
        <v>-12.08</v>
      </c>
      <c r="H496" s="3">
        <v>0</v>
      </c>
      <c r="I496" s="3">
        <v>0</v>
      </c>
      <c r="J496" s="3">
        <v>0</v>
      </c>
    </row>
    <row r="497" spans="1:10" ht="14.4" x14ac:dyDescent="0.3">
      <c r="A497" s="3"/>
      <c r="E497" s="3">
        <v>699.12</v>
      </c>
      <c r="F497" s="3">
        <v>6.71</v>
      </c>
      <c r="G497" s="3">
        <v>-10.68</v>
      </c>
      <c r="H497" s="3">
        <v>0</v>
      </c>
      <c r="I497" s="3">
        <v>0</v>
      </c>
      <c r="J497" s="3">
        <v>0</v>
      </c>
    </row>
    <row r="498" spans="1:10" ht="14.4" x14ac:dyDescent="0.3">
      <c r="A498" s="3"/>
      <c r="E498" s="3">
        <v>711.51</v>
      </c>
      <c r="F498" s="3">
        <v>6.97</v>
      </c>
      <c r="G498" s="3">
        <v>-11.2</v>
      </c>
      <c r="H498" s="3">
        <v>0</v>
      </c>
      <c r="I498" s="3">
        <v>0</v>
      </c>
      <c r="J498" s="3">
        <v>0</v>
      </c>
    </row>
    <row r="499" spans="1:10" ht="14.4" x14ac:dyDescent="0.3">
      <c r="A499" s="3"/>
      <c r="E499" s="3">
        <v>701.18</v>
      </c>
      <c r="F499" s="3">
        <v>6.66</v>
      </c>
      <c r="G499" s="3">
        <v>-10.45</v>
      </c>
      <c r="H499" s="3">
        <v>0</v>
      </c>
      <c r="I499" s="3">
        <v>0</v>
      </c>
      <c r="J499" s="3">
        <v>0</v>
      </c>
    </row>
    <row r="500" spans="1:10" ht="14.4" x14ac:dyDescent="0.3">
      <c r="A500" s="3"/>
      <c r="E500" s="3">
        <v>712.51</v>
      </c>
      <c r="F500" s="3">
        <v>7.1</v>
      </c>
      <c r="G500" s="3">
        <v>-11.01</v>
      </c>
      <c r="H500" s="3">
        <v>0</v>
      </c>
      <c r="I500" s="3">
        <v>0</v>
      </c>
      <c r="J500" s="3">
        <v>0</v>
      </c>
    </row>
    <row r="501" spans="1:10" ht="14.4" x14ac:dyDescent="0.3">
      <c r="A501" s="3"/>
      <c r="E501" s="3">
        <v>722.75</v>
      </c>
      <c r="F501" s="3">
        <v>7.25</v>
      </c>
      <c r="G501" s="3">
        <v>-12.36</v>
      </c>
      <c r="H501" s="3">
        <v>0</v>
      </c>
      <c r="I501" s="3">
        <v>0</v>
      </c>
      <c r="J501" s="3">
        <v>0</v>
      </c>
    </row>
    <row r="502" spans="1:10" ht="14.4" x14ac:dyDescent="0.3">
      <c r="A502" s="3"/>
      <c r="E502" s="3">
        <v>686.97</v>
      </c>
      <c r="F502" s="3">
        <v>7.41</v>
      </c>
      <c r="G502" s="3">
        <v>-9.26</v>
      </c>
      <c r="H502" s="3">
        <v>0</v>
      </c>
      <c r="I502" s="3">
        <v>0</v>
      </c>
      <c r="J502" s="3">
        <v>0</v>
      </c>
    </row>
    <row r="503" spans="1:10" ht="14.4" x14ac:dyDescent="0.3">
      <c r="A503" s="3"/>
      <c r="E503" s="3">
        <v>702.96</v>
      </c>
      <c r="F503" s="3">
        <v>6.99</v>
      </c>
      <c r="G503" s="3">
        <v>-10.32</v>
      </c>
      <c r="H503" s="3">
        <v>0</v>
      </c>
      <c r="I503" s="3">
        <v>0</v>
      </c>
      <c r="J503" s="3">
        <v>0</v>
      </c>
    </row>
    <row r="504" spans="1:10" ht="14.4" x14ac:dyDescent="0.3">
      <c r="A504" s="3"/>
      <c r="E504" s="3">
        <v>722.9</v>
      </c>
      <c r="F504" s="3">
        <v>7.39</v>
      </c>
      <c r="G504" s="3">
        <v>-11.08</v>
      </c>
      <c r="H504" s="3">
        <v>0</v>
      </c>
      <c r="I504" s="3">
        <v>0</v>
      </c>
      <c r="J504" s="3">
        <v>0</v>
      </c>
    </row>
    <row r="505" spans="1:10" ht="14.4" x14ac:dyDescent="0.3">
      <c r="A505" s="3"/>
      <c r="E505" s="3">
        <v>717.13</v>
      </c>
      <c r="F505" s="3">
        <v>7.13</v>
      </c>
      <c r="G505" s="3">
        <v>-12.48</v>
      </c>
      <c r="H505" s="3">
        <v>0</v>
      </c>
      <c r="I505" s="3">
        <v>0</v>
      </c>
      <c r="J505" s="3">
        <v>0</v>
      </c>
    </row>
    <row r="506" spans="1:10" ht="14.4" x14ac:dyDescent="0.3">
      <c r="A506" s="3"/>
      <c r="E506" s="3">
        <v>704.74</v>
      </c>
      <c r="F506" s="3">
        <v>6.87</v>
      </c>
      <c r="G506" s="3">
        <v>-11.96</v>
      </c>
      <c r="H506" s="3">
        <v>0</v>
      </c>
      <c r="I506" s="3">
        <v>0</v>
      </c>
      <c r="J506" s="3">
        <v>0</v>
      </c>
    </row>
    <row r="507" spans="1:10" ht="14.4" x14ac:dyDescent="0.3">
      <c r="A507" s="3"/>
      <c r="E507" s="3">
        <v>715.07</v>
      </c>
      <c r="F507" s="3">
        <v>7.18</v>
      </c>
      <c r="G507" s="3">
        <v>-12.72</v>
      </c>
      <c r="H507" s="3">
        <v>0</v>
      </c>
      <c r="I507" s="3">
        <v>0</v>
      </c>
      <c r="J507" s="3">
        <v>0</v>
      </c>
    </row>
    <row r="508" spans="1:10" ht="14.4" x14ac:dyDescent="0.3">
      <c r="A508" s="3"/>
      <c r="E508" s="3">
        <v>703.73</v>
      </c>
      <c r="F508" s="3">
        <v>6.73</v>
      </c>
      <c r="G508" s="3">
        <v>-12.15</v>
      </c>
      <c r="H508" s="3">
        <v>0</v>
      </c>
      <c r="I508" s="3">
        <v>0</v>
      </c>
      <c r="J508" s="3">
        <v>0</v>
      </c>
    </row>
    <row r="509" spans="1:10" ht="14.4" x14ac:dyDescent="0.3">
      <c r="A509" s="3"/>
      <c r="E509" s="3">
        <v>693.5</v>
      </c>
      <c r="F509" s="3">
        <v>6.59</v>
      </c>
      <c r="G509" s="3">
        <v>-10.8</v>
      </c>
      <c r="H509" s="3">
        <v>0</v>
      </c>
      <c r="I509" s="3">
        <v>0</v>
      </c>
      <c r="J509" s="3">
        <v>0</v>
      </c>
    </row>
    <row r="510" spans="1:10" ht="14.4" x14ac:dyDescent="0.3">
      <c r="A510" s="3"/>
      <c r="E510" s="3">
        <v>693.13</v>
      </c>
      <c r="F510" s="3">
        <v>6.36</v>
      </c>
      <c r="G510" s="3">
        <v>-12.21</v>
      </c>
      <c r="H510" s="3">
        <v>0</v>
      </c>
      <c r="I510" s="3">
        <v>0</v>
      </c>
      <c r="J510" s="3">
        <v>0</v>
      </c>
    </row>
    <row r="511" spans="1:10" ht="14.4" x14ac:dyDescent="0.3">
      <c r="A511" s="3"/>
      <c r="E511" s="3">
        <v>713.29</v>
      </c>
      <c r="F511" s="3">
        <v>6.85</v>
      </c>
      <c r="G511" s="3">
        <v>-12.84</v>
      </c>
      <c r="H511" s="3">
        <v>0</v>
      </c>
      <c r="I511" s="3">
        <v>0</v>
      </c>
      <c r="J511" s="3">
        <v>0</v>
      </c>
    </row>
    <row r="512" spans="1:10" ht="14.4" x14ac:dyDescent="0.3">
      <c r="A512" s="3"/>
      <c r="E512" s="3">
        <v>693.35</v>
      </c>
      <c r="F512" s="3">
        <v>6.45</v>
      </c>
      <c r="G512" s="3">
        <v>-12.08</v>
      </c>
      <c r="H512" s="3">
        <v>0</v>
      </c>
      <c r="I512" s="3">
        <v>0</v>
      </c>
      <c r="J512" s="3">
        <v>0</v>
      </c>
    </row>
    <row r="513" spans="1:10" ht="14.4" x14ac:dyDescent="0.3">
      <c r="A513" s="3"/>
      <c r="E513" s="3">
        <v>699.12</v>
      </c>
      <c r="F513" s="3">
        <v>6.71</v>
      </c>
      <c r="G513" s="3">
        <v>-10.68</v>
      </c>
      <c r="H513" s="3">
        <v>0</v>
      </c>
      <c r="I513" s="3">
        <v>0</v>
      </c>
      <c r="J513" s="3">
        <v>0</v>
      </c>
    </row>
    <row r="514" spans="1:10" ht="14.4" x14ac:dyDescent="0.3">
      <c r="A514" s="3"/>
      <c r="E514" s="3">
        <v>711.51</v>
      </c>
      <c r="F514" s="3">
        <v>6.97</v>
      </c>
      <c r="G514" s="3">
        <v>-11.2</v>
      </c>
      <c r="H514" s="3">
        <v>0</v>
      </c>
      <c r="I514" s="3">
        <v>0</v>
      </c>
      <c r="J514" s="3">
        <v>0</v>
      </c>
    </row>
    <row r="515" spans="1:10" ht="14.4" x14ac:dyDescent="0.3">
      <c r="A515" s="3"/>
      <c r="E515" s="3">
        <v>701.18</v>
      </c>
      <c r="F515" s="3">
        <v>6.66</v>
      </c>
      <c r="G515" s="3">
        <v>-10.45</v>
      </c>
      <c r="H515" s="3">
        <v>0</v>
      </c>
      <c r="I515" s="3">
        <v>0</v>
      </c>
      <c r="J515" s="3">
        <v>0</v>
      </c>
    </row>
    <row r="516" spans="1:10" ht="14.4" x14ac:dyDescent="0.3">
      <c r="A516" s="3"/>
      <c r="E516" s="3">
        <v>712.51</v>
      </c>
      <c r="F516" s="3">
        <v>7.1</v>
      </c>
      <c r="G516" s="3">
        <v>-11.01</v>
      </c>
      <c r="H516" s="3">
        <v>0</v>
      </c>
      <c r="I516" s="3">
        <v>0</v>
      </c>
      <c r="J516" s="3">
        <v>0</v>
      </c>
    </row>
    <row r="517" spans="1:10" ht="14.4" x14ac:dyDescent="0.3">
      <c r="A517" s="3"/>
      <c r="E517" s="3">
        <v>722.75</v>
      </c>
      <c r="F517" s="3">
        <v>7.25</v>
      </c>
      <c r="G517" s="3">
        <v>-12.36</v>
      </c>
      <c r="H517" s="3">
        <v>0</v>
      </c>
      <c r="I517" s="3">
        <v>0</v>
      </c>
      <c r="J517" s="3">
        <v>0</v>
      </c>
    </row>
    <row r="518" spans="1:10" ht="14.4" x14ac:dyDescent="0.3">
      <c r="A518" s="3"/>
      <c r="E518" s="3">
        <v>722.75</v>
      </c>
      <c r="F518" s="3">
        <v>7.25</v>
      </c>
      <c r="G518" s="3">
        <v>-12.36</v>
      </c>
      <c r="H518" s="3">
        <v>0</v>
      </c>
      <c r="I518" s="3">
        <v>0</v>
      </c>
      <c r="J518" s="3">
        <v>0</v>
      </c>
    </row>
    <row r="519" spans="1:10" ht="14.4" x14ac:dyDescent="0.3">
      <c r="A519" s="3"/>
      <c r="E519" s="3">
        <v>481.6</v>
      </c>
      <c r="F519" s="3">
        <v>4.26</v>
      </c>
      <c r="G519" s="3">
        <v>-8.11</v>
      </c>
      <c r="H519" s="3">
        <v>0</v>
      </c>
      <c r="I519" s="3">
        <v>0</v>
      </c>
      <c r="J519" s="3">
        <v>0</v>
      </c>
    </row>
    <row r="520" spans="1:10" ht="14.4" x14ac:dyDescent="0.3">
      <c r="A520" s="3"/>
      <c r="E520" s="3">
        <v>501.55</v>
      </c>
      <c r="F520" s="3">
        <v>4.66</v>
      </c>
      <c r="G520" s="3">
        <v>-8.8800000000000008</v>
      </c>
      <c r="H520" s="3">
        <v>0</v>
      </c>
      <c r="I520" s="3">
        <v>0</v>
      </c>
      <c r="J520" s="3">
        <v>0</v>
      </c>
    </row>
    <row r="521" spans="1:10" ht="14.4" x14ac:dyDescent="0.3">
      <c r="A521" s="3"/>
      <c r="E521" s="3">
        <v>495.78</v>
      </c>
      <c r="F521" s="3">
        <v>4.4000000000000004</v>
      </c>
      <c r="G521" s="3">
        <v>-10.27</v>
      </c>
      <c r="H521" s="3">
        <v>0</v>
      </c>
      <c r="I521" s="3">
        <v>0</v>
      </c>
      <c r="J521" s="3">
        <v>0</v>
      </c>
    </row>
    <row r="522" spans="1:10" ht="14.4" x14ac:dyDescent="0.3">
      <c r="A522" s="3"/>
      <c r="E522" s="3">
        <v>483.38</v>
      </c>
      <c r="F522" s="3">
        <v>4.1399999999999997</v>
      </c>
      <c r="G522" s="3">
        <v>-9.75</v>
      </c>
      <c r="H522" s="3">
        <v>0</v>
      </c>
      <c r="I522" s="3">
        <v>0</v>
      </c>
      <c r="J522" s="3">
        <v>0</v>
      </c>
    </row>
    <row r="523" spans="1:10" ht="14.4" x14ac:dyDescent="0.3">
      <c r="A523" s="3"/>
      <c r="E523" s="3">
        <v>493.72</v>
      </c>
      <c r="F523" s="3">
        <v>4.45</v>
      </c>
      <c r="G523" s="3">
        <v>-10.51</v>
      </c>
      <c r="H523" s="3">
        <v>0</v>
      </c>
      <c r="I523" s="3">
        <v>0</v>
      </c>
      <c r="J523" s="3">
        <v>0</v>
      </c>
    </row>
    <row r="524" spans="1:10" ht="14.4" x14ac:dyDescent="0.3">
      <c r="A524" s="3"/>
      <c r="E524" s="3">
        <v>482.38</v>
      </c>
      <c r="F524" s="3">
        <v>4.01</v>
      </c>
      <c r="G524" s="3">
        <v>-9.94</v>
      </c>
      <c r="H524" s="3">
        <v>0</v>
      </c>
      <c r="I524" s="3">
        <v>0</v>
      </c>
      <c r="J524" s="3">
        <v>0</v>
      </c>
    </row>
    <row r="525" spans="1:10" ht="14.4" x14ac:dyDescent="0.3">
      <c r="A525" s="3"/>
      <c r="E525" s="3">
        <v>472.14</v>
      </c>
      <c r="F525" s="3">
        <v>3.86</v>
      </c>
      <c r="G525" s="3">
        <v>-8.59</v>
      </c>
      <c r="H525" s="3">
        <v>0</v>
      </c>
      <c r="I525" s="3">
        <v>0</v>
      </c>
      <c r="J525" s="3">
        <v>0</v>
      </c>
    </row>
    <row r="526" spans="1:10" ht="14.4" x14ac:dyDescent="0.3">
      <c r="A526" s="3"/>
      <c r="E526" s="3">
        <v>471.77</v>
      </c>
      <c r="F526" s="3">
        <v>3.63</v>
      </c>
      <c r="G526" s="3">
        <v>-10</v>
      </c>
      <c r="H526" s="3">
        <v>0</v>
      </c>
      <c r="I526" s="3">
        <v>0</v>
      </c>
      <c r="J526" s="3">
        <v>0</v>
      </c>
    </row>
    <row r="527" spans="1:10" ht="14.4" x14ac:dyDescent="0.3">
      <c r="A527" s="3"/>
      <c r="E527" s="3">
        <v>491.93</v>
      </c>
      <c r="F527" s="3">
        <v>4.12</v>
      </c>
      <c r="G527" s="3">
        <v>-10.63</v>
      </c>
      <c r="H527" s="3">
        <v>0</v>
      </c>
      <c r="I527" s="3">
        <v>0</v>
      </c>
      <c r="J527" s="3">
        <v>0</v>
      </c>
    </row>
    <row r="528" spans="1:10" ht="14.4" x14ac:dyDescent="0.3">
      <c r="A528" s="3"/>
      <c r="E528" s="3">
        <v>471.99</v>
      </c>
      <c r="F528" s="3">
        <v>3.73</v>
      </c>
      <c r="G528" s="3">
        <v>-9.8699999999999992</v>
      </c>
      <c r="H528" s="3">
        <v>0</v>
      </c>
      <c r="I528" s="3">
        <v>0</v>
      </c>
      <c r="J528" s="3">
        <v>0</v>
      </c>
    </row>
    <row r="529" spans="1:10" ht="14.4" x14ac:dyDescent="0.3">
      <c r="A529" s="3"/>
      <c r="E529" s="3">
        <v>477.76</v>
      </c>
      <c r="F529" s="3">
        <v>3.98</v>
      </c>
      <c r="G529" s="3">
        <v>-8.4700000000000006</v>
      </c>
      <c r="H529" s="3">
        <v>0</v>
      </c>
      <c r="I529" s="3">
        <v>0</v>
      </c>
      <c r="J529" s="3">
        <v>0</v>
      </c>
    </row>
    <row r="530" spans="1:10" ht="14.4" x14ac:dyDescent="0.3">
      <c r="A530" s="3"/>
      <c r="E530" s="3">
        <v>490.16</v>
      </c>
      <c r="F530" s="3">
        <v>4.24</v>
      </c>
      <c r="G530" s="3">
        <v>-8.99</v>
      </c>
      <c r="H530" s="3">
        <v>0</v>
      </c>
      <c r="I530" s="3">
        <v>0</v>
      </c>
      <c r="J530" s="3">
        <v>0</v>
      </c>
    </row>
    <row r="531" spans="1:10" ht="14.4" x14ac:dyDescent="0.3">
      <c r="A531" s="3"/>
      <c r="E531" s="3">
        <v>479.82</v>
      </c>
      <c r="F531" s="3">
        <v>3.94</v>
      </c>
      <c r="G531" s="3">
        <v>-8.24</v>
      </c>
      <c r="H531" s="3">
        <v>0</v>
      </c>
      <c r="I531" s="3">
        <v>0</v>
      </c>
      <c r="J531" s="3">
        <v>0</v>
      </c>
    </row>
    <row r="532" spans="1:10" ht="14.4" x14ac:dyDescent="0.3">
      <c r="A532" s="3"/>
      <c r="E532" s="3">
        <v>491.16</v>
      </c>
      <c r="F532" s="3">
        <v>4.38</v>
      </c>
      <c r="G532" s="3">
        <v>-8.8000000000000007</v>
      </c>
      <c r="H532" s="3">
        <v>0</v>
      </c>
      <c r="I532" s="3">
        <v>0</v>
      </c>
      <c r="J532" s="3">
        <v>0</v>
      </c>
    </row>
    <row r="533" spans="1:10" ht="14.4" x14ac:dyDescent="0.3">
      <c r="A533" s="3"/>
      <c r="E533" s="3">
        <v>501.4</v>
      </c>
      <c r="F533" s="3">
        <v>4.5199999999999996</v>
      </c>
      <c r="G533" s="3">
        <v>-10.15</v>
      </c>
      <c r="H533" s="3">
        <v>0</v>
      </c>
      <c r="I533" s="3">
        <v>0</v>
      </c>
      <c r="J533" s="3">
        <v>0</v>
      </c>
    </row>
    <row r="534" spans="1:10" ht="14.4" x14ac:dyDescent="0.3">
      <c r="A534" s="3"/>
      <c r="E534" s="3">
        <v>501.76</v>
      </c>
      <c r="F534" s="3">
        <v>4.76</v>
      </c>
      <c r="G534" s="3">
        <v>-8.74</v>
      </c>
      <c r="H534" s="3">
        <v>0</v>
      </c>
      <c r="I534" s="3">
        <v>0</v>
      </c>
      <c r="J534" s="3">
        <v>0</v>
      </c>
    </row>
    <row r="535" spans="1:10" ht="14.4" x14ac:dyDescent="0.3">
      <c r="A535" s="3"/>
      <c r="E535" s="3">
        <v>685.39</v>
      </c>
      <c r="F535" s="3">
        <v>5.31</v>
      </c>
      <c r="G535" s="3">
        <v>0.11</v>
      </c>
      <c r="H535" s="3">
        <v>0</v>
      </c>
      <c r="I535" s="3">
        <v>0</v>
      </c>
      <c r="J535" s="3">
        <v>0</v>
      </c>
    </row>
    <row r="536" spans="1:10" ht="14.4" x14ac:dyDescent="0.3">
      <c r="A536" s="3"/>
      <c r="E536" s="3">
        <v>775.92</v>
      </c>
      <c r="F536" s="3">
        <v>10.61</v>
      </c>
      <c r="G536" s="3">
        <v>-27.34</v>
      </c>
      <c r="H536" s="3">
        <v>0</v>
      </c>
      <c r="I536" s="3">
        <v>0</v>
      </c>
      <c r="J536" s="3">
        <v>0</v>
      </c>
    </row>
    <row r="537" spans="1:10" ht="14.4" x14ac:dyDescent="0.3">
      <c r="A537" s="3"/>
      <c r="E537" s="3">
        <v>638.54</v>
      </c>
      <c r="F537" s="3">
        <v>3.24</v>
      </c>
      <c r="G537" s="3">
        <v>4.2</v>
      </c>
      <c r="H537" s="3">
        <v>0</v>
      </c>
      <c r="I537" s="3">
        <v>0</v>
      </c>
      <c r="J537" s="3">
        <v>0</v>
      </c>
    </row>
    <row r="538" spans="1:10" ht="14.4" x14ac:dyDescent="0.3">
      <c r="A538" s="3"/>
      <c r="E538" s="3">
        <v>729.06</v>
      </c>
      <c r="F538" s="3">
        <v>8.5299999999999994</v>
      </c>
      <c r="G538" s="3">
        <v>-23.25</v>
      </c>
      <c r="H538" s="3">
        <v>0</v>
      </c>
      <c r="I538" s="3">
        <v>0</v>
      </c>
      <c r="J538" s="3">
        <v>0</v>
      </c>
    </row>
    <row r="539" spans="1:10" ht="14.4" x14ac:dyDescent="0.3">
      <c r="A539" s="3"/>
      <c r="E539" s="3">
        <v>685.39</v>
      </c>
      <c r="F539" s="3">
        <v>5.31</v>
      </c>
      <c r="G539" s="3">
        <v>0.11</v>
      </c>
      <c r="H539" s="3">
        <v>0</v>
      </c>
      <c r="I539" s="3">
        <v>0</v>
      </c>
      <c r="J539" s="3">
        <v>0</v>
      </c>
    </row>
    <row r="540" spans="1:10" ht="14.4" x14ac:dyDescent="0.3">
      <c r="A540" s="3"/>
      <c r="E540" s="3">
        <v>775.92</v>
      </c>
      <c r="F540" s="3">
        <v>10.61</v>
      </c>
      <c r="G540" s="3">
        <v>-27.34</v>
      </c>
      <c r="H540" s="3">
        <v>0</v>
      </c>
      <c r="I540" s="3">
        <v>0</v>
      </c>
      <c r="J540" s="3">
        <v>0</v>
      </c>
    </row>
    <row r="541" spans="1:10" ht="14.4" x14ac:dyDescent="0.3">
      <c r="A541" s="3"/>
      <c r="E541" s="3">
        <v>638.54</v>
      </c>
      <c r="F541" s="3">
        <v>3.24</v>
      </c>
      <c r="G541" s="3">
        <v>4.2</v>
      </c>
      <c r="H541" s="3">
        <v>0</v>
      </c>
      <c r="I541" s="3">
        <v>0</v>
      </c>
      <c r="J541" s="3">
        <v>0</v>
      </c>
    </row>
    <row r="542" spans="1:10" ht="14.4" x14ac:dyDescent="0.3">
      <c r="A542" s="3"/>
      <c r="E542" s="3">
        <v>729.06</v>
      </c>
      <c r="F542" s="3">
        <v>8.5299999999999994</v>
      </c>
      <c r="G542" s="3">
        <v>-23.25</v>
      </c>
      <c r="H542" s="3">
        <v>0</v>
      </c>
      <c r="I542" s="3">
        <v>0</v>
      </c>
      <c r="J542" s="3">
        <v>0</v>
      </c>
    </row>
    <row r="543" spans="1:10" ht="14.4" x14ac:dyDescent="0.3">
      <c r="A543" s="3"/>
      <c r="E543" s="3">
        <v>845.82</v>
      </c>
      <c r="F543" s="3">
        <v>10.18</v>
      </c>
      <c r="G543" s="3">
        <v>-15.57</v>
      </c>
      <c r="H543" s="3">
        <v>0</v>
      </c>
      <c r="I543" s="3">
        <v>0</v>
      </c>
      <c r="J543" s="3">
        <v>0</v>
      </c>
    </row>
    <row r="544" spans="1:10" ht="14.4" x14ac:dyDescent="0.3">
      <c r="A544" s="3"/>
      <c r="E544" s="3">
        <v>475.34</v>
      </c>
      <c r="F544" s="3">
        <v>1.49</v>
      </c>
      <c r="G544" s="3">
        <v>2.04</v>
      </c>
      <c r="H544" s="3">
        <v>0</v>
      </c>
      <c r="I544" s="3">
        <v>0</v>
      </c>
      <c r="J544" s="3">
        <v>0</v>
      </c>
    </row>
    <row r="545" spans="1:10" ht="14.4" x14ac:dyDescent="0.3">
      <c r="A545" s="3"/>
      <c r="E545" s="3">
        <v>939.11</v>
      </c>
      <c r="F545" s="3">
        <v>12.35</v>
      </c>
      <c r="G545" s="3">
        <v>-25.18</v>
      </c>
      <c r="H545" s="3">
        <v>0</v>
      </c>
      <c r="I545" s="3">
        <v>0</v>
      </c>
      <c r="J545" s="3">
        <v>0</v>
      </c>
    </row>
    <row r="546" spans="1:10" ht="14.4" x14ac:dyDescent="0.3">
      <c r="A546" s="3"/>
      <c r="E546" s="3">
        <v>568.63</v>
      </c>
      <c r="F546" s="3">
        <v>3.67</v>
      </c>
      <c r="G546" s="3">
        <v>-7.57</v>
      </c>
      <c r="H546" s="3">
        <v>0</v>
      </c>
      <c r="I546" s="3">
        <v>0</v>
      </c>
      <c r="J546" s="3">
        <v>0</v>
      </c>
    </row>
    <row r="547" spans="1:10" ht="14.4" x14ac:dyDescent="0.3">
      <c r="A547" s="3"/>
      <c r="E547" s="3">
        <v>845.82</v>
      </c>
      <c r="F547" s="3">
        <v>10.18</v>
      </c>
      <c r="G547" s="3">
        <v>-15.57</v>
      </c>
      <c r="H547" s="3">
        <v>0</v>
      </c>
      <c r="I547" s="3">
        <v>0</v>
      </c>
      <c r="J547" s="3">
        <v>0</v>
      </c>
    </row>
    <row r="548" spans="1:10" ht="14.4" x14ac:dyDescent="0.3">
      <c r="A548" s="3"/>
      <c r="E548" s="3">
        <v>475.34</v>
      </c>
      <c r="F548" s="3">
        <v>1.49</v>
      </c>
      <c r="G548" s="3">
        <v>2.04</v>
      </c>
      <c r="H548" s="3">
        <v>0</v>
      </c>
      <c r="I548" s="3">
        <v>0</v>
      </c>
      <c r="J548" s="3">
        <v>0</v>
      </c>
    </row>
    <row r="549" spans="1:10" ht="14.4" x14ac:dyDescent="0.3">
      <c r="A549" s="3"/>
      <c r="E549" s="3">
        <v>939.11</v>
      </c>
      <c r="F549" s="3">
        <v>12.35</v>
      </c>
      <c r="G549" s="3">
        <v>-25.18</v>
      </c>
      <c r="H549" s="3">
        <v>0</v>
      </c>
      <c r="I549" s="3">
        <v>0</v>
      </c>
      <c r="J549" s="3">
        <v>0</v>
      </c>
    </row>
    <row r="550" spans="1:10" ht="14.4" x14ac:dyDescent="0.3">
      <c r="A550" s="3"/>
      <c r="E550" s="3">
        <v>568.63</v>
      </c>
      <c r="F550" s="3">
        <v>3.67</v>
      </c>
      <c r="G550" s="3">
        <v>-7.57</v>
      </c>
      <c r="H550" s="3">
        <v>0</v>
      </c>
      <c r="I550" s="3">
        <v>0</v>
      </c>
      <c r="J550" s="3">
        <v>0</v>
      </c>
    </row>
    <row r="551" spans="1:10" ht="14.4" x14ac:dyDescent="0.3">
      <c r="A551" s="3"/>
      <c r="E551" s="3">
        <v>990.23</v>
      </c>
      <c r="F551" s="3">
        <v>12.49</v>
      </c>
      <c r="G551" s="3">
        <v>5.31</v>
      </c>
      <c r="H551" s="3">
        <v>0</v>
      </c>
      <c r="I551" s="3">
        <v>0</v>
      </c>
      <c r="J551" s="3">
        <v>0</v>
      </c>
    </row>
    <row r="552" spans="1:10" ht="14.4" x14ac:dyDescent="0.3">
      <c r="A552" s="3"/>
      <c r="E552" s="3">
        <v>476.79</v>
      </c>
      <c r="F552" s="3">
        <v>3.62</v>
      </c>
      <c r="G552" s="3">
        <v>-24.16</v>
      </c>
      <c r="H552" s="3">
        <v>0</v>
      </c>
      <c r="I552" s="3">
        <v>0</v>
      </c>
      <c r="J552" s="3">
        <v>0</v>
      </c>
    </row>
    <row r="553" spans="1:10" ht="14.4" x14ac:dyDescent="0.3">
      <c r="A553" s="3"/>
      <c r="E553" s="3">
        <v>937.67</v>
      </c>
      <c r="F553" s="3">
        <v>10.220000000000001</v>
      </c>
      <c r="G553" s="3">
        <v>1.02</v>
      </c>
      <c r="H553" s="3">
        <v>0</v>
      </c>
      <c r="I553" s="3">
        <v>0</v>
      </c>
      <c r="J553" s="3">
        <v>0</v>
      </c>
    </row>
    <row r="554" spans="1:10" ht="14.4" x14ac:dyDescent="0.3">
      <c r="A554" s="3"/>
      <c r="E554" s="3">
        <v>424.22</v>
      </c>
      <c r="F554" s="3">
        <v>1.35</v>
      </c>
      <c r="G554" s="3">
        <v>-28.46</v>
      </c>
      <c r="H554" s="3">
        <v>0</v>
      </c>
      <c r="I554" s="3">
        <v>0</v>
      </c>
      <c r="J554" s="3">
        <v>0</v>
      </c>
    </row>
    <row r="555" spans="1:10" ht="14.4" x14ac:dyDescent="0.3">
      <c r="A555" s="3"/>
      <c r="E555" s="3">
        <v>947.01</v>
      </c>
      <c r="F555" s="3">
        <v>12.65</v>
      </c>
      <c r="G555" s="3">
        <v>-1.48</v>
      </c>
      <c r="H555" s="3">
        <v>0</v>
      </c>
      <c r="I555" s="3">
        <v>0</v>
      </c>
      <c r="J555" s="3">
        <v>0</v>
      </c>
    </row>
    <row r="556" spans="1:10" ht="14.4" x14ac:dyDescent="0.3">
      <c r="A556" s="3"/>
      <c r="E556" s="3">
        <v>557.76</v>
      </c>
      <c r="F556" s="3">
        <v>3.32</v>
      </c>
      <c r="G556" s="3">
        <v>-11.44</v>
      </c>
      <c r="H556" s="3">
        <v>0</v>
      </c>
      <c r="I556" s="3">
        <v>0</v>
      </c>
      <c r="J556" s="3">
        <v>0</v>
      </c>
    </row>
    <row r="557" spans="1:10" ht="14.4" x14ac:dyDescent="0.3">
      <c r="A557" s="3"/>
      <c r="E557" s="3">
        <v>856.69</v>
      </c>
      <c r="F557" s="3">
        <v>10.52</v>
      </c>
      <c r="G557" s="3">
        <v>-11.71</v>
      </c>
      <c r="H557" s="3">
        <v>0</v>
      </c>
      <c r="I557" s="3">
        <v>0</v>
      </c>
      <c r="J557" s="3">
        <v>0</v>
      </c>
    </row>
    <row r="558" spans="1:10" ht="14.4" x14ac:dyDescent="0.3">
      <c r="A558" s="3"/>
      <c r="E558" s="3">
        <v>467.44</v>
      </c>
      <c r="F558" s="3">
        <v>1.19</v>
      </c>
      <c r="G558" s="3">
        <v>-21.67</v>
      </c>
      <c r="H558" s="3">
        <v>0</v>
      </c>
      <c r="I558" s="3">
        <v>0</v>
      </c>
      <c r="J558" s="3">
        <v>0</v>
      </c>
    </row>
    <row r="559" spans="1:10" ht="14.4" x14ac:dyDescent="0.3">
      <c r="A559" s="3"/>
      <c r="E559" s="3">
        <v>533.96</v>
      </c>
      <c r="F559" s="3">
        <v>4.01</v>
      </c>
      <c r="G559" s="3">
        <v>3.02</v>
      </c>
      <c r="H559" s="3">
        <v>0</v>
      </c>
      <c r="I559" s="3">
        <v>0</v>
      </c>
      <c r="J559" s="3">
        <v>0</v>
      </c>
    </row>
    <row r="560" spans="1:10" ht="14.4" x14ac:dyDescent="0.3">
      <c r="A560" s="3"/>
      <c r="E560" s="3">
        <v>602.84</v>
      </c>
      <c r="F560" s="3">
        <v>9.1199999999999992</v>
      </c>
      <c r="G560" s="3">
        <v>-24.01</v>
      </c>
      <c r="H560" s="3">
        <v>0</v>
      </c>
      <c r="I560" s="3">
        <v>0</v>
      </c>
      <c r="J560" s="3">
        <v>0</v>
      </c>
    </row>
    <row r="561" spans="1:10" ht="14.4" x14ac:dyDescent="0.3">
      <c r="A561" s="3"/>
      <c r="E561" s="3">
        <v>487.1</v>
      </c>
      <c r="F561" s="3">
        <v>1.94</v>
      </c>
      <c r="G561" s="3">
        <v>7.11</v>
      </c>
      <c r="H561" s="3">
        <v>0</v>
      </c>
      <c r="I561" s="3">
        <v>0</v>
      </c>
      <c r="J561" s="3">
        <v>0</v>
      </c>
    </row>
    <row r="562" spans="1:10" ht="14.4" x14ac:dyDescent="0.3">
      <c r="A562" s="3"/>
      <c r="E562" s="3">
        <v>555.99</v>
      </c>
      <c r="F562" s="3">
        <v>7.04</v>
      </c>
      <c r="G562" s="3">
        <v>-19.920000000000002</v>
      </c>
      <c r="H562" s="3">
        <v>0</v>
      </c>
      <c r="I562" s="3">
        <v>0</v>
      </c>
      <c r="J562" s="3">
        <v>0</v>
      </c>
    </row>
    <row r="563" spans="1:10" ht="14.4" x14ac:dyDescent="0.3">
      <c r="A563" s="3"/>
      <c r="E563" s="3">
        <v>533.96</v>
      </c>
      <c r="F563" s="3">
        <v>4.01</v>
      </c>
      <c r="G563" s="3">
        <v>3.02</v>
      </c>
      <c r="H563" s="3">
        <v>0</v>
      </c>
      <c r="I563" s="3">
        <v>0</v>
      </c>
      <c r="J563" s="3">
        <v>0</v>
      </c>
    </row>
    <row r="564" spans="1:10" ht="14.4" x14ac:dyDescent="0.3">
      <c r="A564" s="3"/>
      <c r="E564" s="3">
        <v>602.84</v>
      </c>
      <c r="F564" s="3">
        <v>9.1199999999999992</v>
      </c>
      <c r="G564" s="3">
        <v>-24.01</v>
      </c>
      <c r="H564" s="3">
        <v>0</v>
      </c>
      <c r="I564" s="3">
        <v>0</v>
      </c>
      <c r="J564" s="3">
        <v>0</v>
      </c>
    </row>
    <row r="565" spans="1:10" ht="14.4" x14ac:dyDescent="0.3">
      <c r="A565" s="3"/>
      <c r="E565" s="3">
        <v>487.1</v>
      </c>
      <c r="F565" s="3">
        <v>1.94</v>
      </c>
      <c r="G565" s="3">
        <v>7.11</v>
      </c>
      <c r="H565" s="3">
        <v>0</v>
      </c>
      <c r="I565" s="3">
        <v>0</v>
      </c>
      <c r="J565" s="3">
        <v>0</v>
      </c>
    </row>
    <row r="566" spans="1:10" ht="14.4" x14ac:dyDescent="0.3">
      <c r="A566" s="3"/>
      <c r="E566" s="3">
        <v>555.99</v>
      </c>
      <c r="F566" s="3">
        <v>7.04</v>
      </c>
      <c r="G566" s="3">
        <v>-19.920000000000002</v>
      </c>
      <c r="H566" s="3">
        <v>0</v>
      </c>
      <c r="I566" s="3">
        <v>0</v>
      </c>
      <c r="J566" s="3">
        <v>0</v>
      </c>
    </row>
    <row r="567" spans="1:10" ht="14.4" x14ac:dyDescent="0.3">
      <c r="A567" s="3"/>
      <c r="E567" s="3">
        <v>694.38</v>
      </c>
      <c r="F567" s="3">
        <v>8.8699999999999992</v>
      </c>
      <c r="G567" s="3">
        <v>-12.66</v>
      </c>
      <c r="H567" s="3">
        <v>0</v>
      </c>
      <c r="I567" s="3">
        <v>0</v>
      </c>
      <c r="J567" s="3">
        <v>0</v>
      </c>
    </row>
    <row r="568" spans="1:10" ht="14.4" x14ac:dyDescent="0.3">
      <c r="A568" s="3"/>
      <c r="E568" s="3">
        <v>302.27</v>
      </c>
      <c r="F568" s="3">
        <v>0</v>
      </c>
      <c r="G568" s="3">
        <v>5.37</v>
      </c>
      <c r="H568" s="3">
        <v>0</v>
      </c>
      <c r="I568" s="3">
        <v>0</v>
      </c>
      <c r="J568" s="3">
        <v>0</v>
      </c>
    </row>
    <row r="569" spans="1:10" ht="14.4" x14ac:dyDescent="0.3">
      <c r="A569" s="3"/>
      <c r="E569" s="3">
        <v>787.67</v>
      </c>
      <c r="F569" s="3">
        <v>11.05</v>
      </c>
      <c r="G569" s="3">
        <v>-22.27</v>
      </c>
      <c r="H569" s="3">
        <v>0</v>
      </c>
      <c r="I569" s="3">
        <v>0</v>
      </c>
      <c r="J569" s="3">
        <v>0</v>
      </c>
    </row>
    <row r="570" spans="1:10" ht="14.4" x14ac:dyDescent="0.3">
      <c r="A570" s="3"/>
      <c r="E570" s="3">
        <v>395.56</v>
      </c>
      <c r="F570" s="3">
        <v>2.1800000000000002</v>
      </c>
      <c r="G570" s="3">
        <v>-4.24</v>
      </c>
      <c r="H570" s="3">
        <v>0</v>
      </c>
      <c r="I570" s="3">
        <v>0</v>
      </c>
      <c r="J570" s="3">
        <v>0</v>
      </c>
    </row>
    <row r="571" spans="1:10" ht="14.4" x14ac:dyDescent="0.3">
      <c r="A571" s="3"/>
      <c r="E571" s="3">
        <v>694.38</v>
      </c>
      <c r="F571" s="3">
        <v>8.8699999999999992</v>
      </c>
      <c r="G571" s="3">
        <v>-12.66</v>
      </c>
      <c r="H571" s="3">
        <v>0</v>
      </c>
      <c r="I571" s="3">
        <v>0</v>
      </c>
      <c r="J571" s="3">
        <v>0</v>
      </c>
    </row>
    <row r="572" spans="1:10" ht="14.4" x14ac:dyDescent="0.3">
      <c r="A572" s="3"/>
      <c r="E572" s="3">
        <v>302.27</v>
      </c>
      <c r="F572" s="3">
        <v>0</v>
      </c>
      <c r="G572" s="3">
        <v>5.37</v>
      </c>
      <c r="H572" s="3">
        <v>0</v>
      </c>
      <c r="I572" s="3">
        <v>0</v>
      </c>
      <c r="J572" s="3">
        <v>0</v>
      </c>
    </row>
    <row r="573" spans="1:10" ht="14.4" x14ac:dyDescent="0.3">
      <c r="A573" s="3"/>
      <c r="E573" s="3">
        <v>787.67</v>
      </c>
      <c r="F573" s="3">
        <v>11.05</v>
      </c>
      <c r="G573" s="3">
        <v>-22.27</v>
      </c>
      <c r="H573" s="3">
        <v>0</v>
      </c>
      <c r="I573" s="3">
        <v>0</v>
      </c>
      <c r="J573" s="3">
        <v>0</v>
      </c>
    </row>
    <row r="574" spans="1:10" ht="14.4" x14ac:dyDescent="0.3">
      <c r="A574" s="3"/>
      <c r="E574" s="3">
        <v>395.56</v>
      </c>
      <c r="F574" s="3">
        <v>2.1800000000000002</v>
      </c>
      <c r="G574" s="3">
        <v>-4.24</v>
      </c>
      <c r="H574" s="3">
        <v>0</v>
      </c>
      <c r="I574" s="3">
        <v>0</v>
      </c>
      <c r="J574" s="3">
        <v>0</v>
      </c>
    </row>
    <row r="575" spans="1:10" ht="14.4" x14ac:dyDescent="0.3">
      <c r="A575" s="3"/>
      <c r="E575" s="3">
        <v>838.79</v>
      </c>
      <c r="F575" s="3">
        <v>11.19</v>
      </c>
      <c r="G575" s="3">
        <v>8.23</v>
      </c>
      <c r="H575" s="3">
        <v>0</v>
      </c>
      <c r="I575" s="3">
        <v>0</v>
      </c>
      <c r="J575" s="3">
        <v>0</v>
      </c>
    </row>
    <row r="576" spans="1:10" ht="14.4" x14ac:dyDescent="0.3">
      <c r="A576" s="3"/>
      <c r="E576" s="3">
        <v>303.70999999999998</v>
      </c>
      <c r="F576" s="3">
        <v>2.13</v>
      </c>
      <c r="G576" s="3">
        <v>-20.83</v>
      </c>
      <c r="H576" s="3">
        <v>0</v>
      </c>
      <c r="I576" s="3">
        <v>0</v>
      </c>
      <c r="J576" s="3">
        <v>0</v>
      </c>
    </row>
    <row r="577" spans="1:10" ht="14.4" x14ac:dyDescent="0.3">
      <c r="A577" s="3"/>
      <c r="E577" s="3">
        <v>786.23</v>
      </c>
      <c r="F577" s="3">
        <v>8.92</v>
      </c>
      <c r="G577" s="3">
        <v>3.93</v>
      </c>
      <c r="H577" s="3">
        <v>0</v>
      </c>
      <c r="I577" s="3">
        <v>0</v>
      </c>
      <c r="J577" s="3">
        <v>0</v>
      </c>
    </row>
    <row r="578" spans="1:10" ht="14.4" x14ac:dyDescent="0.3">
      <c r="A578" s="3"/>
      <c r="E578" s="3">
        <v>251.15</v>
      </c>
      <c r="F578" s="3">
        <v>-0.14000000000000001</v>
      </c>
      <c r="G578" s="3">
        <v>-25.13</v>
      </c>
      <c r="H578" s="3">
        <v>0</v>
      </c>
      <c r="I578" s="3">
        <v>0</v>
      </c>
      <c r="J578" s="3">
        <v>0</v>
      </c>
    </row>
    <row r="579" spans="1:10" ht="14.4" x14ac:dyDescent="0.3">
      <c r="A579" s="3"/>
      <c r="E579" s="3">
        <v>795.57</v>
      </c>
      <c r="F579" s="3">
        <v>11.35</v>
      </c>
      <c r="G579" s="3">
        <v>1.44</v>
      </c>
      <c r="H579" s="3">
        <v>0</v>
      </c>
      <c r="I579" s="3">
        <v>0</v>
      </c>
      <c r="J579" s="3">
        <v>0</v>
      </c>
    </row>
    <row r="580" spans="1:10" ht="14.4" x14ac:dyDescent="0.3">
      <c r="A580" s="3"/>
      <c r="E580" s="3">
        <v>384.69</v>
      </c>
      <c r="F580" s="3">
        <v>1.83</v>
      </c>
      <c r="G580" s="3">
        <v>-8.11</v>
      </c>
      <c r="H580" s="3">
        <v>0</v>
      </c>
      <c r="I580" s="3">
        <v>0</v>
      </c>
      <c r="J580" s="3">
        <v>0</v>
      </c>
    </row>
    <row r="581" spans="1:10" ht="14.4" x14ac:dyDescent="0.3">
      <c r="A581" s="3"/>
      <c r="E581" s="3">
        <v>705.26</v>
      </c>
      <c r="F581" s="3">
        <v>9.2200000000000006</v>
      </c>
      <c r="G581" s="3">
        <v>-8.7899999999999991</v>
      </c>
      <c r="H581" s="3">
        <v>0</v>
      </c>
      <c r="I581" s="3">
        <v>0</v>
      </c>
      <c r="J581" s="3">
        <v>0</v>
      </c>
    </row>
    <row r="582" spans="1:10" ht="14.4" x14ac:dyDescent="0.3">
      <c r="A582" s="3"/>
      <c r="E582" s="3">
        <v>467.28</v>
      </c>
      <c r="F582" s="3">
        <v>7.17</v>
      </c>
      <c r="G582" s="3">
        <v>-4.21</v>
      </c>
      <c r="H582" s="3">
        <v>0</v>
      </c>
      <c r="I582" s="3">
        <v>0</v>
      </c>
      <c r="J582" s="3">
        <v>0</v>
      </c>
    </row>
    <row r="583" spans="1:10" ht="14.4" x14ac:dyDescent="0.3">
      <c r="A583" s="3"/>
      <c r="E583" s="3">
        <v>363.54</v>
      </c>
      <c r="F583" s="3">
        <v>-1.0900000000000001</v>
      </c>
      <c r="G583" s="3">
        <v>23.83</v>
      </c>
      <c r="H583" s="3">
        <v>0</v>
      </c>
      <c r="I583" s="3">
        <v>0</v>
      </c>
      <c r="J583" s="3">
        <v>0</v>
      </c>
    </row>
    <row r="584" spans="1:10" ht="14.4" x14ac:dyDescent="0.3">
      <c r="A584" s="3"/>
      <c r="E584" s="3">
        <v>1050.9100000000001</v>
      </c>
      <c r="F584" s="3">
        <v>14.94</v>
      </c>
      <c r="G584" s="3">
        <v>-46.98</v>
      </c>
      <c r="H584" s="3">
        <v>0</v>
      </c>
      <c r="I584" s="3">
        <v>0</v>
      </c>
      <c r="J584" s="3">
        <v>0</v>
      </c>
    </row>
    <row r="585" spans="1:10" ht="14.4" x14ac:dyDescent="0.3">
      <c r="A585" s="3"/>
      <c r="E585" s="3">
        <v>879.86</v>
      </c>
      <c r="F585" s="3">
        <v>14.56</v>
      </c>
      <c r="G585" s="3">
        <v>-26.64</v>
      </c>
      <c r="H585" s="3">
        <v>0</v>
      </c>
      <c r="I585" s="3">
        <v>0</v>
      </c>
      <c r="J585" s="3">
        <v>0</v>
      </c>
    </row>
    <row r="586" spans="1:10" ht="14.4" x14ac:dyDescent="0.3">
      <c r="A586" s="3"/>
      <c r="E586" s="3">
        <v>534.59</v>
      </c>
      <c r="F586" s="3">
        <v>-0.71</v>
      </c>
      <c r="G586" s="3">
        <v>3.49</v>
      </c>
      <c r="H586" s="3">
        <v>0</v>
      </c>
      <c r="I586" s="3">
        <v>0</v>
      </c>
      <c r="J586" s="3">
        <v>0</v>
      </c>
    </row>
    <row r="587" spans="1:10" ht="14.4" x14ac:dyDescent="0.3">
      <c r="A587" s="3"/>
      <c r="E587" s="3">
        <v>363.54</v>
      </c>
      <c r="F587" s="3">
        <v>-1.0900000000000001</v>
      </c>
      <c r="G587" s="3">
        <v>23.83</v>
      </c>
      <c r="H587" s="3">
        <v>0</v>
      </c>
      <c r="I587" s="3">
        <v>0</v>
      </c>
      <c r="J587" s="3">
        <v>0</v>
      </c>
    </row>
    <row r="588" spans="1:10" ht="14.4" x14ac:dyDescent="0.3">
      <c r="A588" s="3"/>
      <c r="E588" s="3">
        <v>1050.9100000000001</v>
      </c>
      <c r="F588" s="3">
        <v>14.94</v>
      </c>
      <c r="G588" s="3">
        <v>-46.98</v>
      </c>
      <c r="H588" s="3">
        <v>0</v>
      </c>
      <c r="I588" s="3">
        <v>0</v>
      </c>
      <c r="J588" s="3">
        <v>0</v>
      </c>
    </row>
    <row r="589" spans="1:10" ht="14.4" x14ac:dyDescent="0.3">
      <c r="A589" s="3"/>
      <c r="E589" s="3">
        <v>879.86</v>
      </c>
      <c r="F589" s="3">
        <v>14.56</v>
      </c>
      <c r="G589" s="3">
        <v>-26.64</v>
      </c>
      <c r="H589" s="3">
        <v>0</v>
      </c>
      <c r="I589" s="3">
        <v>0</v>
      </c>
      <c r="J589" s="3">
        <v>0</v>
      </c>
    </row>
    <row r="590" spans="1:10" ht="14.4" x14ac:dyDescent="0.3">
      <c r="A590" s="3"/>
      <c r="E590" s="3">
        <v>534.59</v>
      </c>
      <c r="F590" s="3">
        <v>-0.71</v>
      </c>
      <c r="G590" s="3">
        <v>3.49</v>
      </c>
      <c r="H590" s="3">
        <v>0</v>
      </c>
      <c r="I590" s="3">
        <v>0</v>
      </c>
      <c r="J590" s="3">
        <v>0</v>
      </c>
    </row>
    <row r="591" spans="1:10" ht="14.4" x14ac:dyDescent="0.3">
      <c r="A591" s="3"/>
      <c r="E591" s="3">
        <v>143.08000000000001</v>
      </c>
      <c r="F591" s="3">
        <v>-3.82</v>
      </c>
      <c r="G591" s="3">
        <v>26.04</v>
      </c>
      <c r="H591" s="3">
        <v>0</v>
      </c>
      <c r="I591" s="3">
        <v>0</v>
      </c>
      <c r="J591" s="3">
        <v>0</v>
      </c>
    </row>
    <row r="592" spans="1:10" ht="14.4" x14ac:dyDescent="0.3">
      <c r="A592" s="3"/>
      <c r="E592" s="3">
        <v>830.46</v>
      </c>
      <c r="F592" s="3">
        <v>12.21</v>
      </c>
      <c r="G592" s="3">
        <v>-44.78</v>
      </c>
      <c r="H592" s="3">
        <v>0</v>
      </c>
      <c r="I592" s="3">
        <v>0</v>
      </c>
      <c r="J592" s="3">
        <v>0</v>
      </c>
    </row>
    <row r="593" spans="1:10" ht="14.4" x14ac:dyDescent="0.3">
      <c r="A593" s="3"/>
      <c r="E593" s="3">
        <v>659.4</v>
      </c>
      <c r="F593" s="3">
        <v>11.83</v>
      </c>
      <c r="G593" s="3">
        <v>-24.43</v>
      </c>
      <c r="H593" s="3">
        <v>0</v>
      </c>
      <c r="I593" s="3">
        <v>0</v>
      </c>
      <c r="J593" s="3">
        <v>0</v>
      </c>
    </row>
    <row r="594" spans="1:10" ht="14.4" x14ac:dyDescent="0.3">
      <c r="A594" s="3"/>
      <c r="E594" s="3">
        <v>314.14</v>
      </c>
      <c r="F594" s="3">
        <v>-3.45</v>
      </c>
      <c r="G594" s="3">
        <v>5.69</v>
      </c>
      <c r="H594" s="3">
        <v>0</v>
      </c>
      <c r="I594" s="3">
        <v>0</v>
      </c>
      <c r="J594" s="3">
        <v>0</v>
      </c>
    </row>
    <row r="595" spans="1:10" ht="14.4" x14ac:dyDescent="0.3">
      <c r="A595" s="3"/>
      <c r="E595" s="3">
        <v>143.08000000000001</v>
      </c>
      <c r="F595" s="3">
        <v>-3.82</v>
      </c>
      <c r="G595" s="3">
        <v>26.04</v>
      </c>
      <c r="H595" s="3">
        <v>0</v>
      </c>
      <c r="I595" s="3">
        <v>0</v>
      </c>
      <c r="J595" s="3">
        <v>0</v>
      </c>
    </row>
    <row r="596" spans="1:10" ht="14.4" x14ac:dyDescent="0.3">
      <c r="A596" s="3"/>
      <c r="E596" s="3">
        <v>830.46</v>
      </c>
      <c r="F596" s="3">
        <v>12.21</v>
      </c>
      <c r="G596" s="3">
        <v>-44.78</v>
      </c>
      <c r="H596" s="3">
        <v>0</v>
      </c>
      <c r="I596" s="3">
        <v>0</v>
      </c>
      <c r="J596" s="3">
        <v>0</v>
      </c>
    </row>
    <row r="597" spans="1:10" ht="14.4" x14ac:dyDescent="0.3">
      <c r="A597" s="3"/>
      <c r="E597" s="3">
        <v>659.4</v>
      </c>
      <c r="F597" s="3">
        <v>11.83</v>
      </c>
      <c r="G597" s="3">
        <v>-24.43</v>
      </c>
      <c r="H597" s="3">
        <v>0</v>
      </c>
      <c r="I597" s="3">
        <v>0</v>
      </c>
      <c r="J597" s="3">
        <v>0</v>
      </c>
    </row>
    <row r="598" spans="1:10" ht="14.4" x14ac:dyDescent="0.3">
      <c r="A598" s="3"/>
      <c r="E598" s="3">
        <v>314.14</v>
      </c>
      <c r="F598" s="3">
        <v>-3.45</v>
      </c>
      <c r="G598" s="3">
        <v>5.69</v>
      </c>
      <c r="H598" s="3">
        <v>0</v>
      </c>
      <c r="I598" s="3">
        <v>0</v>
      </c>
      <c r="J598" s="3">
        <v>0</v>
      </c>
    </row>
    <row r="599" spans="1:10" ht="14.4" x14ac:dyDescent="0.3">
      <c r="A599" s="3"/>
      <c r="E599" s="3">
        <v>462.42</v>
      </c>
      <c r="F599" s="3">
        <v>-19.28</v>
      </c>
      <c r="G599" s="3">
        <v>-6.64</v>
      </c>
      <c r="H599" s="3">
        <v>2.48</v>
      </c>
      <c r="I599" s="3">
        <v>4.2</v>
      </c>
      <c r="J599" s="3">
        <v>-14.81</v>
      </c>
    </row>
    <row r="600" spans="1:10" ht="14.4" x14ac:dyDescent="0.3">
      <c r="A600" s="3"/>
      <c r="E600" s="3">
        <v>421.61</v>
      </c>
      <c r="F600" s="3">
        <v>-19.78</v>
      </c>
      <c r="G600" s="3">
        <v>-5.8</v>
      </c>
      <c r="H600" s="3">
        <v>2.6</v>
      </c>
      <c r="I600" s="3">
        <v>4.63</v>
      </c>
      <c r="J600" s="3">
        <v>-15.09</v>
      </c>
    </row>
    <row r="601" spans="1:10" ht="14.4" x14ac:dyDescent="0.3">
      <c r="A601" s="3"/>
      <c r="E601" s="3">
        <v>508.32</v>
      </c>
      <c r="F601" s="3">
        <v>-24.29</v>
      </c>
      <c r="G601" s="3">
        <v>-6.95</v>
      </c>
      <c r="H601" s="3">
        <v>3.17</v>
      </c>
      <c r="I601" s="3">
        <v>5.85</v>
      </c>
      <c r="J601" s="3">
        <v>-18.86</v>
      </c>
    </row>
    <row r="602" spans="1:10" ht="14.4" x14ac:dyDescent="0.3">
      <c r="A602" s="3"/>
      <c r="E602" s="3">
        <v>404.59</v>
      </c>
      <c r="F602" s="3">
        <v>-18.21</v>
      </c>
      <c r="G602" s="3">
        <v>-5.71</v>
      </c>
      <c r="H602" s="3">
        <v>2.35</v>
      </c>
      <c r="I602" s="3">
        <v>4.08</v>
      </c>
      <c r="J602" s="3">
        <v>-13.91</v>
      </c>
    </row>
    <row r="603" spans="1:10" ht="14.4" x14ac:dyDescent="0.3">
      <c r="A603" s="3"/>
      <c r="E603" s="3">
        <v>682.08</v>
      </c>
      <c r="F603" s="3">
        <v>-32.64</v>
      </c>
      <c r="G603" s="3">
        <v>-9.39</v>
      </c>
      <c r="H603" s="3">
        <v>4.18</v>
      </c>
      <c r="I603" s="3">
        <v>7.98</v>
      </c>
      <c r="J603" s="3">
        <v>-25.99</v>
      </c>
    </row>
    <row r="604" spans="1:10" ht="14.4" x14ac:dyDescent="0.3">
      <c r="A604" s="3"/>
      <c r="E604" s="3">
        <v>390.81</v>
      </c>
      <c r="F604" s="3">
        <v>-16.670000000000002</v>
      </c>
      <c r="G604" s="3">
        <v>-5.6</v>
      </c>
      <c r="H604" s="3">
        <v>2.0099999999999998</v>
      </c>
      <c r="I604" s="3">
        <v>2.82</v>
      </c>
      <c r="J604" s="3">
        <v>-13.75</v>
      </c>
    </row>
    <row r="605" spans="1:10" ht="14.4" x14ac:dyDescent="0.3">
      <c r="A605" s="3"/>
      <c r="E605" s="3">
        <v>387.68</v>
      </c>
      <c r="F605" s="3">
        <v>-14.36</v>
      </c>
      <c r="G605" s="3">
        <v>-5.63</v>
      </c>
      <c r="H605" s="3">
        <v>2.0099999999999998</v>
      </c>
      <c r="I605" s="3">
        <v>3.35</v>
      </c>
      <c r="J605" s="3">
        <v>-10.48</v>
      </c>
    </row>
    <row r="606" spans="1:10" ht="14.4" x14ac:dyDescent="0.3">
      <c r="A606" s="3"/>
      <c r="E606" s="3">
        <v>395.49</v>
      </c>
      <c r="F606" s="3">
        <v>-15.72</v>
      </c>
      <c r="G606" s="3">
        <v>-5.8</v>
      </c>
      <c r="H606" s="3">
        <v>2.16</v>
      </c>
      <c r="I606" s="3">
        <v>4.07</v>
      </c>
      <c r="J606" s="3">
        <v>-11.31</v>
      </c>
    </row>
    <row r="607" spans="1:10" ht="14.4" x14ac:dyDescent="0.3">
      <c r="A607" s="3"/>
      <c r="E607" s="3">
        <v>399.02</v>
      </c>
      <c r="F607" s="3">
        <v>-17.29</v>
      </c>
      <c r="G607" s="3">
        <v>-5.74</v>
      </c>
      <c r="H607" s="3">
        <v>2.17</v>
      </c>
      <c r="I607" s="3">
        <v>3.73</v>
      </c>
      <c r="J607" s="3">
        <v>-13.39</v>
      </c>
    </row>
    <row r="608" spans="1:10" ht="14.4" x14ac:dyDescent="0.3">
      <c r="A608" s="3"/>
      <c r="E608" s="3">
        <v>398.01</v>
      </c>
      <c r="F608" s="3">
        <v>-15.68</v>
      </c>
      <c r="G608" s="3">
        <v>-6.19</v>
      </c>
      <c r="H608" s="3">
        <v>2.2400000000000002</v>
      </c>
      <c r="I608" s="3">
        <v>4.09</v>
      </c>
      <c r="J608" s="3">
        <v>-11.37</v>
      </c>
    </row>
    <row r="609" spans="1:10" ht="14.4" x14ac:dyDescent="0.3">
      <c r="A609" s="3"/>
      <c r="E609" s="3">
        <v>404.31</v>
      </c>
      <c r="F609" s="3">
        <v>-18.079999999999998</v>
      </c>
      <c r="G609" s="3">
        <v>-6.07</v>
      </c>
      <c r="H609" s="3">
        <v>2.27</v>
      </c>
      <c r="I609" s="3">
        <v>3.82</v>
      </c>
      <c r="J609" s="3">
        <v>-14.21</v>
      </c>
    </row>
    <row r="610" spans="1:10" ht="14.4" x14ac:dyDescent="0.3">
      <c r="A610" s="3"/>
      <c r="E610" s="3">
        <v>402.87</v>
      </c>
      <c r="F610" s="3">
        <v>-19.25</v>
      </c>
      <c r="G610" s="3">
        <v>-5.78</v>
      </c>
      <c r="H610" s="3">
        <v>2.19</v>
      </c>
      <c r="I610" s="3">
        <v>3.44</v>
      </c>
      <c r="J610" s="3">
        <v>-16.18</v>
      </c>
    </row>
    <row r="611" spans="1:10" ht="14.4" x14ac:dyDescent="0.3">
      <c r="A611" s="3"/>
      <c r="E611" s="3">
        <v>410.1</v>
      </c>
      <c r="F611" s="3">
        <v>-19.84</v>
      </c>
      <c r="G611" s="3">
        <v>-6.07</v>
      </c>
      <c r="H611" s="3">
        <v>2.2999999999999998</v>
      </c>
      <c r="I611" s="3">
        <v>3.8</v>
      </c>
      <c r="J611" s="3">
        <v>-16.13</v>
      </c>
    </row>
    <row r="612" spans="1:10" ht="14.4" x14ac:dyDescent="0.3">
      <c r="A612" s="3"/>
      <c r="E612" s="3">
        <v>405.43</v>
      </c>
      <c r="F612" s="3">
        <v>-17.649999999999999</v>
      </c>
      <c r="G612" s="3">
        <v>-5.85</v>
      </c>
      <c r="H612" s="3">
        <v>2.29</v>
      </c>
      <c r="I612" s="3">
        <v>4.41</v>
      </c>
      <c r="J612" s="3">
        <v>-12.91</v>
      </c>
    </row>
    <row r="613" spans="1:10" ht="14.4" x14ac:dyDescent="0.3">
      <c r="A613" s="3"/>
      <c r="E613" s="3">
        <v>408.56</v>
      </c>
      <c r="F613" s="3">
        <v>-19.97</v>
      </c>
      <c r="G613" s="3">
        <v>-5.82</v>
      </c>
      <c r="H613" s="3">
        <v>2.29</v>
      </c>
      <c r="I613" s="3">
        <v>3.88</v>
      </c>
      <c r="J613" s="3">
        <v>-16.190000000000001</v>
      </c>
    </row>
    <row r="614" spans="1:10" ht="14.4" x14ac:dyDescent="0.3">
      <c r="A614" s="3"/>
      <c r="E614" s="3">
        <v>400.75</v>
      </c>
      <c r="F614" s="3">
        <v>-18.61</v>
      </c>
      <c r="G614" s="3">
        <v>-5.65</v>
      </c>
      <c r="H614" s="3">
        <v>2.14</v>
      </c>
      <c r="I614" s="3">
        <v>3.15</v>
      </c>
      <c r="J614" s="3">
        <v>-15.35</v>
      </c>
    </row>
    <row r="615" spans="1:10" ht="14.4" x14ac:dyDescent="0.3">
      <c r="A615" s="3"/>
      <c r="E615" s="3">
        <v>397.21</v>
      </c>
      <c r="F615" s="3">
        <v>-17.03</v>
      </c>
      <c r="G615" s="3">
        <v>-5.72</v>
      </c>
      <c r="H615" s="3">
        <v>2.13</v>
      </c>
      <c r="I615" s="3">
        <v>3.5</v>
      </c>
      <c r="J615" s="3">
        <v>-13.28</v>
      </c>
    </row>
    <row r="616" spans="1:10" ht="14.4" x14ac:dyDescent="0.3">
      <c r="A616" s="3"/>
      <c r="E616" s="3">
        <v>398.22</v>
      </c>
      <c r="F616" s="3">
        <v>-18.64</v>
      </c>
      <c r="G616" s="3">
        <v>-5.26</v>
      </c>
      <c r="H616" s="3">
        <v>2.06</v>
      </c>
      <c r="I616" s="3">
        <v>3.14</v>
      </c>
      <c r="J616" s="3">
        <v>-15.29</v>
      </c>
    </row>
    <row r="617" spans="1:10" ht="14.4" x14ac:dyDescent="0.3">
      <c r="A617" s="3"/>
      <c r="E617" s="3">
        <v>391.92</v>
      </c>
      <c r="F617" s="3">
        <v>-16.239999999999998</v>
      </c>
      <c r="G617" s="3">
        <v>-5.38</v>
      </c>
      <c r="H617" s="3">
        <v>2.0299999999999998</v>
      </c>
      <c r="I617" s="3">
        <v>3.4</v>
      </c>
      <c r="J617" s="3">
        <v>-12.46</v>
      </c>
    </row>
    <row r="618" spans="1:10" ht="14.4" x14ac:dyDescent="0.3">
      <c r="A618" s="3"/>
      <c r="E618" s="3">
        <v>393.36</v>
      </c>
      <c r="F618" s="3">
        <v>-15.07</v>
      </c>
      <c r="G618" s="3">
        <v>-5.67</v>
      </c>
      <c r="H618" s="3">
        <v>2.11</v>
      </c>
      <c r="I618" s="3">
        <v>3.78</v>
      </c>
      <c r="J618" s="3">
        <v>-10.48</v>
      </c>
    </row>
    <row r="619" spans="1:10" ht="14.4" x14ac:dyDescent="0.3">
      <c r="A619" s="3"/>
      <c r="E619" s="3">
        <v>386.13</v>
      </c>
      <c r="F619" s="3">
        <v>-14.49</v>
      </c>
      <c r="G619" s="3">
        <v>-5.38</v>
      </c>
      <c r="H619" s="3">
        <v>2</v>
      </c>
      <c r="I619" s="3">
        <v>3.42</v>
      </c>
      <c r="J619" s="3">
        <v>-10.54</v>
      </c>
    </row>
    <row r="620" spans="1:10" ht="14.4" x14ac:dyDescent="0.3">
      <c r="A620" s="3"/>
      <c r="E620" s="3">
        <v>668.3</v>
      </c>
      <c r="F620" s="3">
        <v>-31.1</v>
      </c>
      <c r="G620" s="3">
        <v>-9.2799999999999994</v>
      </c>
      <c r="H620" s="3">
        <v>3.84</v>
      </c>
      <c r="I620" s="3">
        <v>6.72</v>
      </c>
      <c r="J620" s="3">
        <v>-25.83</v>
      </c>
    </row>
    <row r="621" spans="1:10" ht="14.4" x14ac:dyDescent="0.3">
      <c r="A621" s="3"/>
      <c r="E621" s="3">
        <v>665.17</v>
      </c>
      <c r="F621" s="3">
        <v>-28.79</v>
      </c>
      <c r="G621" s="3">
        <v>-9.31</v>
      </c>
      <c r="H621" s="3">
        <v>3.85</v>
      </c>
      <c r="I621" s="3">
        <v>7.25</v>
      </c>
      <c r="J621" s="3">
        <v>-22.56</v>
      </c>
    </row>
    <row r="622" spans="1:10" ht="14.4" x14ac:dyDescent="0.3">
      <c r="A622" s="3"/>
      <c r="E622" s="3">
        <v>672.98</v>
      </c>
      <c r="F622" s="3">
        <v>-30.15</v>
      </c>
      <c r="G622" s="3">
        <v>-9.48</v>
      </c>
      <c r="H622" s="3">
        <v>4</v>
      </c>
      <c r="I622" s="3">
        <v>7.97</v>
      </c>
      <c r="J622" s="3">
        <v>-23.39</v>
      </c>
    </row>
    <row r="623" spans="1:10" ht="14.4" x14ac:dyDescent="0.3">
      <c r="A623" s="3"/>
      <c r="E623" s="3">
        <v>676.51</v>
      </c>
      <c r="F623" s="3">
        <v>-31.73</v>
      </c>
      <c r="G623" s="3">
        <v>-9.42</v>
      </c>
      <c r="H623" s="3">
        <v>4</v>
      </c>
      <c r="I623" s="3">
        <v>7.63</v>
      </c>
      <c r="J623" s="3">
        <v>-25.47</v>
      </c>
    </row>
    <row r="624" spans="1:10" ht="14.4" x14ac:dyDescent="0.3">
      <c r="A624" s="3"/>
      <c r="E624" s="3">
        <v>675.51</v>
      </c>
      <c r="F624" s="3">
        <v>-30.12</v>
      </c>
      <c r="G624" s="3">
        <v>-9.8699999999999992</v>
      </c>
      <c r="H624" s="3">
        <v>4.08</v>
      </c>
      <c r="I624" s="3">
        <v>7.98</v>
      </c>
      <c r="J624" s="3">
        <v>-23.46</v>
      </c>
    </row>
    <row r="625" spans="1:10" ht="14.4" x14ac:dyDescent="0.3">
      <c r="A625" s="3"/>
      <c r="E625" s="3">
        <v>681.81</v>
      </c>
      <c r="F625" s="3">
        <v>-32.51</v>
      </c>
      <c r="G625" s="3">
        <v>-9.75</v>
      </c>
      <c r="H625" s="3">
        <v>4.0999999999999996</v>
      </c>
      <c r="I625" s="3">
        <v>7.72</v>
      </c>
      <c r="J625" s="3">
        <v>-26.29</v>
      </c>
    </row>
    <row r="626" spans="1:10" ht="14.4" x14ac:dyDescent="0.3">
      <c r="A626" s="3"/>
      <c r="E626" s="3">
        <v>680.37</v>
      </c>
      <c r="F626" s="3">
        <v>-33.69</v>
      </c>
      <c r="G626" s="3">
        <v>-9.4600000000000009</v>
      </c>
      <c r="H626" s="3">
        <v>4.03</v>
      </c>
      <c r="I626" s="3">
        <v>7.34</v>
      </c>
      <c r="J626" s="3">
        <v>-28.26</v>
      </c>
    </row>
    <row r="627" spans="1:10" ht="14.4" x14ac:dyDescent="0.3">
      <c r="A627" s="3"/>
      <c r="E627" s="3">
        <v>687.6</v>
      </c>
      <c r="F627" s="3">
        <v>-34.270000000000003</v>
      </c>
      <c r="G627" s="3">
        <v>-9.75</v>
      </c>
      <c r="H627" s="3">
        <v>4.1399999999999997</v>
      </c>
      <c r="I627" s="3">
        <v>7.7</v>
      </c>
      <c r="J627" s="3">
        <v>-28.21</v>
      </c>
    </row>
    <row r="628" spans="1:10" ht="14.4" x14ac:dyDescent="0.3">
      <c r="A628" s="3"/>
      <c r="E628" s="3">
        <v>682.92</v>
      </c>
      <c r="F628" s="3">
        <v>-32.090000000000003</v>
      </c>
      <c r="G628" s="3">
        <v>-9.5299999999999994</v>
      </c>
      <c r="H628" s="3">
        <v>4.13</v>
      </c>
      <c r="I628" s="3">
        <v>8.3000000000000007</v>
      </c>
      <c r="J628" s="3">
        <v>-25</v>
      </c>
    </row>
    <row r="629" spans="1:10" ht="14.4" x14ac:dyDescent="0.3">
      <c r="A629" s="3"/>
      <c r="E629" s="3">
        <v>686.05</v>
      </c>
      <c r="F629" s="3">
        <v>-34.4</v>
      </c>
      <c r="G629" s="3">
        <v>-9.5</v>
      </c>
      <c r="H629" s="3">
        <v>4.13</v>
      </c>
      <c r="I629" s="3">
        <v>7.77</v>
      </c>
      <c r="J629" s="3">
        <v>-28.27</v>
      </c>
    </row>
    <row r="630" spans="1:10" ht="14.4" x14ac:dyDescent="0.3">
      <c r="A630" s="3"/>
      <c r="E630" s="3">
        <v>678.24</v>
      </c>
      <c r="F630" s="3">
        <v>-33.04</v>
      </c>
      <c r="G630" s="3">
        <v>-9.33</v>
      </c>
      <c r="H630" s="3">
        <v>3.98</v>
      </c>
      <c r="I630" s="3">
        <v>7.05</v>
      </c>
      <c r="J630" s="3">
        <v>-27.44</v>
      </c>
    </row>
    <row r="631" spans="1:10" ht="14.4" x14ac:dyDescent="0.3">
      <c r="A631" s="3"/>
      <c r="E631" s="3">
        <v>674.71</v>
      </c>
      <c r="F631" s="3">
        <v>-31.46</v>
      </c>
      <c r="G631" s="3">
        <v>-9.4</v>
      </c>
      <c r="H631" s="3">
        <v>3.97</v>
      </c>
      <c r="I631" s="3">
        <v>7.39</v>
      </c>
      <c r="J631" s="3">
        <v>-25.36</v>
      </c>
    </row>
    <row r="632" spans="1:10" ht="14.4" x14ac:dyDescent="0.3">
      <c r="A632" s="3"/>
      <c r="E632" s="3">
        <v>675.72</v>
      </c>
      <c r="F632" s="3">
        <v>-33.07</v>
      </c>
      <c r="G632" s="3">
        <v>-8.94</v>
      </c>
      <c r="H632" s="3">
        <v>3.89</v>
      </c>
      <c r="I632" s="3">
        <v>7.04</v>
      </c>
      <c r="J632" s="3">
        <v>-27.37</v>
      </c>
    </row>
    <row r="633" spans="1:10" ht="14.4" x14ac:dyDescent="0.3">
      <c r="A633" s="3"/>
      <c r="E633" s="3">
        <v>669.42</v>
      </c>
      <c r="F633" s="3">
        <v>-30.67</v>
      </c>
      <c r="G633" s="3">
        <v>-9.06</v>
      </c>
      <c r="H633" s="3">
        <v>3.87</v>
      </c>
      <c r="I633" s="3">
        <v>7.3</v>
      </c>
      <c r="J633" s="3">
        <v>-24.54</v>
      </c>
    </row>
    <row r="634" spans="1:10" ht="14.4" x14ac:dyDescent="0.3">
      <c r="A634" s="3"/>
      <c r="E634" s="3">
        <v>670.86</v>
      </c>
      <c r="F634" s="3">
        <v>-29.5</v>
      </c>
      <c r="G634" s="3">
        <v>-9.35</v>
      </c>
      <c r="H634" s="3">
        <v>3.94</v>
      </c>
      <c r="I634" s="3">
        <v>7.68</v>
      </c>
      <c r="J634" s="3">
        <v>-22.56</v>
      </c>
    </row>
    <row r="635" spans="1:10" ht="14.4" x14ac:dyDescent="0.3">
      <c r="A635" s="3"/>
      <c r="E635" s="3">
        <v>663.62</v>
      </c>
      <c r="F635" s="3">
        <v>-28.92</v>
      </c>
      <c r="G635" s="3">
        <v>-9.07</v>
      </c>
      <c r="H635" s="3">
        <v>3.83</v>
      </c>
      <c r="I635" s="3">
        <v>7.32</v>
      </c>
      <c r="J635" s="3">
        <v>-22.62</v>
      </c>
    </row>
    <row r="636" spans="1:10" ht="14.4" x14ac:dyDescent="0.3">
      <c r="A636" s="3"/>
      <c r="E636" s="3">
        <v>388.76</v>
      </c>
      <c r="F636" s="3">
        <v>-16.79</v>
      </c>
      <c r="G636" s="3">
        <v>-5.43</v>
      </c>
      <c r="H636" s="3">
        <v>2.04</v>
      </c>
      <c r="I636" s="3">
        <v>2.48</v>
      </c>
      <c r="J636" s="3">
        <v>-14.31</v>
      </c>
    </row>
    <row r="637" spans="1:10" ht="14.4" x14ac:dyDescent="0.3">
      <c r="A637" s="3"/>
      <c r="E637" s="3">
        <v>382.5</v>
      </c>
      <c r="F637" s="3">
        <v>-12.16</v>
      </c>
      <c r="G637" s="3">
        <v>-5.5</v>
      </c>
      <c r="H637" s="3">
        <v>2.0499999999999998</v>
      </c>
      <c r="I637" s="3">
        <v>3.54</v>
      </c>
      <c r="J637" s="3">
        <v>-7.77</v>
      </c>
    </row>
    <row r="638" spans="1:10" ht="14.4" x14ac:dyDescent="0.3">
      <c r="A638" s="3"/>
      <c r="E638" s="3">
        <v>398.12</v>
      </c>
      <c r="F638" s="3">
        <v>-14.88</v>
      </c>
      <c r="G638" s="3">
        <v>-5.84</v>
      </c>
      <c r="H638" s="3">
        <v>2.35</v>
      </c>
      <c r="I638" s="3">
        <v>4.99</v>
      </c>
      <c r="J638" s="3">
        <v>-9.43</v>
      </c>
    </row>
    <row r="639" spans="1:10" ht="14.4" x14ac:dyDescent="0.3">
      <c r="A639" s="3"/>
      <c r="E639" s="3">
        <v>405.18</v>
      </c>
      <c r="F639" s="3">
        <v>-18.03</v>
      </c>
      <c r="G639" s="3">
        <v>-5.71</v>
      </c>
      <c r="H639" s="3">
        <v>2.36</v>
      </c>
      <c r="I639" s="3">
        <v>4.3</v>
      </c>
      <c r="J639" s="3">
        <v>-13.59</v>
      </c>
    </row>
    <row r="640" spans="1:10" ht="14.4" x14ac:dyDescent="0.3">
      <c r="A640" s="3"/>
      <c r="E640" s="3">
        <v>403.17</v>
      </c>
      <c r="F640" s="3">
        <v>-14.81</v>
      </c>
      <c r="G640" s="3">
        <v>-6.62</v>
      </c>
      <c r="H640" s="3">
        <v>2.52</v>
      </c>
      <c r="I640" s="3">
        <v>5.0199999999999996</v>
      </c>
      <c r="J640" s="3">
        <v>-9.56</v>
      </c>
    </row>
    <row r="641" spans="1:10" ht="14.4" x14ac:dyDescent="0.3">
      <c r="A641" s="3"/>
      <c r="E641" s="3">
        <v>415.77</v>
      </c>
      <c r="F641" s="3">
        <v>-19.61</v>
      </c>
      <c r="G641" s="3">
        <v>-6.38</v>
      </c>
      <c r="H641" s="3">
        <v>2.57</v>
      </c>
      <c r="I641" s="3">
        <v>4.49</v>
      </c>
      <c r="J641" s="3">
        <v>-15.23</v>
      </c>
    </row>
    <row r="642" spans="1:10" ht="14.4" x14ac:dyDescent="0.3">
      <c r="A642" s="3"/>
      <c r="E642" s="3">
        <v>412.89</v>
      </c>
      <c r="F642" s="3">
        <v>-21.95</v>
      </c>
      <c r="G642" s="3">
        <v>-5.8</v>
      </c>
      <c r="H642" s="3">
        <v>2.42</v>
      </c>
      <c r="I642" s="3">
        <v>3.73</v>
      </c>
      <c r="J642" s="3">
        <v>-19.18</v>
      </c>
    </row>
    <row r="643" spans="1:10" ht="14.4" x14ac:dyDescent="0.3">
      <c r="A643" s="3"/>
      <c r="E643" s="3">
        <v>427.35</v>
      </c>
      <c r="F643" s="3">
        <v>-23.12</v>
      </c>
      <c r="G643" s="3">
        <v>-6.37</v>
      </c>
      <c r="H643" s="3">
        <v>2.64</v>
      </c>
      <c r="I643" s="3">
        <v>4.46</v>
      </c>
      <c r="J643" s="3">
        <v>-19.059999999999999</v>
      </c>
    </row>
    <row r="644" spans="1:10" ht="14.4" x14ac:dyDescent="0.3">
      <c r="A644" s="3"/>
      <c r="E644" s="3">
        <v>418</v>
      </c>
      <c r="F644" s="3">
        <v>-18.75</v>
      </c>
      <c r="G644" s="3">
        <v>-5.95</v>
      </c>
      <c r="H644" s="3">
        <v>2.62</v>
      </c>
      <c r="I644" s="3">
        <v>5.66</v>
      </c>
      <c r="J644" s="3">
        <v>-12.64</v>
      </c>
    </row>
    <row r="645" spans="1:10" ht="14.4" x14ac:dyDescent="0.3">
      <c r="A645" s="3"/>
      <c r="E645" s="3">
        <v>424.26</v>
      </c>
      <c r="F645" s="3">
        <v>-23.38</v>
      </c>
      <c r="G645" s="3">
        <v>-5.88</v>
      </c>
      <c r="H645" s="3">
        <v>2.61</v>
      </c>
      <c r="I645" s="3">
        <v>4.5999999999999996</v>
      </c>
      <c r="J645" s="3">
        <v>-19.190000000000001</v>
      </c>
    </row>
    <row r="646" spans="1:10" ht="14.4" x14ac:dyDescent="0.3">
      <c r="A646" s="3"/>
      <c r="E646" s="3">
        <v>408.64</v>
      </c>
      <c r="F646" s="3">
        <v>-20.66</v>
      </c>
      <c r="G646" s="3">
        <v>-5.54</v>
      </c>
      <c r="H646" s="3">
        <v>2.31</v>
      </c>
      <c r="I646" s="3">
        <v>3.15</v>
      </c>
      <c r="J646" s="3">
        <v>-17.52</v>
      </c>
    </row>
    <row r="647" spans="1:10" ht="14.4" x14ac:dyDescent="0.3">
      <c r="A647" s="3"/>
      <c r="E647" s="3">
        <v>401.57</v>
      </c>
      <c r="F647" s="3">
        <v>-17.510000000000002</v>
      </c>
      <c r="G647" s="3">
        <v>-5.67</v>
      </c>
      <c r="H647" s="3">
        <v>2.2999999999999998</v>
      </c>
      <c r="I647" s="3">
        <v>3.84</v>
      </c>
      <c r="J647" s="3">
        <v>-13.36</v>
      </c>
    </row>
    <row r="648" spans="1:10" ht="14.4" x14ac:dyDescent="0.3">
      <c r="A648" s="3"/>
      <c r="E648" s="3">
        <v>403.59</v>
      </c>
      <c r="F648" s="3">
        <v>-20.73</v>
      </c>
      <c r="G648" s="3">
        <v>-4.75</v>
      </c>
      <c r="H648" s="3">
        <v>2.14</v>
      </c>
      <c r="I648" s="3">
        <v>3.12</v>
      </c>
      <c r="J648" s="3">
        <v>-17.39</v>
      </c>
    </row>
    <row r="649" spans="1:10" ht="14.4" x14ac:dyDescent="0.3">
      <c r="A649" s="3"/>
      <c r="E649" s="3">
        <v>390.99</v>
      </c>
      <c r="F649" s="3">
        <v>-15.93</v>
      </c>
      <c r="G649" s="3">
        <v>-5</v>
      </c>
      <c r="H649" s="3">
        <v>2.1</v>
      </c>
      <c r="I649" s="3">
        <v>3.65</v>
      </c>
      <c r="J649" s="3">
        <v>-11.73</v>
      </c>
    </row>
    <row r="650" spans="1:10" ht="14.4" x14ac:dyDescent="0.3">
      <c r="A650" s="3"/>
      <c r="E650" s="3">
        <v>393.87</v>
      </c>
      <c r="F650" s="3">
        <v>-13.59</v>
      </c>
      <c r="G650" s="3">
        <v>-5.58</v>
      </c>
      <c r="H650" s="3">
        <v>2.25</v>
      </c>
      <c r="I650" s="3">
        <v>4.41</v>
      </c>
      <c r="J650" s="3">
        <v>-7.78</v>
      </c>
    </row>
    <row r="651" spans="1:10" ht="14.4" x14ac:dyDescent="0.3">
      <c r="A651" s="3"/>
      <c r="E651" s="3">
        <v>369</v>
      </c>
      <c r="F651" s="3">
        <v>-12.34</v>
      </c>
      <c r="G651" s="3">
        <v>-4.4800000000000004</v>
      </c>
      <c r="H651" s="3">
        <v>1.99</v>
      </c>
      <c r="I651" s="3">
        <v>3.57</v>
      </c>
      <c r="J651" s="3">
        <v>-8.16</v>
      </c>
    </row>
    <row r="652" spans="1:10" ht="14.4" x14ac:dyDescent="0.3">
      <c r="A652" s="3"/>
      <c r="E652" s="3">
        <v>388.76</v>
      </c>
      <c r="F652" s="3">
        <v>-16.79</v>
      </c>
      <c r="G652" s="3">
        <v>-5.43</v>
      </c>
      <c r="H652" s="3">
        <v>2.04</v>
      </c>
      <c r="I652" s="3">
        <v>2.48</v>
      </c>
      <c r="J652" s="3">
        <v>-14.31</v>
      </c>
    </row>
    <row r="653" spans="1:10" ht="14.4" x14ac:dyDescent="0.3">
      <c r="A653" s="3"/>
      <c r="E653" s="3">
        <v>382.5</v>
      </c>
      <c r="F653" s="3">
        <v>-12.16</v>
      </c>
      <c r="G653" s="3">
        <v>-5.5</v>
      </c>
      <c r="H653" s="3">
        <v>2.0499999999999998</v>
      </c>
      <c r="I653" s="3">
        <v>3.54</v>
      </c>
      <c r="J653" s="3">
        <v>-7.77</v>
      </c>
    </row>
    <row r="654" spans="1:10" ht="14.4" x14ac:dyDescent="0.3">
      <c r="A654" s="3"/>
      <c r="E654" s="3">
        <v>398.12</v>
      </c>
      <c r="F654" s="3">
        <v>-14.88</v>
      </c>
      <c r="G654" s="3">
        <v>-5.84</v>
      </c>
      <c r="H654" s="3">
        <v>2.35</v>
      </c>
      <c r="I654" s="3">
        <v>4.99</v>
      </c>
      <c r="J654" s="3">
        <v>-9.43</v>
      </c>
    </row>
    <row r="655" spans="1:10" ht="14.4" x14ac:dyDescent="0.3">
      <c r="A655" s="3"/>
      <c r="E655" s="3">
        <v>405.18</v>
      </c>
      <c r="F655" s="3">
        <v>-18.03</v>
      </c>
      <c r="G655" s="3">
        <v>-5.71</v>
      </c>
      <c r="H655" s="3">
        <v>2.36</v>
      </c>
      <c r="I655" s="3">
        <v>4.3</v>
      </c>
      <c r="J655" s="3">
        <v>-13.59</v>
      </c>
    </row>
    <row r="656" spans="1:10" ht="14.4" x14ac:dyDescent="0.3">
      <c r="A656" s="3"/>
      <c r="E656" s="3">
        <v>403.17</v>
      </c>
      <c r="F656" s="3">
        <v>-14.81</v>
      </c>
      <c r="G656" s="3">
        <v>-6.62</v>
      </c>
      <c r="H656" s="3">
        <v>2.52</v>
      </c>
      <c r="I656" s="3">
        <v>5.0199999999999996</v>
      </c>
      <c r="J656" s="3">
        <v>-9.56</v>
      </c>
    </row>
    <row r="657" spans="1:10" ht="14.4" x14ac:dyDescent="0.3">
      <c r="A657" s="3"/>
      <c r="E657" s="3">
        <v>415.77</v>
      </c>
      <c r="F657" s="3">
        <v>-19.61</v>
      </c>
      <c r="G657" s="3">
        <v>-6.38</v>
      </c>
      <c r="H657" s="3">
        <v>2.57</v>
      </c>
      <c r="I657" s="3">
        <v>4.49</v>
      </c>
      <c r="J657" s="3">
        <v>-15.23</v>
      </c>
    </row>
    <row r="658" spans="1:10" ht="14.4" x14ac:dyDescent="0.3">
      <c r="A658" s="3"/>
      <c r="E658" s="3">
        <v>412.89</v>
      </c>
      <c r="F658" s="3">
        <v>-21.95</v>
      </c>
      <c r="G658" s="3">
        <v>-5.8</v>
      </c>
      <c r="H658" s="3">
        <v>2.42</v>
      </c>
      <c r="I658" s="3">
        <v>3.73</v>
      </c>
      <c r="J658" s="3">
        <v>-19.18</v>
      </c>
    </row>
    <row r="659" spans="1:10" ht="14.4" x14ac:dyDescent="0.3">
      <c r="A659" s="3"/>
      <c r="E659" s="3">
        <v>427.35</v>
      </c>
      <c r="F659" s="3">
        <v>-23.12</v>
      </c>
      <c r="G659" s="3">
        <v>-6.37</v>
      </c>
      <c r="H659" s="3">
        <v>2.64</v>
      </c>
      <c r="I659" s="3">
        <v>4.46</v>
      </c>
      <c r="J659" s="3">
        <v>-19.059999999999999</v>
      </c>
    </row>
    <row r="660" spans="1:10" ht="14.4" x14ac:dyDescent="0.3">
      <c r="A660" s="3"/>
      <c r="E660" s="3">
        <v>418</v>
      </c>
      <c r="F660" s="3">
        <v>-18.75</v>
      </c>
      <c r="G660" s="3">
        <v>-5.95</v>
      </c>
      <c r="H660" s="3">
        <v>2.62</v>
      </c>
      <c r="I660" s="3">
        <v>5.66</v>
      </c>
      <c r="J660" s="3">
        <v>-12.64</v>
      </c>
    </row>
    <row r="661" spans="1:10" ht="14.4" x14ac:dyDescent="0.3">
      <c r="A661" s="3"/>
      <c r="E661" s="3">
        <v>424.26</v>
      </c>
      <c r="F661" s="3">
        <v>-23.38</v>
      </c>
      <c r="G661" s="3">
        <v>-5.88</v>
      </c>
      <c r="H661" s="3">
        <v>2.61</v>
      </c>
      <c r="I661" s="3">
        <v>4.5999999999999996</v>
      </c>
      <c r="J661" s="3">
        <v>-19.190000000000001</v>
      </c>
    </row>
    <row r="662" spans="1:10" ht="14.4" x14ac:dyDescent="0.3">
      <c r="A662" s="3"/>
      <c r="E662" s="3">
        <v>408.64</v>
      </c>
      <c r="F662" s="3">
        <v>-20.66</v>
      </c>
      <c r="G662" s="3">
        <v>-5.54</v>
      </c>
      <c r="H662" s="3">
        <v>2.31</v>
      </c>
      <c r="I662" s="3">
        <v>3.15</v>
      </c>
      <c r="J662" s="3">
        <v>-17.52</v>
      </c>
    </row>
    <row r="663" spans="1:10" ht="14.4" x14ac:dyDescent="0.3">
      <c r="A663" s="3"/>
      <c r="E663" s="3">
        <v>401.57</v>
      </c>
      <c r="F663" s="3">
        <v>-17.510000000000002</v>
      </c>
      <c r="G663" s="3">
        <v>-5.67</v>
      </c>
      <c r="H663" s="3">
        <v>2.2999999999999998</v>
      </c>
      <c r="I663" s="3">
        <v>3.84</v>
      </c>
      <c r="J663" s="3">
        <v>-13.36</v>
      </c>
    </row>
    <row r="664" spans="1:10" ht="14.4" x14ac:dyDescent="0.3">
      <c r="A664" s="3"/>
      <c r="E664" s="3">
        <v>403.59</v>
      </c>
      <c r="F664" s="3">
        <v>-20.73</v>
      </c>
      <c r="G664" s="3">
        <v>-4.75</v>
      </c>
      <c r="H664" s="3">
        <v>2.14</v>
      </c>
      <c r="I664" s="3">
        <v>3.12</v>
      </c>
      <c r="J664" s="3">
        <v>-17.39</v>
      </c>
    </row>
    <row r="665" spans="1:10" ht="14.4" x14ac:dyDescent="0.3">
      <c r="A665" s="3"/>
      <c r="E665" s="3">
        <v>390.99</v>
      </c>
      <c r="F665" s="3">
        <v>-15.93</v>
      </c>
      <c r="G665" s="3">
        <v>-5</v>
      </c>
      <c r="H665" s="3">
        <v>2.1</v>
      </c>
      <c r="I665" s="3">
        <v>3.65</v>
      </c>
      <c r="J665" s="3">
        <v>-11.73</v>
      </c>
    </row>
    <row r="666" spans="1:10" ht="14.4" x14ac:dyDescent="0.3">
      <c r="A666" s="3"/>
      <c r="E666" s="3">
        <v>393.87</v>
      </c>
      <c r="F666" s="3">
        <v>-13.59</v>
      </c>
      <c r="G666" s="3">
        <v>-5.58</v>
      </c>
      <c r="H666" s="3">
        <v>2.25</v>
      </c>
      <c r="I666" s="3">
        <v>4.41</v>
      </c>
      <c r="J666" s="3">
        <v>-7.78</v>
      </c>
    </row>
    <row r="667" spans="1:10" ht="14.4" x14ac:dyDescent="0.3">
      <c r="A667" s="3"/>
      <c r="E667" s="3">
        <v>393.87</v>
      </c>
      <c r="F667" s="3">
        <v>-13.59</v>
      </c>
      <c r="G667" s="3">
        <v>-5.58</v>
      </c>
      <c r="H667" s="3">
        <v>2.25</v>
      </c>
      <c r="I667" s="3">
        <v>4.41</v>
      </c>
      <c r="J667" s="3">
        <v>-7.78</v>
      </c>
    </row>
    <row r="668" spans="1:10" ht="14.4" x14ac:dyDescent="0.3">
      <c r="A668" s="3"/>
      <c r="E668" s="3">
        <v>282.64999999999998</v>
      </c>
      <c r="F668" s="3">
        <v>-11.41</v>
      </c>
      <c r="G668" s="3">
        <v>-4.01</v>
      </c>
      <c r="H668" s="3">
        <v>1.31</v>
      </c>
      <c r="I668" s="3">
        <v>1.1100000000000001</v>
      </c>
      <c r="J668" s="3">
        <v>-10.36</v>
      </c>
    </row>
    <row r="669" spans="1:10" ht="14.4" x14ac:dyDescent="0.3">
      <c r="A669" s="3"/>
      <c r="E669" s="3">
        <v>276.39</v>
      </c>
      <c r="F669" s="3">
        <v>-6.79</v>
      </c>
      <c r="G669" s="3">
        <v>-4.07</v>
      </c>
      <c r="H669" s="3">
        <v>1.32</v>
      </c>
      <c r="I669" s="3">
        <v>2.17</v>
      </c>
      <c r="J669" s="3">
        <v>-3.81</v>
      </c>
    </row>
    <row r="670" spans="1:10" ht="14.4" x14ac:dyDescent="0.3">
      <c r="A670" s="3"/>
      <c r="E670" s="3">
        <v>292.01</v>
      </c>
      <c r="F670" s="3">
        <v>-9.51</v>
      </c>
      <c r="G670" s="3">
        <v>-4.42</v>
      </c>
      <c r="H670" s="3">
        <v>1.62</v>
      </c>
      <c r="I670" s="3">
        <v>3.62</v>
      </c>
      <c r="J670" s="3">
        <v>-5.48</v>
      </c>
    </row>
    <row r="671" spans="1:10" ht="14.4" x14ac:dyDescent="0.3">
      <c r="A671" s="3"/>
      <c r="E671" s="3">
        <v>299.07</v>
      </c>
      <c r="F671" s="3">
        <v>-12.66</v>
      </c>
      <c r="G671" s="3">
        <v>-4.29</v>
      </c>
      <c r="H671" s="3">
        <v>1.63</v>
      </c>
      <c r="I671" s="3">
        <v>2.93</v>
      </c>
      <c r="J671" s="3">
        <v>-9.64</v>
      </c>
    </row>
    <row r="672" spans="1:10" ht="14.4" x14ac:dyDescent="0.3">
      <c r="A672" s="3"/>
      <c r="E672" s="3">
        <v>297.06</v>
      </c>
      <c r="F672" s="3">
        <v>-9.44</v>
      </c>
      <c r="G672" s="3">
        <v>-5.2</v>
      </c>
      <c r="H672" s="3">
        <v>1.79</v>
      </c>
      <c r="I672" s="3">
        <v>3.65</v>
      </c>
      <c r="J672" s="3">
        <v>-5.61</v>
      </c>
    </row>
    <row r="673" spans="1:10" ht="14.4" x14ac:dyDescent="0.3">
      <c r="A673" s="3"/>
      <c r="E673" s="3">
        <v>309.66000000000003</v>
      </c>
      <c r="F673" s="3">
        <v>-14.24</v>
      </c>
      <c r="G673" s="3">
        <v>-4.96</v>
      </c>
      <c r="H673" s="3">
        <v>1.83</v>
      </c>
      <c r="I673" s="3">
        <v>3.12</v>
      </c>
      <c r="J673" s="3">
        <v>-11.27</v>
      </c>
    </row>
    <row r="674" spans="1:10" ht="14.4" x14ac:dyDescent="0.3">
      <c r="A674" s="3"/>
      <c r="E674" s="3">
        <v>306.77999999999997</v>
      </c>
      <c r="F674" s="3">
        <v>-16.579999999999998</v>
      </c>
      <c r="G674" s="3">
        <v>-4.38</v>
      </c>
      <c r="H674" s="3">
        <v>1.68</v>
      </c>
      <c r="I674" s="3">
        <v>2.36</v>
      </c>
      <c r="J674" s="3">
        <v>-15.22</v>
      </c>
    </row>
    <row r="675" spans="1:10" ht="14.4" x14ac:dyDescent="0.3">
      <c r="A675" s="3"/>
      <c r="E675" s="3">
        <v>321.24</v>
      </c>
      <c r="F675" s="3">
        <v>-17.739999999999998</v>
      </c>
      <c r="G675" s="3">
        <v>-4.95</v>
      </c>
      <c r="H675" s="3">
        <v>1.9</v>
      </c>
      <c r="I675" s="3">
        <v>3.09</v>
      </c>
      <c r="J675" s="3">
        <v>-15.11</v>
      </c>
    </row>
    <row r="676" spans="1:10" ht="14.4" x14ac:dyDescent="0.3">
      <c r="A676" s="3"/>
      <c r="E676" s="3">
        <v>311.89</v>
      </c>
      <c r="F676" s="3">
        <v>-13.38</v>
      </c>
      <c r="G676" s="3">
        <v>-4.5199999999999996</v>
      </c>
      <c r="H676" s="3">
        <v>1.89</v>
      </c>
      <c r="I676" s="3">
        <v>4.29</v>
      </c>
      <c r="J676" s="3">
        <v>-8.69</v>
      </c>
    </row>
    <row r="677" spans="1:10" ht="14.4" x14ac:dyDescent="0.3">
      <c r="A677" s="3"/>
      <c r="E677" s="3">
        <v>318.14999999999998</v>
      </c>
      <c r="F677" s="3">
        <v>-18.010000000000002</v>
      </c>
      <c r="G677" s="3">
        <v>-4.46</v>
      </c>
      <c r="H677" s="3">
        <v>1.88</v>
      </c>
      <c r="I677" s="3">
        <v>3.23</v>
      </c>
      <c r="J677" s="3">
        <v>-15.24</v>
      </c>
    </row>
    <row r="678" spans="1:10" ht="14.4" x14ac:dyDescent="0.3">
      <c r="A678" s="3"/>
      <c r="E678" s="3">
        <v>302.52999999999997</v>
      </c>
      <c r="F678" s="3">
        <v>-15.28</v>
      </c>
      <c r="G678" s="3">
        <v>-4.12</v>
      </c>
      <c r="H678" s="3">
        <v>1.58</v>
      </c>
      <c r="I678" s="3">
        <v>1.78</v>
      </c>
      <c r="J678" s="3">
        <v>-13.57</v>
      </c>
    </row>
    <row r="679" spans="1:10" ht="14.4" x14ac:dyDescent="0.3">
      <c r="A679" s="3"/>
      <c r="E679" s="3">
        <v>295.47000000000003</v>
      </c>
      <c r="F679" s="3">
        <v>-12.13</v>
      </c>
      <c r="G679" s="3">
        <v>-4.25</v>
      </c>
      <c r="H679" s="3">
        <v>1.57</v>
      </c>
      <c r="I679" s="3">
        <v>2.4700000000000002</v>
      </c>
      <c r="J679" s="3">
        <v>-9.41</v>
      </c>
    </row>
    <row r="680" spans="1:10" ht="14.4" x14ac:dyDescent="0.3">
      <c r="A680" s="3"/>
      <c r="E680" s="3">
        <v>297.48</v>
      </c>
      <c r="F680" s="3">
        <v>-15.35</v>
      </c>
      <c r="G680" s="3">
        <v>-3.33</v>
      </c>
      <c r="H680" s="3">
        <v>1.41</v>
      </c>
      <c r="I680" s="3">
        <v>1.75</v>
      </c>
      <c r="J680" s="3">
        <v>-13.44</v>
      </c>
    </row>
    <row r="681" spans="1:10" ht="14.4" x14ac:dyDescent="0.3">
      <c r="A681" s="3"/>
      <c r="E681" s="3">
        <v>284.88</v>
      </c>
      <c r="F681" s="3">
        <v>-10.56</v>
      </c>
      <c r="G681" s="3">
        <v>-3.58</v>
      </c>
      <c r="H681" s="3">
        <v>1.36</v>
      </c>
      <c r="I681" s="3">
        <v>2.2799999999999998</v>
      </c>
      <c r="J681" s="3">
        <v>-7.77</v>
      </c>
    </row>
    <row r="682" spans="1:10" ht="14.4" x14ac:dyDescent="0.3">
      <c r="A682" s="3"/>
      <c r="E682" s="3">
        <v>287.76</v>
      </c>
      <c r="F682" s="3">
        <v>-8.2100000000000009</v>
      </c>
      <c r="G682" s="3">
        <v>-4.16</v>
      </c>
      <c r="H682" s="3">
        <v>1.51</v>
      </c>
      <c r="I682" s="3">
        <v>3.04</v>
      </c>
      <c r="J682" s="3">
        <v>-3.82</v>
      </c>
    </row>
    <row r="683" spans="1:10" ht="14.4" x14ac:dyDescent="0.3">
      <c r="A683" s="3"/>
      <c r="E683" s="3">
        <v>273.29000000000002</v>
      </c>
      <c r="F683" s="3">
        <v>-7.05</v>
      </c>
      <c r="G683" s="3">
        <v>-3.59</v>
      </c>
      <c r="H683" s="3">
        <v>1.29</v>
      </c>
      <c r="I683" s="3">
        <v>2.31</v>
      </c>
      <c r="J683" s="3">
        <v>-3.94</v>
      </c>
    </row>
    <row r="684" spans="1:10" ht="14.4" x14ac:dyDescent="0.3">
      <c r="A684" s="3"/>
      <c r="E684" s="3">
        <v>382.32</v>
      </c>
      <c r="F684" s="3">
        <v>-31.03</v>
      </c>
      <c r="G684" s="3">
        <v>7.51</v>
      </c>
      <c r="H684" s="3">
        <v>-0.16</v>
      </c>
      <c r="I684" s="3">
        <v>-3.78</v>
      </c>
      <c r="J684" s="3">
        <v>-32.130000000000003</v>
      </c>
    </row>
    <row r="685" spans="1:10" ht="14.4" x14ac:dyDescent="0.3">
      <c r="A685" s="3"/>
      <c r="E685" s="3">
        <v>343.55</v>
      </c>
      <c r="F685" s="3">
        <v>23.83</v>
      </c>
      <c r="G685" s="3">
        <v>-17.8</v>
      </c>
      <c r="H685" s="3">
        <v>3.73</v>
      </c>
      <c r="I685" s="3">
        <v>13.43</v>
      </c>
      <c r="J685" s="3">
        <v>39.08</v>
      </c>
    </row>
    <row r="686" spans="1:10" ht="14.4" x14ac:dyDescent="0.3">
      <c r="A686" s="3"/>
      <c r="E686" s="3">
        <v>462.11</v>
      </c>
      <c r="F686" s="3">
        <v>-58.97</v>
      </c>
      <c r="G686" s="3">
        <v>6.44</v>
      </c>
      <c r="H686" s="3">
        <v>0.92</v>
      </c>
      <c r="I686" s="3">
        <v>-5.3</v>
      </c>
      <c r="J686" s="3">
        <v>-65.63</v>
      </c>
    </row>
    <row r="687" spans="1:10" ht="14.4" x14ac:dyDescent="0.3">
      <c r="A687" s="3"/>
      <c r="E687" s="3">
        <v>423.34</v>
      </c>
      <c r="F687" s="3">
        <v>-4.1100000000000003</v>
      </c>
      <c r="G687" s="3">
        <v>-18.87</v>
      </c>
      <c r="H687" s="3">
        <v>4.82</v>
      </c>
      <c r="I687" s="3">
        <v>11.91</v>
      </c>
      <c r="J687" s="3">
        <v>5.57</v>
      </c>
    </row>
    <row r="688" spans="1:10" ht="14.4" x14ac:dyDescent="0.3">
      <c r="A688" s="3"/>
      <c r="E688" s="3">
        <v>382.32</v>
      </c>
      <c r="F688" s="3">
        <v>-31.03</v>
      </c>
      <c r="G688" s="3">
        <v>7.51</v>
      </c>
      <c r="H688" s="3">
        <v>-0.16</v>
      </c>
      <c r="I688" s="3">
        <v>-3.78</v>
      </c>
      <c r="J688" s="3">
        <v>-32.130000000000003</v>
      </c>
    </row>
    <row r="689" spans="1:10" ht="14.4" x14ac:dyDescent="0.3">
      <c r="A689" s="3"/>
      <c r="E689" s="3">
        <v>343.55</v>
      </c>
      <c r="F689" s="3">
        <v>23.83</v>
      </c>
      <c r="G689" s="3">
        <v>-17.8</v>
      </c>
      <c r="H689" s="3">
        <v>3.73</v>
      </c>
      <c r="I689" s="3">
        <v>13.43</v>
      </c>
      <c r="J689" s="3">
        <v>39.08</v>
      </c>
    </row>
    <row r="690" spans="1:10" ht="14.4" x14ac:dyDescent="0.3">
      <c r="A690" s="3"/>
      <c r="E690" s="3">
        <v>462.11</v>
      </c>
      <c r="F690" s="3">
        <v>-58.97</v>
      </c>
      <c r="G690" s="3">
        <v>6.44</v>
      </c>
      <c r="H690" s="3">
        <v>0.92</v>
      </c>
      <c r="I690" s="3">
        <v>-5.3</v>
      </c>
      <c r="J690" s="3">
        <v>-65.63</v>
      </c>
    </row>
    <row r="691" spans="1:10" ht="14.4" x14ac:dyDescent="0.3">
      <c r="A691" s="3"/>
      <c r="E691" s="3">
        <v>423.34</v>
      </c>
      <c r="F691" s="3">
        <v>-4.1100000000000003</v>
      </c>
      <c r="G691" s="3">
        <v>-18.87</v>
      </c>
      <c r="H691" s="3">
        <v>4.82</v>
      </c>
      <c r="I691" s="3">
        <v>11.91</v>
      </c>
      <c r="J691" s="3">
        <v>5.57</v>
      </c>
    </row>
    <row r="692" spans="1:10" ht="14.4" x14ac:dyDescent="0.3">
      <c r="A692" s="3"/>
      <c r="E692" s="3">
        <v>323.47000000000003</v>
      </c>
      <c r="F692" s="3">
        <v>18.12</v>
      </c>
      <c r="G692" s="3">
        <v>-0.72</v>
      </c>
      <c r="H692" s="3">
        <v>0.19</v>
      </c>
      <c r="I692" s="3">
        <v>4.37</v>
      </c>
      <c r="J692" s="3">
        <v>29.53</v>
      </c>
    </row>
    <row r="693" spans="1:10" ht="14.4" x14ac:dyDescent="0.3">
      <c r="A693" s="3"/>
      <c r="E693" s="3">
        <v>453.82</v>
      </c>
      <c r="F693" s="3">
        <v>-68.27</v>
      </c>
      <c r="G693" s="3">
        <v>-2.36</v>
      </c>
      <c r="H693" s="3">
        <v>3.06</v>
      </c>
      <c r="I693" s="3">
        <v>-1.84</v>
      </c>
      <c r="J693" s="3">
        <v>-76.45</v>
      </c>
    </row>
    <row r="694" spans="1:10" ht="14.4" x14ac:dyDescent="0.3">
      <c r="A694" s="3"/>
      <c r="E694" s="3">
        <v>351.84</v>
      </c>
      <c r="F694" s="3">
        <v>33.130000000000003</v>
      </c>
      <c r="G694" s="3">
        <v>-8.99</v>
      </c>
      <c r="H694" s="3">
        <v>1.59</v>
      </c>
      <c r="I694" s="3">
        <v>9.9700000000000006</v>
      </c>
      <c r="J694" s="3">
        <v>49.89</v>
      </c>
    </row>
    <row r="695" spans="1:10" ht="14.4" x14ac:dyDescent="0.3">
      <c r="A695" s="3"/>
      <c r="E695" s="3">
        <v>482.19</v>
      </c>
      <c r="F695" s="3">
        <v>-53.27</v>
      </c>
      <c r="G695" s="3">
        <v>-10.63</v>
      </c>
      <c r="H695" s="3">
        <v>4.46</v>
      </c>
      <c r="I695" s="3">
        <v>3.76</v>
      </c>
      <c r="J695" s="3">
        <v>-56.09</v>
      </c>
    </row>
    <row r="696" spans="1:10" ht="14.4" x14ac:dyDescent="0.3">
      <c r="A696" s="3"/>
      <c r="E696" s="3">
        <v>323.47000000000003</v>
      </c>
      <c r="F696" s="3">
        <v>18.12</v>
      </c>
      <c r="G696" s="3">
        <v>-0.72</v>
      </c>
      <c r="H696" s="3">
        <v>0.19</v>
      </c>
      <c r="I696" s="3">
        <v>4.37</v>
      </c>
      <c r="J696" s="3">
        <v>29.53</v>
      </c>
    </row>
    <row r="697" spans="1:10" ht="14.4" x14ac:dyDescent="0.3">
      <c r="A697" s="3"/>
      <c r="E697" s="3">
        <v>453.82</v>
      </c>
      <c r="F697" s="3">
        <v>-68.27</v>
      </c>
      <c r="G697" s="3">
        <v>-2.36</v>
      </c>
      <c r="H697" s="3">
        <v>3.06</v>
      </c>
      <c r="I697" s="3">
        <v>-1.84</v>
      </c>
      <c r="J697" s="3">
        <v>-76.45</v>
      </c>
    </row>
    <row r="698" spans="1:10" ht="14.4" x14ac:dyDescent="0.3">
      <c r="A698" s="3"/>
      <c r="E698" s="3">
        <v>351.84</v>
      </c>
      <c r="F698" s="3">
        <v>33.130000000000003</v>
      </c>
      <c r="G698" s="3">
        <v>-8.99</v>
      </c>
      <c r="H698" s="3">
        <v>1.59</v>
      </c>
      <c r="I698" s="3">
        <v>9.9700000000000006</v>
      </c>
      <c r="J698" s="3">
        <v>49.89</v>
      </c>
    </row>
    <row r="699" spans="1:10" ht="14.4" x14ac:dyDescent="0.3">
      <c r="A699" s="3"/>
      <c r="E699" s="3">
        <v>482.19</v>
      </c>
      <c r="F699" s="3">
        <v>-53.27</v>
      </c>
      <c r="G699" s="3">
        <v>-10.63</v>
      </c>
      <c r="H699" s="3">
        <v>4.46</v>
      </c>
      <c r="I699" s="3">
        <v>3.76</v>
      </c>
      <c r="J699" s="3">
        <v>-56.09</v>
      </c>
    </row>
    <row r="700" spans="1:10" ht="14.4" x14ac:dyDescent="0.3">
      <c r="A700" s="3"/>
      <c r="E700" s="3">
        <v>597.61</v>
      </c>
      <c r="F700" s="3">
        <v>23.6</v>
      </c>
      <c r="G700" s="3">
        <v>7.85</v>
      </c>
      <c r="H700" s="3">
        <v>5.71</v>
      </c>
      <c r="I700" s="3">
        <v>-6.07</v>
      </c>
      <c r="J700" s="3">
        <v>41.37</v>
      </c>
    </row>
    <row r="701" spans="1:10" ht="14.4" x14ac:dyDescent="0.3">
      <c r="A701" s="3"/>
      <c r="E701" s="3">
        <v>307.44</v>
      </c>
      <c r="F701" s="3">
        <v>-24.94</v>
      </c>
      <c r="G701" s="3">
        <v>-17.48</v>
      </c>
      <c r="H701" s="3">
        <v>0.1</v>
      </c>
      <c r="I701" s="3">
        <v>12.3</v>
      </c>
      <c r="J701" s="3">
        <v>-27.91</v>
      </c>
    </row>
    <row r="702" spans="1:10" ht="14.4" x14ac:dyDescent="0.3">
      <c r="A702" s="3"/>
      <c r="E702" s="3">
        <v>498.22</v>
      </c>
      <c r="F702" s="3">
        <v>-10.199999999999999</v>
      </c>
      <c r="G702" s="3">
        <v>6.12</v>
      </c>
      <c r="H702" s="3">
        <v>4.5599999999999996</v>
      </c>
      <c r="I702" s="3">
        <v>-4.16</v>
      </c>
      <c r="J702" s="3">
        <v>1.35</v>
      </c>
    </row>
    <row r="703" spans="1:10" ht="14.4" x14ac:dyDescent="0.3">
      <c r="A703" s="3"/>
      <c r="E703" s="3">
        <v>208.05</v>
      </c>
      <c r="F703" s="3">
        <v>-58.74</v>
      </c>
      <c r="G703" s="3">
        <v>-19.21</v>
      </c>
      <c r="H703" s="3">
        <v>-1.05</v>
      </c>
      <c r="I703" s="3">
        <v>14.21</v>
      </c>
      <c r="J703" s="3">
        <v>-67.92</v>
      </c>
    </row>
    <row r="704" spans="1:10" ht="14.4" x14ac:dyDescent="0.3">
      <c r="A704" s="3"/>
      <c r="E704" s="3">
        <v>656.39</v>
      </c>
      <c r="F704" s="3">
        <v>43.48</v>
      </c>
      <c r="G704" s="3">
        <v>0.37</v>
      </c>
      <c r="H704" s="3">
        <v>5.32</v>
      </c>
      <c r="I704" s="3">
        <v>-1.45</v>
      </c>
      <c r="J704" s="3">
        <v>61.6</v>
      </c>
    </row>
    <row r="705" spans="1:10" ht="14.4" x14ac:dyDescent="0.3">
      <c r="A705" s="3"/>
      <c r="E705" s="3">
        <v>197.32</v>
      </c>
      <c r="F705" s="3">
        <v>-62.19</v>
      </c>
      <c r="G705" s="3">
        <v>-3.45</v>
      </c>
      <c r="H705" s="3">
        <v>0.82</v>
      </c>
      <c r="I705" s="3">
        <v>3.63</v>
      </c>
      <c r="J705" s="3">
        <v>-65.81</v>
      </c>
    </row>
    <row r="706" spans="1:10" ht="14.4" x14ac:dyDescent="0.3">
      <c r="A706" s="3"/>
      <c r="E706" s="3">
        <v>608.34</v>
      </c>
      <c r="F706" s="3">
        <v>27.05</v>
      </c>
      <c r="G706" s="3">
        <v>-7.91</v>
      </c>
      <c r="H706" s="3">
        <v>3.83</v>
      </c>
      <c r="I706" s="3">
        <v>4.5</v>
      </c>
      <c r="J706" s="3">
        <v>39.25</v>
      </c>
    </row>
    <row r="707" spans="1:10" ht="14.4" x14ac:dyDescent="0.3">
      <c r="A707" s="3"/>
      <c r="E707" s="3">
        <v>149.27000000000001</v>
      </c>
      <c r="F707" s="3">
        <v>-78.62</v>
      </c>
      <c r="G707" s="3">
        <v>-11.72</v>
      </c>
      <c r="H707" s="3">
        <v>-0.67</v>
      </c>
      <c r="I707" s="3">
        <v>9.58</v>
      </c>
      <c r="J707" s="3">
        <v>-88.16</v>
      </c>
    </row>
    <row r="708" spans="1:10" ht="14.4" x14ac:dyDescent="0.3">
      <c r="A708" s="3"/>
      <c r="E708" s="3">
        <v>289.83999999999997</v>
      </c>
      <c r="F708" s="3">
        <v>-27.18</v>
      </c>
      <c r="G708" s="3">
        <v>8.84</v>
      </c>
      <c r="H708" s="3">
        <v>-0.66</v>
      </c>
      <c r="I708" s="3">
        <v>-4.62</v>
      </c>
      <c r="J708" s="3">
        <v>-29.17</v>
      </c>
    </row>
    <row r="709" spans="1:10" ht="14.4" x14ac:dyDescent="0.3">
      <c r="A709" s="3"/>
      <c r="E709" s="3">
        <v>237.85</v>
      </c>
      <c r="F709" s="3">
        <v>28.24</v>
      </c>
      <c r="G709" s="3">
        <v>-16.28</v>
      </c>
      <c r="H709" s="3">
        <v>3.16</v>
      </c>
      <c r="I709" s="3">
        <v>12.47</v>
      </c>
      <c r="J709" s="3">
        <v>42.46</v>
      </c>
    </row>
    <row r="710" spans="1:10" ht="14.4" x14ac:dyDescent="0.3">
      <c r="A710" s="3"/>
      <c r="E710" s="3">
        <v>369.63</v>
      </c>
      <c r="F710" s="3">
        <v>-55.12</v>
      </c>
      <c r="G710" s="3">
        <v>7.77</v>
      </c>
      <c r="H710" s="3">
        <v>0.43</v>
      </c>
      <c r="I710" s="3">
        <v>-6.14</v>
      </c>
      <c r="J710" s="3">
        <v>-62.67</v>
      </c>
    </row>
    <row r="711" spans="1:10" ht="14.4" x14ac:dyDescent="0.3">
      <c r="A711" s="3"/>
      <c r="E711" s="3">
        <v>317.64</v>
      </c>
      <c r="F711" s="3">
        <v>0.3</v>
      </c>
      <c r="G711" s="3">
        <v>-17.350000000000001</v>
      </c>
      <c r="H711" s="3">
        <v>4.25</v>
      </c>
      <c r="I711" s="3">
        <v>10.95</v>
      </c>
      <c r="J711" s="3">
        <v>8.9600000000000009</v>
      </c>
    </row>
    <row r="712" spans="1:10" ht="14.4" x14ac:dyDescent="0.3">
      <c r="A712" s="3"/>
      <c r="E712" s="3">
        <v>289.83999999999997</v>
      </c>
      <c r="F712" s="3">
        <v>-27.18</v>
      </c>
      <c r="G712" s="3">
        <v>8.84</v>
      </c>
      <c r="H712" s="3">
        <v>-0.66</v>
      </c>
      <c r="I712" s="3">
        <v>-4.62</v>
      </c>
      <c r="J712" s="3">
        <v>-29.17</v>
      </c>
    </row>
    <row r="713" spans="1:10" ht="14.4" x14ac:dyDescent="0.3">
      <c r="A713" s="3"/>
      <c r="E713" s="3">
        <v>237.85</v>
      </c>
      <c r="F713" s="3">
        <v>28.24</v>
      </c>
      <c r="G713" s="3">
        <v>-16.28</v>
      </c>
      <c r="H713" s="3">
        <v>3.16</v>
      </c>
      <c r="I713" s="3">
        <v>12.47</v>
      </c>
      <c r="J713" s="3">
        <v>42.46</v>
      </c>
    </row>
    <row r="714" spans="1:10" ht="14.4" x14ac:dyDescent="0.3">
      <c r="A714" s="3"/>
      <c r="E714" s="3">
        <v>369.63</v>
      </c>
      <c r="F714" s="3">
        <v>-55.12</v>
      </c>
      <c r="G714" s="3">
        <v>7.77</v>
      </c>
      <c r="H714" s="3">
        <v>0.43</v>
      </c>
      <c r="I714" s="3">
        <v>-6.14</v>
      </c>
      <c r="J714" s="3">
        <v>-62.67</v>
      </c>
    </row>
    <row r="715" spans="1:10" ht="14.4" x14ac:dyDescent="0.3">
      <c r="A715" s="3"/>
      <c r="E715" s="3">
        <v>317.64</v>
      </c>
      <c r="F715" s="3">
        <v>0.3</v>
      </c>
      <c r="G715" s="3">
        <v>-17.350000000000001</v>
      </c>
      <c r="H715" s="3">
        <v>4.25</v>
      </c>
      <c r="I715" s="3">
        <v>10.95</v>
      </c>
      <c r="J715" s="3">
        <v>8.9600000000000009</v>
      </c>
    </row>
    <row r="716" spans="1:10" ht="14.4" x14ac:dyDescent="0.3">
      <c r="A716" s="3"/>
      <c r="E716" s="3">
        <v>230.98</v>
      </c>
      <c r="F716" s="3">
        <v>21.98</v>
      </c>
      <c r="G716" s="3">
        <v>0.6</v>
      </c>
      <c r="H716" s="3">
        <v>-0.3</v>
      </c>
      <c r="I716" s="3">
        <v>3.53</v>
      </c>
      <c r="J716" s="3">
        <v>32.49</v>
      </c>
    </row>
    <row r="717" spans="1:10" ht="14.4" x14ac:dyDescent="0.3">
      <c r="A717" s="3"/>
      <c r="E717" s="3">
        <v>348.12</v>
      </c>
      <c r="F717" s="3">
        <v>-63.86</v>
      </c>
      <c r="G717" s="3">
        <v>-0.85</v>
      </c>
      <c r="H717" s="3">
        <v>2.4900000000000002</v>
      </c>
      <c r="I717" s="3">
        <v>-2.8</v>
      </c>
      <c r="J717" s="3">
        <v>-73.06</v>
      </c>
    </row>
    <row r="718" spans="1:10" ht="14.4" x14ac:dyDescent="0.3">
      <c r="A718" s="3"/>
      <c r="E718" s="3">
        <v>259.36</v>
      </c>
      <c r="F718" s="3">
        <v>36.979999999999997</v>
      </c>
      <c r="G718" s="3">
        <v>-7.67</v>
      </c>
      <c r="H718" s="3">
        <v>1.0900000000000001</v>
      </c>
      <c r="I718" s="3">
        <v>9.1300000000000008</v>
      </c>
      <c r="J718" s="3">
        <v>52.85</v>
      </c>
    </row>
    <row r="719" spans="1:10" ht="14.4" x14ac:dyDescent="0.3">
      <c r="A719" s="3"/>
      <c r="E719" s="3">
        <v>376.5</v>
      </c>
      <c r="F719" s="3">
        <v>-48.86</v>
      </c>
      <c r="G719" s="3">
        <v>-9.1199999999999992</v>
      </c>
      <c r="H719" s="3">
        <v>3.89</v>
      </c>
      <c r="I719" s="3">
        <v>2.8</v>
      </c>
      <c r="J719" s="3">
        <v>-52.7</v>
      </c>
    </row>
    <row r="720" spans="1:10" ht="14.4" x14ac:dyDescent="0.3">
      <c r="A720" s="3"/>
      <c r="E720" s="3">
        <v>230.98</v>
      </c>
      <c r="F720" s="3">
        <v>21.98</v>
      </c>
      <c r="G720" s="3">
        <v>0.6</v>
      </c>
      <c r="H720" s="3">
        <v>-0.3</v>
      </c>
      <c r="I720" s="3">
        <v>3.53</v>
      </c>
      <c r="J720" s="3">
        <v>32.49</v>
      </c>
    </row>
    <row r="721" spans="1:10" ht="14.4" x14ac:dyDescent="0.3">
      <c r="A721" s="3"/>
      <c r="E721" s="3">
        <v>348.12</v>
      </c>
      <c r="F721" s="3">
        <v>-63.86</v>
      </c>
      <c r="G721" s="3">
        <v>-0.85</v>
      </c>
      <c r="H721" s="3">
        <v>2.4900000000000002</v>
      </c>
      <c r="I721" s="3">
        <v>-2.8</v>
      </c>
      <c r="J721" s="3">
        <v>-73.06</v>
      </c>
    </row>
    <row r="722" spans="1:10" ht="14.4" x14ac:dyDescent="0.3">
      <c r="A722" s="3"/>
      <c r="E722" s="3">
        <v>259.36</v>
      </c>
      <c r="F722" s="3">
        <v>36.979999999999997</v>
      </c>
      <c r="G722" s="3">
        <v>-7.67</v>
      </c>
      <c r="H722" s="3">
        <v>1.0900000000000001</v>
      </c>
      <c r="I722" s="3">
        <v>9.1300000000000008</v>
      </c>
      <c r="J722" s="3">
        <v>52.85</v>
      </c>
    </row>
    <row r="723" spans="1:10" ht="14.4" x14ac:dyDescent="0.3">
      <c r="A723" s="3"/>
      <c r="E723" s="3">
        <v>376.5</v>
      </c>
      <c r="F723" s="3">
        <v>-48.86</v>
      </c>
      <c r="G723" s="3">
        <v>-9.1199999999999992</v>
      </c>
      <c r="H723" s="3">
        <v>3.89</v>
      </c>
      <c r="I723" s="3">
        <v>2.8</v>
      </c>
      <c r="J723" s="3">
        <v>-52.7</v>
      </c>
    </row>
    <row r="724" spans="1:10" ht="14.4" x14ac:dyDescent="0.3">
      <c r="A724" s="3"/>
      <c r="E724" s="3">
        <v>505.13</v>
      </c>
      <c r="F724" s="3">
        <v>27.46</v>
      </c>
      <c r="G724" s="3">
        <v>9.18</v>
      </c>
      <c r="H724" s="3">
        <v>5.21</v>
      </c>
      <c r="I724" s="3">
        <v>-6.91</v>
      </c>
      <c r="J724" s="3">
        <v>44.33</v>
      </c>
    </row>
    <row r="725" spans="1:10" ht="14.4" x14ac:dyDescent="0.3">
      <c r="A725" s="3"/>
      <c r="E725" s="3">
        <v>201.74</v>
      </c>
      <c r="F725" s="3">
        <v>-20.54</v>
      </c>
      <c r="G725" s="3">
        <v>-15.96</v>
      </c>
      <c r="H725" s="3">
        <v>-0.47</v>
      </c>
      <c r="I725" s="3">
        <v>11.34</v>
      </c>
      <c r="J725" s="3">
        <v>-24.52</v>
      </c>
    </row>
    <row r="726" spans="1:10" ht="14.4" x14ac:dyDescent="0.3">
      <c r="A726" s="3"/>
      <c r="E726" s="3">
        <v>405.74</v>
      </c>
      <c r="F726" s="3">
        <v>-6.34</v>
      </c>
      <c r="G726" s="3">
        <v>7.45</v>
      </c>
      <c r="H726" s="3">
        <v>4.0599999999999996</v>
      </c>
      <c r="I726" s="3">
        <v>-5</v>
      </c>
      <c r="J726" s="3">
        <v>4.3099999999999996</v>
      </c>
    </row>
    <row r="727" spans="1:10" ht="14.4" x14ac:dyDescent="0.3">
      <c r="A727" s="3"/>
      <c r="E727" s="3">
        <v>102.35</v>
      </c>
      <c r="F727" s="3">
        <v>-54.34</v>
      </c>
      <c r="G727" s="3">
        <v>-17.690000000000001</v>
      </c>
      <c r="H727" s="3">
        <v>-1.62</v>
      </c>
      <c r="I727" s="3">
        <v>13.25</v>
      </c>
      <c r="J727" s="3">
        <v>-64.540000000000006</v>
      </c>
    </row>
    <row r="728" spans="1:10" ht="14.4" x14ac:dyDescent="0.3">
      <c r="A728" s="3"/>
      <c r="E728" s="3">
        <v>563.9</v>
      </c>
      <c r="F728" s="3">
        <v>47.34</v>
      </c>
      <c r="G728" s="3">
        <v>1.69</v>
      </c>
      <c r="H728" s="3">
        <v>4.82</v>
      </c>
      <c r="I728" s="3">
        <v>-2.29</v>
      </c>
      <c r="J728" s="3">
        <v>64.56</v>
      </c>
    </row>
    <row r="729" spans="1:10" ht="14.4" x14ac:dyDescent="0.3">
      <c r="A729" s="3"/>
      <c r="E729" s="3">
        <v>91.62</v>
      </c>
      <c r="F729" s="3">
        <v>-57.78</v>
      </c>
      <c r="G729" s="3">
        <v>-1.93</v>
      </c>
      <c r="H729" s="3">
        <v>0.26</v>
      </c>
      <c r="I729" s="3">
        <v>2.67</v>
      </c>
      <c r="J729" s="3">
        <v>-62.42</v>
      </c>
    </row>
    <row r="730" spans="1:10" ht="14.4" x14ac:dyDescent="0.3">
      <c r="A730" s="3"/>
      <c r="E730" s="3">
        <v>515.85</v>
      </c>
      <c r="F730" s="3">
        <v>30.91</v>
      </c>
      <c r="G730" s="3">
        <v>-6.58</v>
      </c>
      <c r="H730" s="3">
        <v>3.33</v>
      </c>
      <c r="I730" s="3">
        <v>3.66</v>
      </c>
      <c r="J730" s="3">
        <v>42.21</v>
      </c>
    </row>
    <row r="731" spans="1:10" ht="14.4" x14ac:dyDescent="0.3">
      <c r="A731" s="3"/>
      <c r="E731" s="3">
        <v>370.52</v>
      </c>
      <c r="F731" s="3">
        <v>36.97</v>
      </c>
      <c r="G731" s="3">
        <v>-4.5</v>
      </c>
      <c r="H731" s="3">
        <v>2.5499999999999998</v>
      </c>
      <c r="I731" s="3">
        <v>2.34</v>
      </c>
      <c r="J731" s="3">
        <v>46.87</v>
      </c>
    </row>
    <row r="732" spans="1:10" ht="14.4" x14ac:dyDescent="0.3">
      <c r="A732" s="3"/>
      <c r="E732" s="3">
        <v>298.29000000000002</v>
      </c>
      <c r="F732" s="3">
        <v>-72.849999999999994</v>
      </c>
      <c r="G732" s="3">
        <v>24.79</v>
      </c>
      <c r="H732" s="3">
        <v>-2.83</v>
      </c>
      <c r="I732" s="3">
        <v>-16.55</v>
      </c>
      <c r="J732" s="3">
        <v>-88.29</v>
      </c>
    </row>
    <row r="733" spans="1:10" ht="14.4" x14ac:dyDescent="0.3">
      <c r="A733" s="3"/>
      <c r="E733" s="3">
        <v>507.37</v>
      </c>
      <c r="F733" s="3">
        <v>37.71</v>
      </c>
      <c r="G733" s="3">
        <v>-36.15</v>
      </c>
      <c r="H733" s="3">
        <v>7.48</v>
      </c>
      <c r="I733" s="3">
        <v>24.69</v>
      </c>
      <c r="J733" s="3">
        <v>61.73</v>
      </c>
    </row>
    <row r="734" spans="1:10" ht="14.4" x14ac:dyDescent="0.3">
      <c r="A734" s="3"/>
      <c r="E734" s="3">
        <v>108.86</v>
      </c>
      <c r="F734" s="3">
        <v>85.36</v>
      </c>
      <c r="G734" s="3">
        <v>-1.72</v>
      </c>
      <c r="H734" s="3">
        <v>-1.68</v>
      </c>
      <c r="I734" s="3">
        <v>9.68</v>
      </c>
      <c r="J734" s="3">
        <v>110.16</v>
      </c>
    </row>
    <row r="735" spans="1:10" ht="14.4" x14ac:dyDescent="0.3">
      <c r="A735" s="3"/>
      <c r="E735" s="3">
        <v>696.8</v>
      </c>
      <c r="F735" s="3">
        <v>-120.5</v>
      </c>
      <c r="G735" s="3">
        <v>-9.64</v>
      </c>
      <c r="H735" s="3">
        <v>6.33</v>
      </c>
      <c r="I735" s="3">
        <v>-1.55</v>
      </c>
      <c r="J735" s="3">
        <v>-136.71</v>
      </c>
    </row>
    <row r="736" spans="1:10" ht="14.4" x14ac:dyDescent="0.3">
      <c r="A736" s="3"/>
      <c r="E736" s="3">
        <v>298.29000000000002</v>
      </c>
      <c r="F736" s="3">
        <v>-72.849999999999994</v>
      </c>
      <c r="G736" s="3">
        <v>24.79</v>
      </c>
      <c r="H736" s="3">
        <v>-2.83</v>
      </c>
      <c r="I736" s="3">
        <v>-16.55</v>
      </c>
      <c r="J736" s="3">
        <v>-88.29</v>
      </c>
    </row>
    <row r="737" spans="1:10" ht="14.4" x14ac:dyDescent="0.3">
      <c r="A737" s="3"/>
      <c r="E737" s="3">
        <v>507.37</v>
      </c>
      <c r="F737" s="3">
        <v>37.71</v>
      </c>
      <c r="G737" s="3">
        <v>-36.15</v>
      </c>
      <c r="H737" s="3">
        <v>7.48</v>
      </c>
      <c r="I737" s="3">
        <v>24.69</v>
      </c>
      <c r="J737" s="3">
        <v>61.73</v>
      </c>
    </row>
    <row r="738" spans="1:10" ht="14.4" x14ac:dyDescent="0.3">
      <c r="A738" s="3"/>
      <c r="E738" s="3">
        <v>108.86</v>
      </c>
      <c r="F738" s="3">
        <v>85.36</v>
      </c>
      <c r="G738" s="3">
        <v>-1.72</v>
      </c>
      <c r="H738" s="3">
        <v>-1.68</v>
      </c>
      <c r="I738" s="3">
        <v>9.68</v>
      </c>
      <c r="J738" s="3">
        <v>110.16</v>
      </c>
    </row>
    <row r="739" spans="1:10" ht="14.4" x14ac:dyDescent="0.3">
      <c r="A739" s="3"/>
      <c r="E739" s="3">
        <v>696.8</v>
      </c>
      <c r="F739" s="3">
        <v>-120.5</v>
      </c>
      <c r="G739" s="3">
        <v>-9.64</v>
      </c>
      <c r="H739" s="3">
        <v>6.33</v>
      </c>
      <c r="I739" s="3">
        <v>-1.55</v>
      </c>
      <c r="J739" s="3">
        <v>-136.71</v>
      </c>
    </row>
    <row r="740" spans="1:10" ht="14.4" x14ac:dyDescent="0.3">
      <c r="A740" s="3"/>
      <c r="E740" s="3">
        <v>192.73</v>
      </c>
      <c r="F740" s="3">
        <v>-67.67</v>
      </c>
      <c r="G740" s="3">
        <v>26.2</v>
      </c>
      <c r="H740" s="3">
        <v>-3.56</v>
      </c>
      <c r="I740" s="3">
        <v>-17.920000000000002</v>
      </c>
      <c r="J740" s="3">
        <v>-84.53</v>
      </c>
    </row>
    <row r="741" spans="1:10" ht="14.4" x14ac:dyDescent="0.3">
      <c r="A741" s="3"/>
      <c r="E741" s="3">
        <v>401.81</v>
      </c>
      <c r="F741" s="3">
        <v>42.88</v>
      </c>
      <c r="G741" s="3">
        <v>-34.74</v>
      </c>
      <c r="H741" s="3">
        <v>6.75</v>
      </c>
      <c r="I741" s="3">
        <v>23.32</v>
      </c>
      <c r="J741" s="3">
        <v>65.489999999999995</v>
      </c>
    </row>
    <row r="742" spans="1:10" ht="14.4" x14ac:dyDescent="0.3">
      <c r="A742" s="3"/>
      <c r="E742" s="3">
        <v>3.3</v>
      </c>
      <c r="F742" s="3">
        <v>90.54</v>
      </c>
      <c r="G742" s="3">
        <v>-0.31</v>
      </c>
      <c r="H742" s="3">
        <v>-2.41</v>
      </c>
      <c r="I742" s="3">
        <v>8.31</v>
      </c>
      <c r="J742" s="3">
        <v>113.91</v>
      </c>
    </row>
    <row r="743" spans="1:10" ht="14.4" x14ac:dyDescent="0.3">
      <c r="A743" s="3"/>
      <c r="E743" s="3">
        <v>591.24</v>
      </c>
      <c r="F743" s="3">
        <v>-115.33</v>
      </c>
      <c r="G743" s="3">
        <v>-8.23</v>
      </c>
      <c r="H743" s="3">
        <v>5.6</v>
      </c>
      <c r="I743" s="3">
        <v>-2.91</v>
      </c>
      <c r="J743" s="3">
        <v>-132.96</v>
      </c>
    </row>
    <row r="744" spans="1:10" ht="14.4" x14ac:dyDescent="0.3">
      <c r="A744" s="3"/>
      <c r="E744" s="3">
        <v>192.73</v>
      </c>
      <c r="F744" s="3">
        <v>-67.67</v>
      </c>
      <c r="G744" s="3">
        <v>26.2</v>
      </c>
      <c r="H744" s="3">
        <v>-3.56</v>
      </c>
      <c r="I744" s="3">
        <v>-17.920000000000002</v>
      </c>
      <c r="J744" s="3">
        <v>-84.53</v>
      </c>
    </row>
    <row r="745" spans="1:10" ht="14.4" x14ac:dyDescent="0.3">
      <c r="A745" s="3"/>
      <c r="E745" s="3">
        <v>401.81</v>
      </c>
      <c r="F745" s="3">
        <v>42.88</v>
      </c>
      <c r="G745" s="3">
        <v>-34.74</v>
      </c>
      <c r="H745" s="3">
        <v>6.75</v>
      </c>
      <c r="I745" s="3">
        <v>23.32</v>
      </c>
      <c r="J745" s="3">
        <v>65.489999999999995</v>
      </c>
    </row>
    <row r="746" spans="1:10" ht="14.4" x14ac:dyDescent="0.3">
      <c r="A746" s="3"/>
      <c r="E746" s="3">
        <v>3.3</v>
      </c>
      <c r="F746" s="3">
        <v>90.54</v>
      </c>
      <c r="G746" s="3">
        <v>-0.31</v>
      </c>
      <c r="H746" s="3">
        <v>-2.41</v>
      </c>
      <c r="I746" s="3">
        <v>8.31</v>
      </c>
      <c r="J746" s="3">
        <v>113.91</v>
      </c>
    </row>
    <row r="747" spans="1:10" ht="14.4" x14ac:dyDescent="0.3">
      <c r="A747" s="3"/>
      <c r="E747" s="3">
        <v>591.24</v>
      </c>
      <c r="F747" s="3">
        <v>-115.33</v>
      </c>
      <c r="G747" s="3">
        <v>-8.23</v>
      </c>
      <c r="H747" s="3">
        <v>5.6</v>
      </c>
      <c r="I747" s="3">
        <v>-2.91</v>
      </c>
      <c r="J747" s="3">
        <v>-132.96</v>
      </c>
    </row>
    <row r="748" spans="1:10" ht="14.4" x14ac:dyDescent="0.3">
      <c r="A748" s="3"/>
      <c r="E748" s="3">
        <v>484.63</v>
      </c>
      <c r="F748" s="3">
        <v>-19.28</v>
      </c>
      <c r="G748" s="3">
        <v>-6.64</v>
      </c>
      <c r="H748" s="3">
        <v>2.48</v>
      </c>
      <c r="I748" s="3">
        <v>-14.39</v>
      </c>
      <c r="J748" s="3">
        <v>39.18</v>
      </c>
    </row>
    <row r="749" spans="1:10" ht="14.4" x14ac:dyDescent="0.3">
      <c r="A749" s="3"/>
      <c r="E749" s="3">
        <v>440.64</v>
      </c>
      <c r="F749" s="3">
        <v>-19.78</v>
      </c>
      <c r="G749" s="3">
        <v>-5.8</v>
      </c>
      <c r="H749" s="3">
        <v>2.6</v>
      </c>
      <c r="I749" s="3">
        <v>-11.62</v>
      </c>
      <c r="J749" s="3">
        <v>40.299999999999997</v>
      </c>
    </row>
    <row r="750" spans="1:10" ht="14.4" x14ac:dyDescent="0.3">
      <c r="A750" s="3"/>
      <c r="E750" s="3">
        <v>535.29</v>
      </c>
      <c r="F750" s="3">
        <v>-24.29</v>
      </c>
      <c r="G750" s="3">
        <v>-6.95</v>
      </c>
      <c r="H750" s="3">
        <v>3.17</v>
      </c>
      <c r="I750" s="3">
        <v>-13.62</v>
      </c>
      <c r="J750" s="3">
        <v>49.15</v>
      </c>
    </row>
    <row r="751" spans="1:10" ht="14.4" x14ac:dyDescent="0.3">
      <c r="A751" s="3"/>
      <c r="E751" s="3">
        <v>423.62</v>
      </c>
      <c r="F751" s="3">
        <v>-18.21</v>
      </c>
      <c r="G751" s="3">
        <v>-5.71</v>
      </c>
      <c r="H751" s="3">
        <v>2.35</v>
      </c>
      <c r="I751" s="3">
        <v>-11.92</v>
      </c>
      <c r="J751" s="3">
        <v>37.06</v>
      </c>
    </row>
    <row r="752" spans="1:10" ht="14.4" x14ac:dyDescent="0.3">
      <c r="A752" s="3"/>
      <c r="E752" s="3">
        <v>726.5</v>
      </c>
      <c r="F752" s="3">
        <v>-32.64</v>
      </c>
      <c r="G752" s="3">
        <v>-9.39</v>
      </c>
      <c r="H752" s="3">
        <v>4.18</v>
      </c>
      <c r="I752" s="3">
        <v>-18.329999999999998</v>
      </c>
      <c r="J752" s="3">
        <v>65.39</v>
      </c>
    </row>
    <row r="753" spans="1:10" ht="14.4" x14ac:dyDescent="0.3">
      <c r="A753" s="3"/>
      <c r="E753" s="3">
        <v>409.84</v>
      </c>
      <c r="F753" s="3">
        <v>-16.68</v>
      </c>
      <c r="G753" s="3">
        <v>-4.28</v>
      </c>
      <c r="H753" s="3">
        <v>2.0099999999999998</v>
      </c>
      <c r="I753" s="3">
        <v>-11.01</v>
      </c>
      <c r="J753" s="3">
        <v>32.94</v>
      </c>
    </row>
    <row r="754" spans="1:10" ht="14.4" x14ac:dyDescent="0.3">
      <c r="A754" s="3"/>
      <c r="E754" s="3">
        <v>406.71</v>
      </c>
      <c r="F754" s="3">
        <v>-14.29</v>
      </c>
      <c r="G754" s="3">
        <v>-4.75</v>
      </c>
      <c r="H754" s="3">
        <v>2.0099999999999998</v>
      </c>
      <c r="I754" s="3">
        <v>-11.19</v>
      </c>
      <c r="J754" s="3">
        <v>29.63</v>
      </c>
    </row>
    <row r="755" spans="1:10" ht="14.4" x14ac:dyDescent="0.3">
      <c r="A755" s="3"/>
      <c r="E755" s="3">
        <v>414.52</v>
      </c>
      <c r="F755" s="3">
        <v>-15.7</v>
      </c>
      <c r="G755" s="3">
        <v>-6.27</v>
      </c>
      <c r="H755" s="3">
        <v>2.16</v>
      </c>
      <c r="I755" s="3">
        <v>-12.83</v>
      </c>
      <c r="J755" s="3">
        <v>32.68</v>
      </c>
    </row>
    <row r="756" spans="1:10" ht="14.4" x14ac:dyDescent="0.3">
      <c r="A756" s="3"/>
      <c r="E756" s="3">
        <v>418.06</v>
      </c>
      <c r="F756" s="3">
        <v>-17.25</v>
      </c>
      <c r="G756" s="3">
        <v>-6.01</v>
      </c>
      <c r="H756" s="3">
        <v>2.17</v>
      </c>
      <c r="I756" s="3">
        <v>-12.71</v>
      </c>
      <c r="J756" s="3">
        <v>34.979999999999997</v>
      </c>
    </row>
    <row r="757" spans="1:10" ht="14.4" x14ac:dyDescent="0.3">
      <c r="A757" s="3"/>
      <c r="E757" s="3">
        <v>417.05</v>
      </c>
      <c r="F757" s="3">
        <v>-15.71</v>
      </c>
      <c r="G757" s="3">
        <v>-6.27</v>
      </c>
      <c r="H757" s="3">
        <v>2.2400000000000002</v>
      </c>
      <c r="I757" s="3">
        <v>-13.36</v>
      </c>
      <c r="J757" s="3">
        <v>32.57</v>
      </c>
    </row>
    <row r="758" spans="1:10" ht="14.4" x14ac:dyDescent="0.3">
      <c r="A758" s="3"/>
      <c r="E758" s="3">
        <v>423.35</v>
      </c>
      <c r="F758" s="3">
        <v>-18.100000000000001</v>
      </c>
      <c r="G758" s="3">
        <v>-6.36</v>
      </c>
      <c r="H758" s="3">
        <v>2.27</v>
      </c>
      <c r="I758" s="3">
        <v>-13.57</v>
      </c>
      <c r="J758" s="3">
        <v>36.450000000000003</v>
      </c>
    </row>
    <row r="759" spans="1:10" ht="14.4" x14ac:dyDescent="0.3">
      <c r="A759" s="3"/>
      <c r="E759" s="3">
        <v>421.91</v>
      </c>
      <c r="F759" s="3">
        <v>-19.489999999999998</v>
      </c>
      <c r="G759" s="3">
        <v>-5.73</v>
      </c>
      <c r="H759" s="3">
        <v>2.19</v>
      </c>
      <c r="I759" s="3">
        <v>-12.68</v>
      </c>
      <c r="J759" s="3">
        <v>38.07</v>
      </c>
    </row>
    <row r="760" spans="1:10" ht="14.4" x14ac:dyDescent="0.3">
      <c r="A760" s="3"/>
      <c r="E760" s="3">
        <v>429.14</v>
      </c>
      <c r="F760" s="3">
        <v>-19.86</v>
      </c>
      <c r="G760" s="3">
        <v>-6.59</v>
      </c>
      <c r="H760" s="3">
        <v>2.2999999999999998</v>
      </c>
      <c r="I760" s="3">
        <v>-13.92</v>
      </c>
      <c r="J760" s="3">
        <v>39.450000000000003</v>
      </c>
    </row>
    <row r="761" spans="1:10" ht="14.4" x14ac:dyDescent="0.3">
      <c r="A761" s="3"/>
      <c r="E761" s="3">
        <v>424.46</v>
      </c>
      <c r="F761" s="3">
        <v>-17.64</v>
      </c>
      <c r="G761" s="3">
        <v>-7.17</v>
      </c>
      <c r="H761" s="3">
        <v>2.29</v>
      </c>
      <c r="I761" s="3">
        <v>-13.83</v>
      </c>
      <c r="J761" s="3">
        <v>36.5</v>
      </c>
    </row>
    <row r="762" spans="1:10" ht="14.4" x14ac:dyDescent="0.3">
      <c r="A762" s="3"/>
      <c r="E762" s="3">
        <v>427.59</v>
      </c>
      <c r="F762" s="3">
        <v>-20.03</v>
      </c>
      <c r="G762" s="3">
        <v>-6.7</v>
      </c>
      <c r="H762" s="3">
        <v>2.29</v>
      </c>
      <c r="I762" s="3">
        <v>-13.65</v>
      </c>
      <c r="J762" s="3">
        <v>39.81</v>
      </c>
    </row>
    <row r="763" spans="1:10" ht="14.4" x14ac:dyDescent="0.3">
      <c r="A763" s="3"/>
      <c r="E763" s="3">
        <v>419.78</v>
      </c>
      <c r="F763" s="3">
        <v>-18.62</v>
      </c>
      <c r="G763" s="3">
        <v>-5.18</v>
      </c>
      <c r="H763" s="3">
        <v>2.14</v>
      </c>
      <c r="I763" s="3">
        <v>-12.01</v>
      </c>
      <c r="J763" s="3">
        <v>36.76</v>
      </c>
    </row>
    <row r="764" spans="1:10" ht="14.4" x14ac:dyDescent="0.3">
      <c r="A764" s="3"/>
      <c r="E764" s="3">
        <v>416.25</v>
      </c>
      <c r="F764" s="3">
        <v>-17.07</v>
      </c>
      <c r="G764" s="3">
        <v>-5.44</v>
      </c>
      <c r="H764" s="3">
        <v>2.13</v>
      </c>
      <c r="I764" s="3">
        <v>-12.12</v>
      </c>
      <c r="J764" s="3">
        <v>34.47</v>
      </c>
    </row>
    <row r="765" spans="1:10" ht="14.4" x14ac:dyDescent="0.3">
      <c r="A765" s="3"/>
      <c r="E765" s="3">
        <v>417.26</v>
      </c>
      <c r="F765" s="3">
        <v>-18.62</v>
      </c>
      <c r="G765" s="3">
        <v>-5.18</v>
      </c>
      <c r="H765" s="3">
        <v>2.06</v>
      </c>
      <c r="I765" s="3">
        <v>-11.48</v>
      </c>
      <c r="J765" s="3">
        <v>36.869999999999997</v>
      </c>
    </row>
    <row r="766" spans="1:10" ht="14.4" x14ac:dyDescent="0.3">
      <c r="A766" s="3"/>
      <c r="E766" s="3">
        <v>410.96</v>
      </c>
      <c r="F766" s="3">
        <v>-16.23</v>
      </c>
      <c r="G766" s="3">
        <v>-5.0999999999999996</v>
      </c>
      <c r="H766" s="3">
        <v>2.0299999999999998</v>
      </c>
      <c r="I766" s="3">
        <v>-11.27</v>
      </c>
      <c r="J766" s="3">
        <v>33</v>
      </c>
    </row>
    <row r="767" spans="1:10" ht="14.4" x14ac:dyDescent="0.3">
      <c r="A767" s="3"/>
      <c r="E767" s="3">
        <v>412.4</v>
      </c>
      <c r="F767" s="3">
        <v>-14.83</v>
      </c>
      <c r="G767" s="3">
        <v>-5.72</v>
      </c>
      <c r="H767" s="3">
        <v>2.11</v>
      </c>
      <c r="I767" s="3">
        <v>-12.16</v>
      </c>
      <c r="J767" s="3">
        <v>31.38</v>
      </c>
    </row>
    <row r="768" spans="1:10" ht="14.4" x14ac:dyDescent="0.3">
      <c r="A768" s="3"/>
      <c r="E768" s="3">
        <v>405.17</v>
      </c>
      <c r="F768" s="3">
        <v>-14.46</v>
      </c>
      <c r="G768" s="3">
        <v>-4.8600000000000003</v>
      </c>
      <c r="H768" s="3">
        <v>2</v>
      </c>
      <c r="I768" s="3">
        <v>-10.92</v>
      </c>
      <c r="J768" s="3">
        <v>29.99</v>
      </c>
    </row>
    <row r="769" spans="1:10" ht="14.4" x14ac:dyDescent="0.3">
      <c r="A769" s="3"/>
      <c r="E769" s="3">
        <v>712.72</v>
      </c>
      <c r="F769" s="3">
        <v>-31.11</v>
      </c>
      <c r="G769" s="3">
        <v>-7.96</v>
      </c>
      <c r="H769" s="3">
        <v>3.84</v>
      </c>
      <c r="I769" s="3">
        <v>-17.41</v>
      </c>
      <c r="J769" s="3">
        <v>61.27</v>
      </c>
    </row>
    <row r="770" spans="1:10" ht="14.4" x14ac:dyDescent="0.3">
      <c r="A770" s="3"/>
      <c r="E770" s="3">
        <v>709.59</v>
      </c>
      <c r="F770" s="3">
        <v>-28.72</v>
      </c>
      <c r="G770" s="3">
        <v>-8.44</v>
      </c>
      <c r="H770" s="3">
        <v>3.85</v>
      </c>
      <c r="I770" s="3">
        <v>-17.600000000000001</v>
      </c>
      <c r="J770" s="3">
        <v>57.96</v>
      </c>
    </row>
    <row r="771" spans="1:10" ht="14.4" x14ac:dyDescent="0.3">
      <c r="A771" s="3"/>
      <c r="E771" s="3">
        <v>717.4</v>
      </c>
      <c r="F771" s="3">
        <v>-30.14</v>
      </c>
      <c r="G771" s="3">
        <v>-9.9499999999999993</v>
      </c>
      <c r="H771" s="3">
        <v>4</v>
      </c>
      <c r="I771" s="3">
        <v>-19.239999999999998</v>
      </c>
      <c r="J771" s="3">
        <v>61.01</v>
      </c>
    </row>
    <row r="772" spans="1:10" ht="14.4" x14ac:dyDescent="0.3">
      <c r="A772" s="3"/>
      <c r="E772" s="3">
        <v>720.93</v>
      </c>
      <c r="F772" s="3">
        <v>-31.69</v>
      </c>
      <c r="G772" s="3">
        <v>-9.69</v>
      </c>
      <c r="H772" s="3">
        <v>4</v>
      </c>
      <c r="I772" s="3">
        <v>-19.12</v>
      </c>
      <c r="J772" s="3">
        <v>63.31</v>
      </c>
    </row>
    <row r="773" spans="1:10" ht="14.4" x14ac:dyDescent="0.3">
      <c r="A773" s="3"/>
      <c r="E773" s="3">
        <v>719.93</v>
      </c>
      <c r="F773" s="3">
        <v>-30.14</v>
      </c>
      <c r="G773" s="3">
        <v>-9.9499999999999993</v>
      </c>
      <c r="H773" s="3">
        <v>4.08</v>
      </c>
      <c r="I773" s="3">
        <v>-19.77</v>
      </c>
      <c r="J773" s="3">
        <v>60.9</v>
      </c>
    </row>
    <row r="774" spans="1:10" ht="14.4" x14ac:dyDescent="0.3">
      <c r="A774" s="3"/>
      <c r="E774" s="3">
        <v>726.23</v>
      </c>
      <c r="F774" s="3">
        <v>-32.53</v>
      </c>
      <c r="G774" s="3">
        <v>-10.039999999999999</v>
      </c>
      <c r="H774" s="3">
        <v>4.0999999999999996</v>
      </c>
      <c r="I774" s="3">
        <v>-19.98</v>
      </c>
      <c r="J774" s="3">
        <v>64.77</v>
      </c>
    </row>
    <row r="775" spans="1:10" ht="14.4" x14ac:dyDescent="0.3">
      <c r="A775" s="3"/>
      <c r="E775" s="3">
        <v>724.79</v>
      </c>
      <c r="F775" s="3">
        <v>-33.92</v>
      </c>
      <c r="G775" s="3">
        <v>-9.42</v>
      </c>
      <c r="H775" s="3">
        <v>4.03</v>
      </c>
      <c r="I775" s="3">
        <v>-19.09</v>
      </c>
      <c r="J775" s="3">
        <v>66.39</v>
      </c>
    </row>
    <row r="776" spans="1:10" ht="14.4" x14ac:dyDescent="0.3">
      <c r="A776" s="3"/>
      <c r="E776" s="3">
        <v>732.02</v>
      </c>
      <c r="F776" s="3">
        <v>-34.29</v>
      </c>
      <c r="G776" s="3">
        <v>-10.27</v>
      </c>
      <c r="H776" s="3">
        <v>4.1399999999999997</v>
      </c>
      <c r="I776" s="3">
        <v>-20.329999999999998</v>
      </c>
      <c r="J776" s="3">
        <v>67.78</v>
      </c>
    </row>
    <row r="777" spans="1:10" ht="14.4" x14ac:dyDescent="0.3">
      <c r="A777" s="3"/>
      <c r="E777" s="3">
        <v>727.34</v>
      </c>
      <c r="F777" s="3">
        <v>-32.08</v>
      </c>
      <c r="G777" s="3">
        <v>-10.85</v>
      </c>
      <c r="H777" s="3">
        <v>4.13</v>
      </c>
      <c r="I777" s="3">
        <v>-20.239999999999998</v>
      </c>
      <c r="J777" s="3">
        <v>64.83</v>
      </c>
    </row>
    <row r="778" spans="1:10" ht="14.4" x14ac:dyDescent="0.3">
      <c r="A778" s="3"/>
      <c r="E778" s="3">
        <v>730.47</v>
      </c>
      <c r="F778" s="3">
        <v>-34.46</v>
      </c>
      <c r="G778" s="3">
        <v>-10.38</v>
      </c>
      <c r="H778" s="3">
        <v>4.13</v>
      </c>
      <c r="I778" s="3">
        <v>-20.059999999999999</v>
      </c>
      <c r="J778" s="3">
        <v>68.14</v>
      </c>
    </row>
    <row r="779" spans="1:10" ht="14.4" x14ac:dyDescent="0.3">
      <c r="A779" s="3"/>
      <c r="E779" s="3">
        <v>722.66</v>
      </c>
      <c r="F779" s="3">
        <v>-33.049999999999997</v>
      </c>
      <c r="G779" s="3">
        <v>-8.86</v>
      </c>
      <c r="H779" s="3">
        <v>3.98</v>
      </c>
      <c r="I779" s="3">
        <v>-18.420000000000002</v>
      </c>
      <c r="J779" s="3">
        <v>65.09</v>
      </c>
    </row>
    <row r="780" spans="1:10" ht="14.4" x14ac:dyDescent="0.3">
      <c r="A780" s="3"/>
      <c r="E780" s="3">
        <v>719.13</v>
      </c>
      <c r="F780" s="3">
        <v>-31.5</v>
      </c>
      <c r="G780" s="3">
        <v>-9.1199999999999992</v>
      </c>
      <c r="H780" s="3">
        <v>3.97</v>
      </c>
      <c r="I780" s="3">
        <v>-18.53</v>
      </c>
      <c r="J780" s="3">
        <v>62.79</v>
      </c>
    </row>
    <row r="781" spans="1:10" ht="14.4" x14ac:dyDescent="0.3">
      <c r="A781" s="3"/>
      <c r="E781" s="3">
        <v>720.14</v>
      </c>
      <c r="F781" s="3">
        <v>-33.049999999999997</v>
      </c>
      <c r="G781" s="3">
        <v>-8.86</v>
      </c>
      <c r="H781" s="3">
        <v>3.89</v>
      </c>
      <c r="I781" s="3">
        <v>-17.88</v>
      </c>
      <c r="J781" s="3">
        <v>65.2</v>
      </c>
    </row>
    <row r="782" spans="1:10" ht="14.4" x14ac:dyDescent="0.3">
      <c r="A782" s="3"/>
      <c r="E782" s="3">
        <v>713.84</v>
      </c>
      <c r="F782" s="3">
        <v>-30.66</v>
      </c>
      <c r="G782" s="3">
        <v>-8.7799999999999994</v>
      </c>
      <c r="H782" s="3">
        <v>3.87</v>
      </c>
      <c r="I782" s="3">
        <v>-17.68</v>
      </c>
      <c r="J782" s="3">
        <v>61.33</v>
      </c>
    </row>
    <row r="783" spans="1:10" ht="14.4" x14ac:dyDescent="0.3">
      <c r="A783" s="3"/>
      <c r="E783" s="3">
        <v>715.28</v>
      </c>
      <c r="F783" s="3">
        <v>-29.26</v>
      </c>
      <c r="G783" s="3">
        <v>-9.4</v>
      </c>
      <c r="H783" s="3">
        <v>3.94</v>
      </c>
      <c r="I783" s="3">
        <v>-18.57</v>
      </c>
      <c r="J783" s="3">
        <v>59.71</v>
      </c>
    </row>
    <row r="784" spans="1:10" ht="14.4" x14ac:dyDescent="0.3">
      <c r="A784" s="3"/>
      <c r="E784" s="3">
        <v>708.05</v>
      </c>
      <c r="F784" s="3">
        <v>-28.89</v>
      </c>
      <c r="G784" s="3">
        <v>-8.5399999999999991</v>
      </c>
      <c r="H784" s="3">
        <v>3.83</v>
      </c>
      <c r="I784" s="3">
        <v>-17.329999999999998</v>
      </c>
      <c r="J784" s="3">
        <v>58.32</v>
      </c>
    </row>
    <row r="785" spans="1:10" ht="14.4" x14ac:dyDescent="0.3">
      <c r="A785" s="3"/>
      <c r="E785" s="3">
        <v>407.8</v>
      </c>
      <c r="F785" s="3">
        <v>-16.809999999999999</v>
      </c>
      <c r="G785" s="3">
        <v>-2.79</v>
      </c>
      <c r="H785" s="3">
        <v>2.04</v>
      </c>
      <c r="I785" s="3">
        <v>-9.0299999999999994</v>
      </c>
      <c r="J785" s="3">
        <v>32.72</v>
      </c>
    </row>
    <row r="786" spans="1:10" ht="14.4" x14ac:dyDescent="0.3">
      <c r="A786" s="3"/>
      <c r="E786" s="3">
        <v>401.53</v>
      </c>
      <c r="F786" s="3">
        <v>-12.03</v>
      </c>
      <c r="G786" s="3">
        <v>-3.75</v>
      </c>
      <c r="H786" s="3">
        <v>2.0499999999999998</v>
      </c>
      <c r="I786" s="3">
        <v>-9.4</v>
      </c>
      <c r="J786" s="3">
        <v>26.1</v>
      </c>
    </row>
    <row r="787" spans="1:10" ht="14.4" x14ac:dyDescent="0.3">
      <c r="A787" s="3"/>
      <c r="E787" s="3">
        <v>417.16</v>
      </c>
      <c r="F787" s="3">
        <v>-14.85</v>
      </c>
      <c r="G787" s="3">
        <v>-6.78</v>
      </c>
      <c r="H787" s="3">
        <v>2.35</v>
      </c>
      <c r="I787" s="3">
        <v>-12.68</v>
      </c>
      <c r="J787" s="3">
        <v>32.200000000000003</v>
      </c>
    </row>
    <row r="788" spans="1:10" ht="14.4" x14ac:dyDescent="0.3">
      <c r="A788" s="3"/>
      <c r="E788" s="3">
        <v>424.22</v>
      </c>
      <c r="F788" s="3">
        <v>-17.95</v>
      </c>
      <c r="G788" s="3">
        <v>-6.26</v>
      </c>
      <c r="H788" s="3">
        <v>2.36</v>
      </c>
      <c r="I788" s="3">
        <v>-12.45</v>
      </c>
      <c r="J788" s="3">
        <v>36.79</v>
      </c>
    </row>
    <row r="789" spans="1:10" ht="14.4" x14ac:dyDescent="0.3">
      <c r="A789" s="3"/>
      <c r="E789" s="3">
        <v>422.21</v>
      </c>
      <c r="F789" s="3">
        <v>-14.86</v>
      </c>
      <c r="G789" s="3">
        <v>-6.78</v>
      </c>
      <c r="H789" s="3">
        <v>2.52</v>
      </c>
      <c r="I789" s="3">
        <v>-13.74</v>
      </c>
      <c r="J789" s="3">
        <v>31.98</v>
      </c>
    </row>
    <row r="790" spans="1:10" ht="14.4" x14ac:dyDescent="0.3">
      <c r="A790" s="3"/>
      <c r="E790" s="3">
        <v>434.81</v>
      </c>
      <c r="F790" s="3">
        <v>-19.64</v>
      </c>
      <c r="G790" s="3">
        <v>-6.95</v>
      </c>
      <c r="H790" s="3">
        <v>2.57</v>
      </c>
      <c r="I790" s="3">
        <v>-14.16</v>
      </c>
      <c r="J790" s="3">
        <v>39.72</v>
      </c>
    </row>
    <row r="791" spans="1:10" ht="14.4" x14ac:dyDescent="0.3">
      <c r="A791" s="3"/>
      <c r="E791" s="3">
        <v>431.92</v>
      </c>
      <c r="F791" s="3">
        <v>-22.43</v>
      </c>
      <c r="G791" s="3">
        <v>-5.71</v>
      </c>
      <c r="H791" s="3">
        <v>2.42</v>
      </c>
      <c r="I791" s="3">
        <v>-12.38</v>
      </c>
      <c r="J791" s="3">
        <v>42.96</v>
      </c>
    </row>
    <row r="792" spans="1:10" ht="14.4" x14ac:dyDescent="0.3">
      <c r="A792" s="3"/>
      <c r="E792" s="3">
        <v>446.39</v>
      </c>
      <c r="F792" s="3">
        <v>-23.17</v>
      </c>
      <c r="G792" s="3">
        <v>-7.43</v>
      </c>
      <c r="H792" s="3">
        <v>2.64</v>
      </c>
      <c r="I792" s="3">
        <v>-14.86</v>
      </c>
      <c r="J792" s="3">
        <v>45.74</v>
      </c>
    </row>
    <row r="793" spans="1:10" ht="14.4" x14ac:dyDescent="0.3">
      <c r="A793" s="3"/>
      <c r="E793" s="3">
        <v>437.04</v>
      </c>
      <c r="F793" s="3">
        <v>-18.73</v>
      </c>
      <c r="G793" s="3">
        <v>-8.59</v>
      </c>
      <c r="H793" s="3">
        <v>2.62</v>
      </c>
      <c r="I793" s="3">
        <v>-14.69</v>
      </c>
      <c r="J793" s="3">
        <v>39.840000000000003</v>
      </c>
    </row>
    <row r="794" spans="1:10" ht="14.4" x14ac:dyDescent="0.3">
      <c r="A794" s="3"/>
      <c r="E794" s="3">
        <v>443.3</v>
      </c>
      <c r="F794" s="3">
        <v>-23.51</v>
      </c>
      <c r="G794" s="3">
        <v>-7.63</v>
      </c>
      <c r="H794" s="3">
        <v>2.61</v>
      </c>
      <c r="I794" s="3">
        <v>-14.32</v>
      </c>
      <c r="J794" s="3">
        <v>46.45</v>
      </c>
    </row>
    <row r="795" spans="1:10" ht="14.4" x14ac:dyDescent="0.3">
      <c r="A795" s="3"/>
      <c r="E795" s="3">
        <v>427.67</v>
      </c>
      <c r="F795" s="3">
        <v>-20.69</v>
      </c>
      <c r="G795" s="3">
        <v>-4.5999999999999996</v>
      </c>
      <c r="H795" s="3">
        <v>2.31</v>
      </c>
      <c r="I795" s="3">
        <v>-11.04</v>
      </c>
      <c r="J795" s="3">
        <v>40.36</v>
      </c>
    </row>
    <row r="796" spans="1:10" ht="14.4" x14ac:dyDescent="0.3">
      <c r="A796" s="3"/>
      <c r="E796" s="3">
        <v>420.61</v>
      </c>
      <c r="F796" s="3">
        <v>-17.59</v>
      </c>
      <c r="G796" s="3">
        <v>-5.12</v>
      </c>
      <c r="H796" s="3">
        <v>2.2999999999999998</v>
      </c>
      <c r="I796" s="3">
        <v>-11.27</v>
      </c>
      <c r="J796" s="3">
        <v>35.770000000000003</v>
      </c>
    </row>
    <row r="797" spans="1:10" ht="14.4" x14ac:dyDescent="0.3">
      <c r="A797" s="3"/>
      <c r="E797" s="3">
        <v>422.62</v>
      </c>
      <c r="F797" s="3">
        <v>-20.68</v>
      </c>
      <c r="G797" s="3">
        <v>-4.5999999999999996</v>
      </c>
      <c r="H797" s="3">
        <v>2.14</v>
      </c>
      <c r="I797" s="3">
        <v>-9.98</v>
      </c>
      <c r="J797" s="3">
        <v>40.58</v>
      </c>
    </row>
    <row r="798" spans="1:10" ht="14.4" x14ac:dyDescent="0.3">
      <c r="A798" s="3"/>
      <c r="E798" s="3">
        <v>410.02</v>
      </c>
      <c r="F798" s="3">
        <v>-15.9</v>
      </c>
      <c r="G798" s="3">
        <v>-4.43</v>
      </c>
      <c r="H798" s="3">
        <v>2.1</v>
      </c>
      <c r="I798" s="3">
        <v>-9.56</v>
      </c>
      <c r="J798" s="3">
        <v>32.83</v>
      </c>
    </row>
    <row r="799" spans="1:10" ht="14.4" x14ac:dyDescent="0.3">
      <c r="A799" s="3"/>
      <c r="E799" s="3">
        <v>412.91</v>
      </c>
      <c r="F799" s="3">
        <v>-13.11</v>
      </c>
      <c r="G799" s="3">
        <v>-5.67</v>
      </c>
      <c r="H799" s="3">
        <v>2.25</v>
      </c>
      <c r="I799" s="3">
        <v>-11.34</v>
      </c>
      <c r="J799" s="3">
        <v>29.59</v>
      </c>
    </row>
    <row r="800" spans="1:10" ht="14.4" x14ac:dyDescent="0.3">
      <c r="A800" s="3"/>
      <c r="E800" s="3">
        <v>388.03</v>
      </c>
      <c r="F800" s="3">
        <v>-12.29</v>
      </c>
      <c r="G800" s="3">
        <v>-3.42</v>
      </c>
      <c r="H800" s="3">
        <v>1.99</v>
      </c>
      <c r="I800" s="3">
        <v>-7.5</v>
      </c>
      <c r="J800" s="3">
        <v>26.32</v>
      </c>
    </row>
    <row r="801" spans="1:10" ht="14.4" x14ac:dyDescent="0.3">
      <c r="A801" s="3"/>
      <c r="E801" s="3">
        <v>407.8</v>
      </c>
      <c r="F801" s="3">
        <v>-16.809999999999999</v>
      </c>
      <c r="G801" s="3">
        <v>-2.79</v>
      </c>
      <c r="H801" s="3">
        <v>2.04</v>
      </c>
      <c r="I801" s="3">
        <v>-9.0299999999999994</v>
      </c>
      <c r="J801" s="3">
        <v>32.72</v>
      </c>
    </row>
    <row r="802" spans="1:10" ht="14.4" x14ac:dyDescent="0.3">
      <c r="A802" s="3"/>
      <c r="E802" s="3">
        <v>401.53</v>
      </c>
      <c r="F802" s="3">
        <v>-12.03</v>
      </c>
      <c r="G802" s="3">
        <v>-3.75</v>
      </c>
      <c r="H802" s="3">
        <v>2.0499999999999998</v>
      </c>
      <c r="I802" s="3">
        <v>-9.4</v>
      </c>
      <c r="J802" s="3">
        <v>26.1</v>
      </c>
    </row>
    <row r="803" spans="1:10" ht="14.4" x14ac:dyDescent="0.3">
      <c r="A803" s="3"/>
      <c r="E803" s="3">
        <v>417.16</v>
      </c>
      <c r="F803" s="3">
        <v>-14.85</v>
      </c>
      <c r="G803" s="3">
        <v>-6.78</v>
      </c>
      <c r="H803" s="3">
        <v>2.35</v>
      </c>
      <c r="I803" s="3">
        <v>-12.68</v>
      </c>
      <c r="J803" s="3">
        <v>32.200000000000003</v>
      </c>
    </row>
    <row r="804" spans="1:10" ht="14.4" x14ac:dyDescent="0.3">
      <c r="A804" s="3"/>
      <c r="E804" s="3">
        <v>424.22</v>
      </c>
      <c r="F804" s="3">
        <v>-17.95</v>
      </c>
      <c r="G804" s="3">
        <v>-6.26</v>
      </c>
      <c r="H804" s="3">
        <v>2.36</v>
      </c>
      <c r="I804" s="3">
        <v>-12.45</v>
      </c>
      <c r="J804" s="3">
        <v>36.79</v>
      </c>
    </row>
    <row r="805" spans="1:10" ht="14.4" x14ac:dyDescent="0.3">
      <c r="A805" s="3"/>
      <c r="E805" s="3">
        <v>422.21</v>
      </c>
      <c r="F805" s="3">
        <v>-14.86</v>
      </c>
      <c r="G805" s="3">
        <v>-6.78</v>
      </c>
      <c r="H805" s="3">
        <v>2.52</v>
      </c>
      <c r="I805" s="3">
        <v>-13.74</v>
      </c>
      <c r="J805" s="3">
        <v>31.98</v>
      </c>
    </row>
    <row r="806" spans="1:10" ht="14.4" x14ac:dyDescent="0.3">
      <c r="A806" s="3"/>
      <c r="E806" s="3">
        <v>434.81</v>
      </c>
      <c r="F806" s="3">
        <v>-19.64</v>
      </c>
      <c r="G806" s="3">
        <v>-6.95</v>
      </c>
      <c r="H806" s="3">
        <v>2.57</v>
      </c>
      <c r="I806" s="3">
        <v>-14.16</v>
      </c>
      <c r="J806" s="3">
        <v>39.72</v>
      </c>
    </row>
    <row r="807" spans="1:10" ht="14.4" x14ac:dyDescent="0.3">
      <c r="A807" s="3"/>
      <c r="E807" s="3">
        <v>431.92</v>
      </c>
      <c r="F807" s="3">
        <v>-22.43</v>
      </c>
      <c r="G807" s="3">
        <v>-5.71</v>
      </c>
      <c r="H807" s="3">
        <v>2.42</v>
      </c>
      <c r="I807" s="3">
        <v>-12.38</v>
      </c>
      <c r="J807" s="3">
        <v>42.96</v>
      </c>
    </row>
    <row r="808" spans="1:10" ht="14.4" x14ac:dyDescent="0.3">
      <c r="A808" s="3"/>
      <c r="E808" s="3">
        <v>446.39</v>
      </c>
      <c r="F808" s="3">
        <v>-23.17</v>
      </c>
      <c r="G808" s="3">
        <v>-7.43</v>
      </c>
      <c r="H808" s="3">
        <v>2.64</v>
      </c>
      <c r="I808" s="3">
        <v>-14.86</v>
      </c>
      <c r="J808" s="3">
        <v>45.74</v>
      </c>
    </row>
    <row r="809" spans="1:10" ht="14.4" x14ac:dyDescent="0.3">
      <c r="A809" s="3"/>
      <c r="E809" s="3">
        <v>437.04</v>
      </c>
      <c r="F809" s="3">
        <v>-18.73</v>
      </c>
      <c r="G809" s="3">
        <v>-8.59</v>
      </c>
      <c r="H809" s="3">
        <v>2.62</v>
      </c>
      <c r="I809" s="3">
        <v>-14.69</v>
      </c>
      <c r="J809" s="3">
        <v>39.840000000000003</v>
      </c>
    </row>
    <row r="810" spans="1:10" ht="14.4" x14ac:dyDescent="0.3">
      <c r="A810" s="3"/>
      <c r="E810" s="3">
        <v>443.3</v>
      </c>
      <c r="F810" s="3">
        <v>-23.51</v>
      </c>
      <c r="G810" s="3">
        <v>-7.63</v>
      </c>
      <c r="H810" s="3">
        <v>2.61</v>
      </c>
      <c r="I810" s="3">
        <v>-14.32</v>
      </c>
      <c r="J810" s="3">
        <v>46.45</v>
      </c>
    </row>
    <row r="811" spans="1:10" ht="14.4" x14ac:dyDescent="0.3">
      <c r="A811" s="3"/>
      <c r="E811" s="3">
        <v>427.67</v>
      </c>
      <c r="F811" s="3">
        <v>-20.69</v>
      </c>
      <c r="G811" s="3">
        <v>-4.5999999999999996</v>
      </c>
      <c r="H811" s="3">
        <v>2.31</v>
      </c>
      <c r="I811" s="3">
        <v>-11.04</v>
      </c>
      <c r="J811" s="3">
        <v>40.36</v>
      </c>
    </row>
    <row r="812" spans="1:10" ht="14.4" x14ac:dyDescent="0.3">
      <c r="A812" s="3"/>
      <c r="E812" s="3">
        <v>420.61</v>
      </c>
      <c r="F812" s="3">
        <v>-17.59</v>
      </c>
      <c r="G812" s="3">
        <v>-5.12</v>
      </c>
      <c r="H812" s="3">
        <v>2.2999999999999998</v>
      </c>
      <c r="I812" s="3">
        <v>-11.27</v>
      </c>
      <c r="J812" s="3">
        <v>35.770000000000003</v>
      </c>
    </row>
    <row r="813" spans="1:10" ht="14.4" x14ac:dyDescent="0.3">
      <c r="A813" s="3"/>
      <c r="E813" s="3">
        <v>422.62</v>
      </c>
      <c r="F813" s="3">
        <v>-20.68</v>
      </c>
      <c r="G813" s="3">
        <v>-4.5999999999999996</v>
      </c>
      <c r="H813" s="3">
        <v>2.14</v>
      </c>
      <c r="I813" s="3">
        <v>-9.98</v>
      </c>
      <c r="J813" s="3">
        <v>40.58</v>
      </c>
    </row>
    <row r="814" spans="1:10" ht="14.4" x14ac:dyDescent="0.3">
      <c r="A814" s="3"/>
      <c r="E814" s="3">
        <v>410.02</v>
      </c>
      <c r="F814" s="3">
        <v>-15.9</v>
      </c>
      <c r="G814" s="3">
        <v>-4.43</v>
      </c>
      <c r="H814" s="3">
        <v>2.1</v>
      </c>
      <c r="I814" s="3">
        <v>-9.56</v>
      </c>
      <c r="J814" s="3">
        <v>32.83</v>
      </c>
    </row>
    <row r="815" spans="1:10" ht="14.4" x14ac:dyDescent="0.3">
      <c r="A815" s="3"/>
      <c r="E815" s="3">
        <v>412.91</v>
      </c>
      <c r="F815" s="3">
        <v>-13.11</v>
      </c>
      <c r="G815" s="3">
        <v>-5.67</v>
      </c>
      <c r="H815" s="3">
        <v>2.25</v>
      </c>
      <c r="I815" s="3">
        <v>-11.34</v>
      </c>
      <c r="J815" s="3">
        <v>29.59</v>
      </c>
    </row>
    <row r="816" spans="1:10" ht="14.4" x14ac:dyDescent="0.3">
      <c r="A816" s="3"/>
      <c r="E816" s="3">
        <v>412.91</v>
      </c>
      <c r="F816" s="3">
        <v>-13.11</v>
      </c>
      <c r="G816" s="3">
        <v>-5.67</v>
      </c>
      <c r="H816" s="3">
        <v>2.25</v>
      </c>
      <c r="I816" s="3">
        <v>-11.34</v>
      </c>
      <c r="J816" s="3">
        <v>29.59</v>
      </c>
    </row>
    <row r="817" spans="1:10" ht="14.4" x14ac:dyDescent="0.3">
      <c r="A817" s="3"/>
      <c r="E817" s="3">
        <v>296.93</v>
      </c>
      <c r="F817" s="3">
        <v>-11.43</v>
      </c>
      <c r="G817" s="3">
        <v>-1.37</v>
      </c>
      <c r="H817" s="3">
        <v>1.31</v>
      </c>
      <c r="I817" s="3">
        <v>-6.43</v>
      </c>
      <c r="J817" s="3">
        <v>21.63</v>
      </c>
    </row>
    <row r="818" spans="1:10" ht="14.4" x14ac:dyDescent="0.3">
      <c r="A818" s="3"/>
      <c r="E818" s="3">
        <v>290.66000000000003</v>
      </c>
      <c r="F818" s="3">
        <v>-6.66</v>
      </c>
      <c r="G818" s="3">
        <v>-2.33</v>
      </c>
      <c r="H818" s="3">
        <v>1.32</v>
      </c>
      <c r="I818" s="3">
        <v>-6.79</v>
      </c>
      <c r="J818" s="3">
        <v>15.01</v>
      </c>
    </row>
    <row r="819" spans="1:10" ht="14.4" x14ac:dyDescent="0.3">
      <c r="A819" s="3"/>
      <c r="E819" s="3">
        <v>306.29000000000002</v>
      </c>
      <c r="F819" s="3">
        <v>-9.48</v>
      </c>
      <c r="G819" s="3">
        <v>-5.36</v>
      </c>
      <c r="H819" s="3">
        <v>1.62</v>
      </c>
      <c r="I819" s="3">
        <v>-10.07</v>
      </c>
      <c r="J819" s="3">
        <v>21.11</v>
      </c>
    </row>
    <row r="820" spans="1:10" ht="14.4" x14ac:dyDescent="0.3">
      <c r="A820" s="3"/>
      <c r="E820" s="3">
        <v>313.35000000000002</v>
      </c>
      <c r="F820" s="3">
        <v>-12.58</v>
      </c>
      <c r="G820" s="3">
        <v>-4.84</v>
      </c>
      <c r="H820" s="3">
        <v>1.63</v>
      </c>
      <c r="I820" s="3">
        <v>-9.84</v>
      </c>
      <c r="J820" s="3">
        <v>25.7</v>
      </c>
    </row>
    <row r="821" spans="1:10" ht="14.4" x14ac:dyDescent="0.3">
      <c r="A821" s="3"/>
      <c r="E821" s="3">
        <v>311.33999999999997</v>
      </c>
      <c r="F821" s="3">
        <v>-9.49</v>
      </c>
      <c r="G821" s="3">
        <v>-5.36</v>
      </c>
      <c r="H821" s="3">
        <v>1.79</v>
      </c>
      <c r="I821" s="3">
        <v>-11.14</v>
      </c>
      <c r="J821" s="3">
        <v>20.89</v>
      </c>
    </row>
    <row r="822" spans="1:10" ht="14.4" x14ac:dyDescent="0.3">
      <c r="A822" s="3"/>
      <c r="E822" s="3">
        <v>323.94</v>
      </c>
      <c r="F822" s="3">
        <v>-14.27</v>
      </c>
      <c r="G822" s="3">
        <v>-5.53</v>
      </c>
      <c r="H822" s="3">
        <v>1.83</v>
      </c>
      <c r="I822" s="3">
        <v>-11.55</v>
      </c>
      <c r="J822" s="3">
        <v>28.63</v>
      </c>
    </row>
    <row r="823" spans="1:10" ht="14.4" x14ac:dyDescent="0.3">
      <c r="A823" s="3"/>
      <c r="E823" s="3">
        <v>321.06</v>
      </c>
      <c r="F823" s="3">
        <v>-17.059999999999999</v>
      </c>
      <c r="G823" s="3">
        <v>-4.29</v>
      </c>
      <c r="H823" s="3">
        <v>1.68</v>
      </c>
      <c r="I823" s="3">
        <v>-9.77</v>
      </c>
      <c r="J823" s="3">
        <v>31.87</v>
      </c>
    </row>
    <row r="824" spans="1:10" ht="14.4" x14ac:dyDescent="0.3">
      <c r="A824" s="3"/>
      <c r="E824" s="3">
        <v>335.52</v>
      </c>
      <c r="F824" s="3">
        <v>-17.8</v>
      </c>
      <c r="G824" s="3">
        <v>-6</v>
      </c>
      <c r="H824" s="3">
        <v>1.9</v>
      </c>
      <c r="I824" s="3">
        <v>-12.25</v>
      </c>
      <c r="J824" s="3">
        <v>34.64</v>
      </c>
    </row>
    <row r="825" spans="1:10" ht="14.4" x14ac:dyDescent="0.3">
      <c r="A825" s="3"/>
      <c r="E825" s="3">
        <v>326.17</v>
      </c>
      <c r="F825" s="3">
        <v>-13.36</v>
      </c>
      <c r="G825" s="3">
        <v>-7.16</v>
      </c>
      <c r="H825" s="3">
        <v>1.89</v>
      </c>
      <c r="I825" s="3">
        <v>-12.08</v>
      </c>
      <c r="J825" s="3">
        <v>28.75</v>
      </c>
    </row>
    <row r="826" spans="1:10" ht="14.4" x14ac:dyDescent="0.3">
      <c r="A826" s="3"/>
      <c r="E826" s="3">
        <v>332.43</v>
      </c>
      <c r="F826" s="3">
        <v>-18.14</v>
      </c>
      <c r="G826" s="3">
        <v>-6.21</v>
      </c>
      <c r="H826" s="3">
        <v>1.88</v>
      </c>
      <c r="I826" s="3">
        <v>-11.71</v>
      </c>
      <c r="J826" s="3">
        <v>35.36</v>
      </c>
    </row>
    <row r="827" spans="1:10" ht="14.4" x14ac:dyDescent="0.3">
      <c r="A827" s="3"/>
      <c r="E827" s="3">
        <v>316.81</v>
      </c>
      <c r="F827" s="3">
        <v>-15.31</v>
      </c>
      <c r="G827" s="3">
        <v>-3.18</v>
      </c>
      <c r="H827" s="3">
        <v>1.58</v>
      </c>
      <c r="I827" s="3">
        <v>-8.43</v>
      </c>
      <c r="J827" s="3">
        <v>29.27</v>
      </c>
    </row>
    <row r="828" spans="1:10" ht="14.4" x14ac:dyDescent="0.3">
      <c r="A828" s="3"/>
      <c r="E828" s="3">
        <v>309.74</v>
      </c>
      <c r="F828" s="3">
        <v>-12.21</v>
      </c>
      <c r="G828" s="3">
        <v>-3.7</v>
      </c>
      <c r="H828" s="3">
        <v>1.57</v>
      </c>
      <c r="I828" s="3">
        <v>-8.66</v>
      </c>
      <c r="J828" s="3">
        <v>24.67</v>
      </c>
    </row>
    <row r="829" spans="1:10" ht="14.4" x14ac:dyDescent="0.3">
      <c r="A829" s="3"/>
      <c r="E829" s="3">
        <v>311.76</v>
      </c>
      <c r="F829" s="3">
        <v>-15.31</v>
      </c>
      <c r="G829" s="3">
        <v>-3.18</v>
      </c>
      <c r="H829" s="3">
        <v>1.41</v>
      </c>
      <c r="I829" s="3">
        <v>-7.37</v>
      </c>
      <c r="J829" s="3">
        <v>29.49</v>
      </c>
    </row>
    <row r="830" spans="1:10" ht="14.4" x14ac:dyDescent="0.3">
      <c r="A830" s="3"/>
      <c r="E830" s="3">
        <v>299.16000000000003</v>
      </c>
      <c r="F830" s="3">
        <v>-10.53</v>
      </c>
      <c r="G830" s="3">
        <v>-3.01</v>
      </c>
      <c r="H830" s="3">
        <v>1.36</v>
      </c>
      <c r="I830" s="3">
        <v>-6.95</v>
      </c>
      <c r="J830" s="3">
        <v>21.74</v>
      </c>
    </row>
    <row r="831" spans="1:10" ht="14.4" x14ac:dyDescent="0.3">
      <c r="A831" s="3"/>
      <c r="E831" s="3">
        <v>302.04000000000002</v>
      </c>
      <c r="F831" s="3">
        <v>-7.74</v>
      </c>
      <c r="G831" s="3">
        <v>-4.25</v>
      </c>
      <c r="H831" s="3">
        <v>1.51</v>
      </c>
      <c r="I831" s="3">
        <v>-8.73</v>
      </c>
      <c r="J831" s="3">
        <v>18.5</v>
      </c>
    </row>
    <row r="832" spans="1:10" ht="14.4" x14ac:dyDescent="0.3">
      <c r="A832" s="3"/>
      <c r="E832" s="3">
        <v>287.57</v>
      </c>
      <c r="F832" s="3">
        <v>-7</v>
      </c>
      <c r="G832" s="3">
        <v>-2.5299999999999998</v>
      </c>
      <c r="H832" s="3">
        <v>1.29</v>
      </c>
      <c r="I832" s="3">
        <v>-6.25</v>
      </c>
      <c r="J832" s="3">
        <v>15.73</v>
      </c>
    </row>
    <row r="833" spans="1:10" ht="14.4" x14ac:dyDescent="0.3">
      <c r="A833" s="3"/>
      <c r="E833" s="3">
        <v>404.53</v>
      </c>
      <c r="F833" s="3">
        <v>-31.03</v>
      </c>
      <c r="G833" s="3">
        <v>7.51</v>
      </c>
      <c r="H833" s="3">
        <v>-0.16</v>
      </c>
      <c r="I833" s="3">
        <v>17.260000000000002</v>
      </c>
      <c r="J833" s="3">
        <v>54.77</v>
      </c>
    </row>
    <row r="834" spans="1:10" ht="14.4" x14ac:dyDescent="0.3">
      <c r="A834" s="3"/>
      <c r="E834" s="3">
        <v>359.41</v>
      </c>
      <c r="F834" s="3">
        <v>23.83</v>
      </c>
      <c r="G834" s="3">
        <v>-17.8</v>
      </c>
      <c r="H834" s="3">
        <v>3.73</v>
      </c>
      <c r="I834" s="3">
        <v>-36.4</v>
      </c>
      <c r="J834" s="3">
        <v>-27.65</v>
      </c>
    </row>
    <row r="835" spans="1:10" ht="14.4" x14ac:dyDescent="0.3">
      <c r="A835" s="3"/>
      <c r="E835" s="3">
        <v>484.32</v>
      </c>
      <c r="F835" s="3">
        <v>-58.97</v>
      </c>
      <c r="G835" s="3">
        <v>6.44</v>
      </c>
      <c r="H835" s="3">
        <v>0.92</v>
      </c>
      <c r="I835" s="3">
        <v>12.73</v>
      </c>
      <c r="J835" s="3">
        <v>99.49</v>
      </c>
    </row>
    <row r="836" spans="1:10" ht="14.4" x14ac:dyDescent="0.3">
      <c r="A836" s="3"/>
      <c r="E836" s="3">
        <v>439.2</v>
      </c>
      <c r="F836" s="3">
        <v>-4.1100000000000003</v>
      </c>
      <c r="G836" s="3">
        <v>-18.87</v>
      </c>
      <c r="H836" s="3">
        <v>4.82</v>
      </c>
      <c r="I836" s="3">
        <v>-40.93</v>
      </c>
      <c r="J836" s="3">
        <v>17.079999999999998</v>
      </c>
    </row>
    <row r="837" spans="1:10" ht="14.4" x14ac:dyDescent="0.3">
      <c r="A837" s="3"/>
      <c r="E837" s="3">
        <v>404.53</v>
      </c>
      <c r="F837" s="3">
        <v>-31.03</v>
      </c>
      <c r="G837" s="3">
        <v>7.51</v>
      </c>
      <c r="H837" s="3">
        <v>-0.16</v>
      </c>
      <c r="I837" s="3">
        <v>17.260000000000002</v>
      </c>
      <c r="J837" s="3">
        <v>54.77</v>
      </c>
    </row>
    <row r="838" spans="1:10" ht="14.4" x14ac:dyDescent="0.3">
      <c r="A838" s="3"/>
      <c r="E838" s="3">
        <v>359.41</v>
      </c>
      <c r="F838" s="3">
        <v>23.83</v>
      </c>
      <c r="G838" s="3">
        <v>-17.8</v>
      </c>
      <c r="H838" s="3">
        <v>3.73</v>
      </c>
      <c r="I838" s="3">
        <v>-36.4</v>
      </c>
      <c r="J838" s="3">
        <v>-27.65</v>
      </c>
    </row>
    <row r="839" spans="1:10" ht="14.4" x14ac:dyDescent="0.3">
      <c r="A839" s="3"/>
      <c r="E839" s="3">
        <v>484.32</v>
      </c>
      <c r="F839" s="3">
        <v>-58.97</v>
      </c>
      <c r="G839" s="3">
        <v>6.44</v>
      </c>
      <c r="H839" s="3">
        <v>0.92</v>
      </c>
      <c r="I839" s="3">
        <v>12.73</v>
      </c>
      <c r="J839" s="3">
        <v>99.49</v>
      </c>
    </row>
    <row r="840" spans="1:10" ht="14.4" x14ac:dyDescent="0.3">
      <c r="A840" s="3"/>
      <c r="E840" s="3">
        <v>439.2</v>
      </c>
      <c r="F840" s="3">
        <v>-4.1100000000000003</v>
      </c>
      <c r="G840" s="3">
        <v>-18.87</v>
      </c>
      <c r="H840" s="3">
        <v>4.82</v>
      </c>
      <c r="I840" s="3">
        <v>-40.93</v>
      </c>
      <c r="J840" s="3">
        <v>17.079999999999998</v>
      </c>
    </row>
    <row r="841" spans="1:10" ht="14.4" x14ac:dyDescent="0.3">
      <c r="A841" s="3"/>
      <c r="E841" s="3">
        <v>345.68</v>
      </c>
      <c r="F841" s="3">
        <v>18.12</v>
      </c>
      <c r="G841" s="3">
        <v>-0.72</v>
      </c>
      <c r="H841" s="3">
        <v>0.19</v>
      </c>
      <c r="I841" s="3">
        <v>2.35</v>
      </c>
      <c r="J841" s="3">
        <v>-21.22</v>
      </c>
    </row>
    <row r="842" spans="1:10" ht="14.4" x14ac:dyDescent="0.3">
      <c r="A842" s="3"/>
      <c r="E842" s="3">
        <v>469.68</v>
      </c>
      <c r="F842" s="3">
        <v>-68.27</v>
      </c>
      <c r="G842" s="3">
        <v>-2.36</v>
      </c>
      <c r="H842" s="3">
        <v>3.06</v>
      </c>
      <c r="I842" s="3">
        <v>-8.4600000000000009</v>
      </c>
      <c r="J842" s="3">
        <v>114.71</v>
      </c>
    </row>
    <row r="843" spans="1:10" ht="14.4" x14ac:dyDescent="0.3">
      <c r="A843" s="3"/>
      <c r="E843" s="3">
        <v>374.05</v>
      </c>
      <c r="F843" s="3">
        <v>33.130000000000003</v>
      </c>
      <c r="G843" s="3">
        <v>-8.99</v>
      </c>
      <c r="H843" s="3">
        <v>1.59</v>
      </c>
      <c r="I843" s="3">
        <v>-15.21</v>
      </c>
      <c r="J843" s="3">
        <v>-42.87</v>
      </c>
    </row>
    <row r="844" spans="1:10" ht="14.4" x14ac:dyDescent="0.3">
      <c r="A844" s="3"/>
      <c r="E844" s="3">
        <v>498.06</v>
      </c>
      <c r="F844" s="3">
        <v>-53.27</v>
      </c>
      <c r="G844" s="3">
        <v>-10.63</v>
      </c>
      <c r="H844" s="3">
        <v>4.46</v>
      </c>
      <c r="I844" s="3">
        <v>-26.02</v>
      </c>
      <c r="J844" s="3">
        <v>93.06</v>
      </c>
    </row>
    <row r="845" spans="1:10" ht="14.4" x14ac:dyDescent="0.3">
      <c r="A845" s="3"/>
      <c r="E845" s="3">
        <v>345.68</v>
      </c>
      <c r="F845" s="3">
        <v>18.12</v>
      </c>
      <c r="G845" s="3">
        <v>-0.72</v>
      </c>
      <c r="H845" s="3">
        <v>0.19</v>
      </c>
      <c r="I845" s="3">
        <v>2.35</v>
      </c>
      <c r="J845" s="3">
        <v>-21.22</v>
      </c>
    </row>
    <row r="846" spans="1:10" ht="14.4" x14ac:dyDescent="0.3">
      <c r="A846" s="3"/>
      <c r="E846" s="3">
        <v>469.68</v>
      </c>
      <c r="F846" s="3">
        <v>-68.27</v>
      </c>
      <c r="G846" s="3">
        <v>-2.36</v>
      </c>
      <c r="H846" s="3">
        <v>3.06</v>
      </c>
      <c r="I846" s="3">
        <v>-8.4600000000000009</v>
      </c>
      <c r="J846" s="3">
        <v>114.71</v>
      </c>
    </row>
    <row r="847" spans="1:10" ht="14.4" x14ac:dyDescent="0.3">
      <c r="A847" s="3"/>
      <c r="E847" s="3">
        <v>374.05</v>
      </c>
      <c r="F847" s="3">
        <v>33.130000000000003</v>
      </c>
      <c r="G847" s="3">
        <v>-8.99</v>
      </c>
      <c r="H847" s="3">
        <v>1.59</v>
      </c>
      <c r="I847" s="3">
        <v>-15.21</v>
      </c>
      <c r="J847" s="3">
        <v>-42.87</v>
      </c>
    </row>
    <row r="848" spans="1:10" ht="14.4" x14ac:dyDescent="0.3">
      <c r="A848" s="3"/>
      <c r="E848" s="3">
        <v>498.06</v>
      </c>
      <c r="F848" s="3">
        <v>-53.27</v>
      </c>
      <c r="G848" s="3">
        <v>-10.63</v>
      </c>
      <c r="H848" s="3">
        <v>4.46</v>
      </c>
      <c r="I848" s="3">
        <v>-26.02</v>
      </c>
      <c r="J848" s="3">
        <v>93.06</v>
      </c>
    </row>
    <row r="849" spans="1:10" ht="14.4" x14ac:dyDescent="0.3">
      <c r="A849" s="3"/>
      <c r="E849" s="3">
        <v>619.82000000000005</v>
      </c>
      <c r="F849" s="3">
        <v>23.6</v>
      </c>
      <c r="G849" s="3">
        <v>7.85</v>
      </c>
      <c r="H849" s="3">
        <v>5.71</v>
      </c>
      <c r="I849" s="3">
        <v>-45.92</v>
      </c>
      <c r="J849" s="3">
        <v>108.2</v>
      </c>
    </row>
    <row r="850" spans="1:10" ht="14.4" x14ac:dyDescent="0.3">
      <c r="A850" s="3"/>
      <c r="E850" s="3">
        <v>323.3</v>
      </c>
      <c r="F850" s="3">
        <v>-24.94</v>
      </c>
      <c r="G850" s="3">
        <v>-17.48</v>
      </c>
      <c r="H850" s="3">
        <v>0.1</v>
      </c>
      <c r="I850" s="3">
        <v>16.41</v>
      </c>
      <c r="J850" s="3">
        <v>18.28</v>
      </c>
    </row>
    <row r="851" spans="1:10" ht="14.4" x14ac:dyDescent="0.3">
      <c r="A851" s="3"/>
      <c r="E851" s="3">
        <v>520.42999999999995</v>
      </c>
      <c r="F851" s="3">
        <v>-10.199999999999999</v>
      </c>
      <c r="G851" s="3">
        <v>6.12</v>
      </c>
      <c r="H851" s="3">
        <v>4.5599999999999996</v>
      </c>
      <c r="I851" s="3">
        <v>-40.08</v>
      </c>
      <c r="J851" s="3">
        <v>53.56</v>
      </c>
    </row>
    <row r="852" spans="1:10" ht="14.4" x14ac:dyDescent="0.3">
      <c r="A852" s="3"/>
      <c r="E852" s="3">
        <v>223.91</v>
      </c>
      <c r="F852" s="3">
        <v>-58.74</v>
      </c>
      <c r="G852" s="3">
        <v>-19.21</v>
      </c>
      <c r="H852" s="3">
        <v>-1.05</v>
      </c>
      <c r="I852" s="3">
        <v>22.25</v>
      </c>
      <c r="J852" s="3">
        <v>-36.36</v>
      </c>
    </row>
    <row r="853" spans="1:10" ht="14.4" x14ac:dyDescent="0.3">
      <c r="A853" s="3"/>
      <c r="E853" s="3">
        <v>678.6</v>
      </c>
      <c r="F853" s="3">
        <v>43.48</v>
      </c>
      <c r="G853" s="3">
        <v>0.37</v>
      </c>
      <c r="H853" s="3">
        <v>5.32</v>
      </c>
      <c r="I853" s="3">
        <v>-32.340000000000003</v>
      </c>
      <c r="J853" s="3">
        <v>143.35</v>
      </c>
    </row>
    <row r="854" spans="1:10" ht="14.4" x14ac:dyDescent="0.3">
      <c r="A854" s="3"/>
      <c r="E854" s="3">
        <v>213.18</v>
      </c>
      <c r="F854" s="3">
        <v>-62.19</v>
      </c>
      <c r="G854" s="3">
        <v>-3.45</v>
      </c>
      <c r="H854" s="3">
        <v>0.82</v>
      </c>
      <c r="I854" s="3">
        <v>-9.02</v>
      </c>
      <c r="J854" s="3">
        <v>-47.57</v>
      </c>
    </row>
    <row r="855" spans="1:10" ht="14.4" x14ac:dyDescent="0.3">
      <c r="A855" s="3"/>
      <c r="E855" s="3">
        <v>630.54999999999995</v>
      </c>
      <c r="F855" s="3">
        <v>27.05</v>
      </c>
      <c r="G855" s="3">
        <v>-7.91</v>
      </c>
      <c r="H855" s="3">
        <v>3.83</v>
      </c>
      <c r="I855" s="3">
        <v>-14.65</v>
      </c>
      <c r="J855" s="3">
        <v>119.42</v>
      </c>
    </row>
    <row r="856" spans="1:10" ht="14.4" x14ac:dyDescent="0.3">
      <c r="A856" s="3"/>
      <c r="E856" s="3">
        <v>165.14</v>
      </c>
      <c r="F856" s="3">
        <v>-78.62</v>
      </c>
      <c r="G856" s="3">
        <v>-11.72</v>
      </c>
      <c r="H856" s="3">
        <v>-0.67</v>
      </c>
      <c r="I856" s="3">
        <v>8.68</v>
      </c>
      <c r="J856" s="3">
        <v>-71.5</v>
      </c>
    </row>
    <row r="857" spans="1:10" ht="14.4" x14ac:dyDescent="0.3">
      <c r="A857" s="3"/>
      <c r="E857" s="3">
        <v>307.61</v>
      </c>
      <c r="F857" s="3">
        <v>-27.18</v>
      </c>
      <c r="G857" s="3">
        <v>8.84</v>
      </c>
      <c r="H857" s="3">
        <v>-0.66</v>
      </c>
      <c r="I857" s="3">
        <v>20.14</v>
      </c>
      <c r="J857" s="3">
        <v>46.93</v>
      </c>
    </row>
    <row r="858" spans="1:10" ht="14.4" x14ac:dyDescent="0.3">
      <c r="A858" s="3"/>
      <c r="E858" s="3">
        <v>248.64</v>
      </c>
      <c r="F858" s="3">
        <v>28.24</v>
      </c>
      <c r="G858" s="3">
        <v>-16.28</v>
      </c>
      <c r="H858" s="3">
        <v>3.16</v>
      </c>
      <c r="I858" s="3">
        <v>-33.11</v>
      </c>
      <c r="J858" s="3">
        <v>-36.6</v>
      </c>
    </row>
    <row r="859" spans="1:10" ht="14.4" x14ac:dyDescent="0.3">
      <c r="A859" s="3"/>
      <c r="E859" s="3">
        <v>387.4</v>
      </c>
      <c r="F859" s="3">
        <v>-55.12</v>
      </c>
      <c r="G859" s="3">
        <v>7.77</v>
      </c>
      <c r="H859" s="3">
        <v>0.43</v>
      </c>
      <c r="I859" s="3">
        <v>15.61</v>
      </c>
      <c r="J859" s="3">
        <v>91.66</v>
      </c>
    </row>
    <row r="860" spans="1:10" ht="14.4" x14ac:dyDescent="0.3">
      <c r="A860" s="3"/>
      <c r="E860" s="3">
        <v>328.43</v>
      </c>
      <c r="F860" s="3">
        <v>0.3</v>
      </c>
      <c r="G860" s="3">
        <v>-17.350000000000001</v>
      </c>
      <c r="H860" s="3">
        <v>4.25</v>
      </c>
      <c r="I860" s="3">
        <v>-37.64</v>
      </c>
      <c r="J860" s="3">
        <v>8.1199999999999992</v>
      </c>
    </row>
    <row r="861" spans="1:10" ht="14.4" x14ac:dyDescent="0.3">
      <c r="A861" s="3"/>
      <c r="E861" s="3">
        <v>307.61</v>
      </c>
      <c r="F861" s="3">
        <v>-27.18</v>
      </c>
      <c r="G861" s="3">
        <v>8.84</v>
      </c>
      <c r="H861" s="3">
        <v>-0.66</v>
      </c>
      <c r="I861" s="3">
        <v>20.14</v>
      </c>
      <c r="J861" s="3">
        <v>46.93</v>
      </c>
    </row>
    <row r="862" spans="1:10" ht="14.4" x14ac:dyDescent="0.3">
      <c r="A862" s="3"/>
      <c r="E862" s="3">
        <v>248.64</v>
      </c>
      <c r="F862" s="3">
        <v>28.24</v>
      </c>
      <c r="G862" s="3">
        <v>-16.28</v>
      </c>
      <c r="H862" s="3">
        <v>3.16</v>
      </c>
      <c r="I862" s="3">
        <v>-33.11</v>
      </c>
      <c r="J862" s="3">
        <v>-36.6</v>
      </c>
    </row>
    <row r="863" spans="1:10" ht="14.4" x14ac:dyDescent="0.3">
      <c r="A863" s="3"/>
      <c r="E863" s="3">
        <v>387.4</v>
      </c>
      <c r="F863" s="3">
        <v>-55.12</v>
      </c>
      <c r="G863" s="3">
        <v>7.77</v>
      </c>
      <c r="H863" s="3">
        <v>0.43</v>
      </c>
      <c r="I863" s="3">
        <v>15.61</v>
      </c>
      <c r="J863" s="3">
        <v>91.66</v>
      </c>
    </row>
    <row r="864" spans="1:10" ht="14.4" x14ac:dyDescent="0.3">
      <c r="A864" s="3"/>
      <c r="E864" s="3">
        <v>328.43</v>
      </c>
      <c r="F864" s="3">
        <v>0.3</v>
      </c>
      <c r="G864" s="3">
        <v>-17.350000000000001</v>
      </c>
      <c r="H864" s="3">
        <v>4.25</v>
      </c>
      <c r="I864" s="3">
        <v>-37.64</v>
      </c>
      <c r="J864" s="3">
        <v>8.1199999999999992</v>
      </c>
    </row>
    <row r="865" spans="1:10" ht="14.4" x14ac:dyDescent="0.3">
      <c r="A865" s="3"/>
      <c r="E865" s="3">
        <v>248.75</v>
      </c>
      <c r="F865" s="3">
        <v>21.98</v>
      </c>
      <c r="G865" s="3">
        <v>0.6</v>
      </c>
      <c r="H865" s="3">
        <v>-0.3</v>
      </c>
      <c r="I865" s="3">
        <v>5.23</v>
      </c>
      <c r="J865" s="3">
        <v>-29.05</v>
      </c>
    </row>
    <row r="866" spans="1:10" ht="14.4" x14ac:dyDescent="0.3">
      <c r="A866" s="3"/>
      <c r="E866" s="3">
        <v>358.91</v>
      </c>
      <c r="F866" s="3">
        <v>-63.86</v>
      </c>
      <c r="G866" s="3">
        <v>-0.85</v>
      </c>
      <c r="H866" s="3">
        <v>2.4900000000000002</v>
      </c>
      <c r="I866" s="3">
        <v>-5.17</v>
      </c>
      <c r="J866" s="3">
        <v>105.76</v>
      </c>
    </row>
    <row r="867" spans="1:10" ht="14.4" x14ac:dyDescent="0.3">
      <c r="A867" s="3"/>
      <c r="E867" s="3">
        <v>277.13</v>
      </c>
      <c r="F867" s="3">
        <v>36.979999999999997</v>
      </c>
      <c r="G867" s="3">
        <v>-7.67</v>
      </c>
      <c r="H867" s="3">
        <v>1.0900000000000001</v>
      </c>
      <c r="I867" s="3">
        <v>-12.34</v>
      </c>
      <c r="J867" s="3">
        <v>-50.7</v>
      </c>
    </row>
    <row r="868" spans="1:10" ht="14.4" x14ac:dyDescent="0.3">
      <c r="A868" s="3"/>
      <c r="E868" s="3">
        <v>387.28</v>
      </c>
      <c r="F868" s="3">
        <v>-48.86</v>
      </c>
      <c r="G868" s="3">
        <v>-9.1199999999999992</v>
      </c>
      <c r="H868" s="3">
        <v>3.89</v>
      </c>
      <c r="I868" s="3">
        <v>-22.73</v>
      </c>
      <c r="J868" s="3">
        <v>84.1</v>
      </c>
    </row>
    <row r="869" spans="1:10" ht="14.4" x14ac:dyDescent="0.3">
      <c r="A869" s="3"/>
      <c r="E869" s="3">
        <v>248.75</v>
      </c>
      <c r="F869" s="3">
        <v>21.98</v>
      </c>
      <c r="G869" s="3">
        <v>0.6</v>
      </c>
      <c r="H869" s="3">
        <v>-0.3</v>
      </c>
      <c r="I869" s="3">
        <v>5.23</v>
      </c>
      <c r="J869" s="3">
        <v>-29.05</v>
      </c>
    </row>
    <row r="870" spans="1:10" ht="14.4" x14ac:dyDescent="0.3">
      <c r="A870" s="3"/>
      <c r="E870" s="3">
        <v>358.91</v>
      </c>
      <c r="F870" s="3">
        <v>-63.86</v>
      </c>
      <c r="G870" s="3">
        <v>-0.85</v>
      </c>
      <c r="H870" s="3">
        <v>2.4900000000000002</v>
      </c>
      <c r="I870" s="3">
        <v>-5.17</v>
      </c>
      <c r="J870" s="3">
        <v>105.76</v>
      </c>
    </row>
    <row r="871" spans="1:10" ht="14.4" x14ac:dyDescent="0.3">
      <c r="A871" s="3"/>
      <c r="E871" s="3">
        <v>277.13</v>
      </c>
      <c r="F871" s="3">
        <v>36.979999999999997</v>
      </c>
      <c r="G871" s="3">
        <v>-7.67</v>
      </c>
      <c r="H871" s="3">
        <v>1.0900000000000001</v>
      </c>
      <c r="I871" s="3">
        <v>-12.34</v>
      </c>
      <c r="J871" s="3">
        <v>-50.7</v>
      </c>
    </row>
    <row r="872" spans="1:10" ht="14.4" x14ac:dyDescent="0.3">
      <c r="A872" s="3"/>
      <c r="E872" s="3">
        <v>387.28</v>
      </c>
      <c r="F872" s="3">
        <v>-48.86</v>
      </c>
      <c r="G872" s="3">
        <v>-9.1199999999999992</v>
      </c>
      <c r="H872" s="3">
        <v>3.89</v>
      </c>
      <c r="I872" s="3">
        <v>-22.73</v>
      </c>
      <c r="J872" s="3">
        <v>84.1</v>
      </c>
    </row>
    <row r="873" spans="1:10" ht="14.4" x14ac:dyDescent="0.3">
      <c r="A873" s="3"/>
      <c r="E873" s="3">
        <v>522.89</v>
      </c>
      <c r="F873" s="3">
        <v>27.46</v>
      </c>
      <c r="G873" s="3">
        <v>9.18</v>
      </c>
      <c r="H873" s="3">
        <v>5.21</v>
      </c>
      <c r="I873" s="3">
        <v>-43.04</v>
      </c>
      <c r="J873" s="3">
        <v>100.36</v>
      </c>
    </row>
    <row r="874" spans="1:10" ht="14.4" x14ac:dyDescent="0.3">
      <c r="A874" s="3"/>
      <c r="E874" s="3">
        <v>212.53</v>
      </c>
      <c r="F874" s="3">
        <v>-20.54</v>
      </c>
      <c r="G874" s="3">
        <v>-15.96</v>
      </c>
      <c r="H874" s="3">
        <v>-0.47</v>
      </c>
      <c r="I874" s="3">
        <v>19.7</v>
      </c>
      <c r="J874" s="3">
        <v>9.33</v>
      </c>
    </row>
    <row r="875" spans="1:10" ht="14.4" x14ac:dyDescent="0.3">
      <c r="A875" s="3"/>
      <c r="E875" s="3">
        <v>423.5</v>
      </c>
      <c r="F875" s="3">
        <v>-6.34</v>
      </c>
      <c r="G875" s="3">
        <v>7.45</v>
      </c>
      <c r="H875" s="3">
        <v>4.0599999999999996</v>
      </c>
      <c r="I875" s="3">
        <v>-37.200000000000003</v>
      </c>
      <c r="J875" s="3">
        <v>45.73</v>
      </c>
    </row>
    <row r="876" spans="1:10" ht="14.4" x14ac:dyDescent="0.3">
      <c r="A876" s="3"/>
      <c r="E876" s="3">
        <v>113.14</v>
      </c>
      <c r="F876" s="3">
        <v>-54.34</v>
      </c>
      <c r="G876" s="3">
        <v>-17.690000000000001</v>
      </c>
      <c r="H876" s="3">
        <v>-1.62</v>
      </c>
      <c r="I876" s="3">
        <v>25.54</v>
      </c>
      <c r="J876" s="3">
        <v>-45.31</v>
      </c>
    </row>
    <row r="877" spans="1:10" ht="14.4" x14ac:dyDescent="0.3">
      <c r="A877" s="3"/>
      <c r="E877" s="3">
        <v>581.66999999999996</v>
      </c>
      <c r="F877" s="3">
        <v>47.34</v>
      </c>
      <c r="G877" s="3">
        <v>1.69</v>
      </c>
      <c r="H877" s="3">
        <v>4.82</v>
      </c>
      <c r="I877" s="3">
        <v>-29.47</v>
      </c>
      <c r="J877" s="3">
        <v>135.51</v>
      </c>
    </row>
    <row r="878" spans="1:10" ht="14.4" x14ac:dyDescent="0.3">
      <c r="A878" s="3"/>
      <c r="E878" s="3">
        <v>102.41</v>
      </c>
      <c r="F878" s="3">
        <v>-57.78</v>
      </c>
      <c r="G878" s="3">
        <v>-1.93</v>
      </c>
      <c r="H878" s="3">
        <v>0.26</v>
      </c>
      <c r="I878" s="3">
        <v>-5.73</v>
      </c>
      <c r="J878" s="3">
        <v>-56.53</v>
      </c>
    </row>
    <row r="879" spans="1:10" ht="14.4" x14ac:dyDescent="0.3">
      <c r="A879" s="3"/>
      <c r="E879" s="3">
        <v>533.62</v>
      </c>
      <c r="F879" s="3">
        <v>30.91</v>
      </c>
      <c r="G879" s="3">
        <v>-6.58</v>
      </c>
      <c r="H879" s="3">
        <v>3.33</v>
      </c>
      <c r="I879" s="3">
        <v>-11.77</v>
      </c>
      <c r="J879" s="3">
        <v>111.58</v>
      </c>
    </row>
    <row r="880" spans="1:10" ht="14.4" x14ac:dyDescent="0.3">
      <c r="A880" s="3"/>
      <c r="E880" s="3">
        <v>381.31</v>
      </c>
      <c r="F880" s="3">
        <v>36.97</v>
      </c>
      <c r="G880" s="3">
        <v>-4.5</v>
      </c>
      <c r="H880" s="3">
        <v>2.5499999999999998</v>
      </c>
      <c r="I880" s="3">
        <v>-7.25</v>
      </c>
      <c r="J880" s="3">
        <v>99.27</v>
      </c>
    </row>
    <row r="881" spans="1:10" ht="14.4" x14ac:dyDescent="0.3">
      <c r="A881" s="3"/>
      <c r="E881" s="3">
        <v>317.32</v>
      </c>
      <c r="F881" s="3">
        <v>-72.849999999999994</v>
      </c>
      <c r="G881" s="3">
        <v>24.79</v>
      </c>
      <c r="H881" s="3">
        <v>-2.83</v>
      </c>
      <c r="I881" s="3">
        <v>52.87</v>
      </c>
      <c r="J881" s="3">
        <v>115.69</v>
      </c>
    </row>
    <row r="882" spans="1:10" ht="14.4" x14ac:dyDescent="0.3">
      <c r="A882" s="3"/>
      <c r="E882" s="3">
        <v>526.41</v>
      </c>
      <c r="F882" s="3">
        <v>37.71</v>
      </c>
      <c r="G882" s="3">
        <v>-36.15</v>
      </c>
      <c r="H882" s="3">
        <v>7.48</v>
      </c>
      <c r="I882" s="3">
        <v>-76.540000000000006</v>
      </c>
      <c r="J882" s="3">
        <v>-43.85</v>
      </c>
    </row>
    <row r="883" spans="1:10" ht="14.4" x14ac:dyDescent="0.3">
      <c r="A883" s="3"/>
      <c r="E883" s="3">
        <v>127.9</v>
      </c>
      <c r="F883" s="3">
        <v>85.36</v>
      </c>
      <c r="G883" s="3">
        <v>-1.72</v>
      </c>
      <c r="H883" s="3">
        <v>-1.68</v>
      </c>
      <c r="I883" s="3">
        <v>4.87</v>
      </c>
      <c r="J883" s="3">
        <v>-128.85</v>
      </c>
    </row>
    <row r="884" spans="1:10" ht="14.4" x14ac:dyDescent="0.3">
      <c r="A884" s="3"/>
      <c r="E884" s="3">
        <v>715.83</v>
      </c>
      <c r="F884" s="3">
        <v>-120.5</v>
      </c>
      <c r="G884" s="3">
        <v>-9.64</v>
      </c>
      <c r="H884" s="3">
        <v>6.33</v>
      </c>
      <c r="I884" s="3">
        <v>-28.54</v>
      </c>
      <c r="J884" s="3">
        <v>200.7</v>
      </c>
    </row>
    <row r="885" spans="1:10" ht="14.4" x14ac:dyDescent="0.3">
      <c r="A885" s="3"/>
      <c r="E885" s="3">
        <v>317.32</v>
      </c>
      <c r="F885" s="3">
        <v>-72.849999999999994</v>
      </c>
      <c r="G885" s="3">
        <v>24.79</v>
      </c>
      <c r="H885" s="3">
        <v>-2.83</v>
      </c>
      <c r="I885" s="3">
        <v>52.87</v>
      </c>
      <c r="J885" s="3">
        <v>115.69</v>
      </c>
    </row>
    <row r="886" spans="1:10" ht="14.4" x14ac:dyDescent="0.3">
      <c r="A886" s="3"/>
      <c r="E886" s="3">
        <v>526.41</v>
      </c>
      <c r="F886" s="3">
        <v>37.71</v>
      </c>
      <c r="G886" s="3">
        <v>-36.15</v>
      </c>
      <c r="H886" s="3">
        <v>7.48</v>
      </c>
      <c r="I886" s="3">
        <v>-76.540000000000006</v>
      </c>
      <c r="J886" s="3">
        <v>-43.85</v>
      </c>
    </row>
    <row r="887" spans="1:10" ht="14.4" x14ac:dyDescent="0.3">
      <c r="A887" s="3"/>
      <c r="E887" s="3">
        <v>127.9</v>
      </c>
      <c r="F887" s="3">
        <v>85.36</v>
      </c>
      <c r="G887" s="3">
        <v>-1.72</v>
      </c>
      <c r="H887" s="3">
        <v>-1.68</v>
      </c>
      <c r="I887" s="3">
        <v>4.87</v>
      </c>
      <c r="J887" s="3">
        <v>-128.85</v>
      </c>
    </row>
    <row r="888" spans="1:10" ht="14.4" x14ac:dyDescent="0.3">
      <c r="A888" s="3"/>
      <c r="E888" s="3">
        <v>715.83</v>
      </c>
      <c r="F888" s="3">
        <v>-120.5</v>
      </c>
      <c r="G888" s="3">
        <v>-9.64</v>
      </c>
      <c r="H888" s="3">
        <v>6.33</v>
      </c>
      <c r="I888" s="3">
        <v>-28.54</v>
      </c>
      <c r="J888" s="3">
        <v>200.7</v>
      </c>
    </row>
    <row r="889" spans="1:10" ht="14.4" x14ac:dyDescent="0.3">
      <c r="A889" s="3"/>
      <c r="E889" s="3">
        <v>207</v>
      </c>
      <c r="F889" s="3">
        <v>-67.67</v>
      </c>
      <c r="G889" s="3">
        <v>26.2</v>
      </c>
      <c r="H889" s="3">
        <v>-3.56</v>
      </c>
      <c r="I889" s="3">
        <v>55.45</v>
      </c>
      <c r="J889" s="3">
        <v>104.96</v>
      </c>
    </row>
    <row r="890" spans="1:10" ht="14.4" x14ac:dyDescent="0.3">
      <c r="A890" s="3"/>
      <c r="E890" s="3">
        <v>416.09</v>
      </c>
      <c r="F890" s="3">
        <v>42.88</v>
      </c>
      <c r="G890" s="3">
        <v>-34.74</v>
      </c>
      <c r="H890" s="3">
        <v>6.75</v>
      </c>
      <c r="I890" s="3">
        <v>-73.95</v>
      </c>
      <c r="J890" s="3">
        <v>-54.58</v>
      </c>
    </row>
    <row r="891" spans="1:10" ht="14.4" x14ac:dyDescent="0.3">
      <c r="A891" s="3"/>
      <c r="E891" s="3">
        <v>17.579999999999998</v>
      </c>
      <c r="F891" s="3">
        <v>90.54</v>
      </c>
      <c r="G891" s="3">
        <v>-0.31</v>
      </c>
      <c r="H891" s="3">
        <v>-2.41</v>
      </c>
      <c r="I891" s="3">
        <v>7.45</v>
      </c>
      <c r="J891" s="3">
        <v>-139.59</v>
      </c>
    </row>
    <row r="892" spans="1:10" ht="14.4" x14ac:dyDescent="0.3">
      <c r="A892" s="3"/>
      <c r="E892" s="3">
        <v>605.51</v>
      </c>
      <c r="F892" s="3">
        <v>-115.33</v>
      </c>
      <c r="G892" s="3">
        <v>-8.23</v>
      </c>
      <c r="H892" s="3">
        <v>5.6</v>
      </c>
      <c r="I892" s="3">
        <v>-25.96</v>
      </c>
      <c r="J892" s="3">
        <v>189.96</v>
      </c>
    </row>
    <row r="893" spans="1:10" ht="14.4" x14ac:dyDescent="0.3">
      <c r="A893" s="3"/>
      <c r="E893" s="3">
        <v>207</v>
      </c>
      <c r="F893" s="3">
        <v>-67.67</v>
      </c>
      <c r="G893" s="3">
        <v>26.2</v>
      </c>
      <c r="H893" s="3">
        <v>-3.56</v>
      </c>
      <c r="I893" s="3">
        <v>55.45</v>
      </c>
      <c r="J893" s="3">
        <v>104.96</v>
      </c>
    </row>
    <row r="894" spans="1:10" ht="14.4" x14ac:dyDescent="0.3">
      <c r="A894" s="3"/>
      <c r="E894" s="3">
        <v>416.09</v>
      </c>
      <c r="F894" s="3">
        <v>42.88</v>
      </c>
      <c r="G894" s="3">
        <v>-34.74</v>
      </c>
      <c r="H894" s="3">
        <v>6.75</v>
      </c>
      <c r="I894" s="3">
        <v>-73.95</v>
      </c>
      <c r="J894" s="3">
        <v>-54.58</v>
      </c>
    </row>
    <row r="895" spans="1:10" ht="14.4" x14ac:dyDescent="0.3">
      <c r="A895" s="3"/>
      <c r="E895" s="3">
        <v>17.579999999999998</v>
      </c>
      <c r="F895" s="3">
        <v>90.54</v>
      </c>
      <c r="G895" s="3">
        <v>-0.31</v>
      </c>
      <c r="H895" s="3">
        <v>-2.41</v>
      </c>
      <c r="I895" s="3">
        <v>7.45</v>
      </c>
      <c r="J895" s="3">
        <v>-139.59</v>
      </c>
    </row>
    <row r="896" spans="1:10" ht="14.4" x14ac:dyDescent="0.3">
      <c r="A896" s="3"/>
      <c r="E896" s="3">
        <v>605.51</v>
      </c>
      <c r="F896" s="3">
        <v>-115.33</v>
      </c>
      <c r="G896" s="3">
        <v>-8.23</v>
      </c>
      <c r="H896" s="3">
        <v>5.6</v>
      </c>
      <c r="I896" s="3">
        <v>-25.96</v>
      </c>
      <c r="J896" s="3">
        <v>189.96</v>
      </c>
    </row>
    <row r="897" spans="1:10" ht="14.4" x14ac:dyDescent="0.3">
      <c r="A897" s="3"/>
      <c r="E897" s="3">
        <v>567.35</v>
      </c>
      <c r="F897" s="3">
        <v>-56.58</v>
      </c>
      <c r="G897" s="3">
        <v>-45.18</v>
      </c>
      <c r="H897" s="3">
        <v>-1.78</v>
      </c>
      <c r="I897" s="3">
        <v>88.91</v>
      </c>
      <c r="J897" s="3">
        <v>-98.07</v>
      </c>
    </row>
    <row r="898" spans="1:10" ht="14.4" x14ac:dyDescent="0.3">
      <c r="A898" s="3"/>
      <c r="E898" s="3">
        <v>585.23</v>
      </c>
      <c r="F898" s="3">
        <v>-60.04</v>
      </c>
      <c r="G898" s="3">
        <v>-53.45</v>
      </c>
      <c r="H898" s="3">
        <v>-1.89</v>
      </c>
      <c r="I898" s="3">
        <v>108.68</v>
      </c>
      <c r="J898" s="3">
        <v>-105.97</v>
      </c>
    </row>
    <row r="899" spans="1:10" ht="14.4" x14ac:dyDescent="0.3">
      <c r="A899" s="3"/>
      <c r="E899" s="3">
        <v>684.25</v>
      </c>
      <c r="F899" s="3">
        <v>-71.78</v>
      </c>
      <c r="G899" s="3">
        <v>-63.33</v>
      </c>
      <c r="H899" s="3">
        <v>-2.23</v>
      </c>
      <c r="I899" s="3">
        <v>129.28</v>
      </c>
      <c r="J899" s="3">
        <v>-125.86</v>
      </c>
    </row>
    <row r="900" spans="1:10" ht="14.4" x14ac:dyDescent="0.3">
      <c r="A900" s="3"/>
      <c r="E900" s="3">
        <v>546.94000000000005</v>
      </c>
      <c r="F900" s="3">
        <v>-54.76</v>
      </c>
      <c r="G900" s="3">
        <v>-47.05</v>
      </c>
      <c r="H900" s="3">
        <v>-1.74</v>
      </c>
      <c r="I900" s="3">
        <v>94.64</v>
      </c>
      <c r="J900" s="3">
        <v>-96.14</v>
      </c>
    </row>
    <row r="901" spans="1:10" ht="14.4" x14ac:dyDescent="0.3">
      <c r="A901" s="3"/>
      <c r="E901" s="3">
        <v>863.8</v>
      </c>
      <c r="F901" s="3">
        <v>-92.33</v>
      </c>
      <c r="G901" s="3">
        <v>-78.67</v>
      </c>
      <c r="H901" s="3">
        <v>-2.82</v>
      </c>
      <c r="I901" s="3">
        <v>160.55000000000001</v>
      </c>
      <c r="J901" s="3">
        <v>-159.79</v>
      </c>
    </row>
    <row r="902" spans="1:10" ht="14.4" x14ac:dyDescent="0.3">
      <c r="A902" s="3"/>
      <c r="E902" s="3">
        <v>487</v>
      </c>
      <c r="F902" s="3">
        <v>-47.37</v>
      </c>
      <c r="G902" s="3">
        <v>-38.450000000000003</v>
      </c>
      <c r="H902" s="3">
        <v>-1.25</v>
      </c>
      <c r="I902" s="3">
        <v>74.62</v>
      </c>
      <c r="J902" s="3">
        <v>-82.68</v>
      </c>
    </row>
    <row r="903" spans="1:10" ht="14.4" x14ac:dyDescent="0.3">
      <c r="A903" s="3"/>
      <c r="E903" s="3">
        <v>495.86</v>
      </c>
      <c r="F903" s="3">
        <v>-46.03</v>
      </c>
      <c r="G903" s="3">
        <v>-38.78</v>
      </c>
      <c r="H903" s="3">
        <v>-1.39</v>
      </c>
      <c r="I903" s="3">
        <v>75.89</v>
      </c>
      <c r="J903" s="3">
        <v>-81.569999999999993</v>
      </c>
    </row>
    <row r="904" spans="1:10" ht="14.4" x14ac:dyDescent="0.3">
      <c r="A904" s="3"/>
      <c r="E904" s="3">
        <v>492.99</v>
      </c>
      <c r="F904" s="3">
        <v>-48.52</v>
      </c>
      <c r="G904" s="3">
        <v>-39.32</v>
      </c>
      <c r="H904" s="3">
        <v>-1.66</v>
      </c>
      <c r="I904" s="3">
        <v>77.66</v>
      </c>
      <c r="J904" s="3">
        <v>-84.43</v>
      </c>
    </row>
    <row r="905" spans="1:10" ht="14.4" x14ac:dyDescent="0.3">
      <c r="A905" s="3"/>
      <c r="E905" s="3">
        <v>487.48</v>
      </c>
      <c r="F905" s="3">
        <v>-49.54</v>
      </c>
      <c r="G905" s="3">
        <v>-38.99</v>
      </c>
      <c r="H905" s="3">
        <v>-1.62</v>
      </c>
      <c r="I905" s="3">
        <v>76.83</v>
      </c>
      <c r="J905" s="3">
        <v>-85.34</v>
      </c>
    </row>
    <row r="906" spans="1:10" ht="14.4" x14ac:dyDescent="0.3">
      <c r="A906" s="3"/>
      <c r="E906" s="3">
        <v>491.82</v>
      </c>
      <c r="F906" s="3">
        <v>-49.04</v>
      </c>
      <c r="G906" s="3">
        <v>-39.74</v>
      </c>
      <c r="H906" s="3">
        <v>-1.55</v>
      </c>
      <c r="I906" s="3">
        <v>78.19</v>
      </c>
      <c r="J906" s="3">
        <v>-84.99</v>
      </c>
    </row>
    <row r="907" spans="1:10" ht="14.4" x14ac:dyDescent="0.3">
      <c r="A907" s="3"/>
      <c r="E907" s="3">
        <v>487.1</v>
      </c>
      <c r="F907" s="3">
        <v>-50.88</v>
      </c>
      <c r="G907" s="3">
        <v>-39.51</v>
      </c>
      <c r="H907" s="3">
        <v>-1.6</v>
      </c>
      <c r="I907" s="3">
        <v>77.7</v>
      </c>
      <c r="J907" s="3">
        <v>-86.75</v>
      </c>
    </row>
    <row r="908" spans="1:10" ht="14.4" x14ac:dyDescent="0.3">
      <c r="A908" s="3"/>
      <c r="E908" s="3">
        <v>482.92</v>
      </c>
      <c r="F908" s="3">
        <v>-51.03</v>
      </c>
      <c r="G908" s="3">
        <v>-38.799999999999997</v>
      </c>
      <c r="H908" s="3">
        <v>-1.48</v>
      </c>
      <c r="I908" s="3">
        <v>76.02</v>
      </c>
      <c r="J908" s="3">
        <v>-86.83</v>
      </c>
    </row>
    <row r="909" spans="1:10" ht="14.4" x14ac:dyDescent="0.3">
      <c r="A909" s="3"/>
      <c r="E909" s="3">
        <v>482.4</v>
      </c>
      <c r="F909" s="3">
        <v>-52.35</v>
      </c>
      <c r="G909" s="3">
        <v>-39.119999999999997</v>
      </c>
      <c r="H909" s="3">
        <v>-1.65</v>
      </c>
      <c r="I909" s="3">
        <v>77.209999999999994</v>
      </c>
      <c r="J909" s="3">
        <v>-88.05</v>
      </c>
    </row>
    <row r="910" spans="1:10" ht="14.4" x14ac:dyDescent="0.3">
      <c r="A910" s="3"/>
      <c r="E910" s="3">
        <v>491.6</v>
      </c>
      <c r="F910" s="3">
        <v>-51.14</v>
      </c>
      <c r="G910" s="3">
        <v>-39.47</v>
      </c>
      <c r="H910" s="3">
        <v>-1.85</v>
      </c>
      <c r="I910" s="3">
        <v>78.87</v>
      </c>
      <c r="J910" s="3">
        <v>-87.36</v>
      </c>
    </row>
    <row r="911" spans="1:10" ht="14.4" x14ac:dyDescent="0.3">
      <c r="A911" s="3"/>
      <c r="E911" s="3">
        <v>482.74</v>
      </c>
      <c r="F911" s="3">
        <v>-52.48</v>
      </c>
      <c r="G911" s="3">
        <v>-39.15</v>
      </c>
      <c r="H911" s="3">
        <v>-1.71</v>
      </c>
      <c r="I911" s="3">
        <v>77.599999999999994</v>
      </c>
      <c r="J911" s="3">
        <v>-88.47</v>
      </c>
    </row>
    <row r="912" spans="1:10" ht="14.4" x14ac:dyDescent="0.3">
      <c r="A912" s="3"/>
      <c r="E912" s="3">
        <v>485.61</v>
      </c>
      <c r="F912" s="3">
        <v>-49.99</v>
      </c>
      <c r="G912" s="3">
        <v>-38.61</v>
      </c>
      <c r="H912" s="3">
        <v>-1.44</v>
      </c>
      <c r="I912" s="3">
        <v>75.83</v>
      </c>
      <c r="J912" s="3">
        <v>-85.61</v>
      </c>
    </row>
    <row r="913" spans="1:10" ht="14.4" x14ac:dyDescent="0.3">
      <c r="A913" s="3"/>
      <c r="E913" s="3">
        <v>491.12</v>
      </c>
      <c r="F913" s="3">
        <v>-48.97</v>
      </c>
      <c r="G913" s="3">
        <v>-38.94</v>
      </c>
      <c r="H913" s="3">
        <v>-1.48</v>
      </c>
      <c r="I913" s="3">
        <v>76.67</v>
      </c>
      <c r="J913" s="3">
        <v>-84.7</v>
      </c>
    </row>
    <row r="914" spans="1:10" ht="14.4" x14ac:dyDescent="0.3">
      <c r="A914" s="3"/>
      <c r="E914" s="3">
        <v>486.78</v>
      </c>
      <c r="F914" s="3">
        <v>-49.47</v>
      </c>
      <c r="G914" s="3">
        <v>-38.19</v>
      </c>
      <c r="H914" s="3">
        <v>-1.56</v>
      </c>
      <c r="I914" s="3">
        <v>75.3</v>
      </c>
      <c r="J914" s="3">
        <v>-85.05</v>
      </c>
    </row>
    <row r="915" spans="1:10" ht="14.4" x14ac:dyDescent="0.3">
      <c r="A915" s="3"/>
      <c r="E915" s="3">
        <v>491.5</v>
      </c>
      <c r="F915" s="3">
        <v>-47.63</v>
      </c>
      <c r="G915" s="3">
        <v>-38.42</v>
      </c>
      <c r="H915" s="3">
        <v>-1.51</v>
      </c>
      <c r="I915" s="3">
        <v>75.790000000000006</v>
      </c>
      <c r="J915" s="3">
        <v>-83.28</v>
      </c>
    </row>
    <row r="916" spans="1:10" ht="14.4" x14ac:dyDescent="0.3">
      <c r="A916" s="3"/>
      <c r="E916" s="3">
        <v>495.68</v>
      </c>
      <c r="F916" s="3">
        <v>-47.48</v>
      </c>
      <c r="G916" s="3">
        <v>-39.130000000000003</v>
      </c>
      <c r="H916" s="3">
        <v>-1.62</v>
      </c>
      <c r="I916" s="3">
        <v>77.48</v>
      </c>
      <c r="J916" s="3">
        <v>-83.2</v>
      </c>
    </row>
    <row r="917" spans="1:10" ht="14.4" x14ac:dyDescent="0.3">
      <c r="A917" s="3"/>
      <c r="E917" s="3">
        <v>496.2</v>
      </c>
      <c r="F917" s="3">
        <v>-46.16</v>
      </c>
      <c r="G917" s="3">
        <v>-38.81</v>
      </c>
      <c r="H917" s="3">
        <v>-1.46</v>
      </c>
      <c r="I917" s="3">
        <v>76.28</v>
      </c>
      <c r="J917" s="3">
        <v>-81.99</v>
      </c>
    </row>
    <row r="918" spans="1:10" ht="14.4" x14ac:dyDescent="0.3">
      <c r="A918" s="3"/>
      <c r="E918" s="3">
        <v>803.86</v>
      </c>
      <c r="F918" s="3">
        <v>-84.94</v>
      </c>
      <c r="G918" s="3">
        <v>-70.069999999999993</v>
      </c>
      <c r="H918" s="3">
        <v>-2.33</v>
      </c>
      <c r="I918" s="3">
        <v>140.54</v>
      </c>
      <c r="J918" s="3">
        <v>-146.34</v>
      </c>
    </row>
    <row r="919" spans="1:10" ht="14.4" x14ac:dyDescent="0.3">
      <c r="A919" s="3"/>
      <c r="E919" s="3">
        <v>812.72</v>
      </c>
      <c r="F919" s="3">
        <v>-83.6</v>
      </c>
      <c r="G919" s="3">
        <v>-70.400000000000006</v>
      </c>
      <c r="H919" s="3">
        <v>-2.48</v>
      </c>
      <c r="I919" s="3">
        <v>141.81</v>
      </c>
      <c r="J919" s="3">
        <v>-145.22</v>
      </c>
    </row>
    <row r="920" spans="1:10" ht="14.4" x14ac:dyDescent="0.3">
      <c r="A920" s="3"/>
      <c r="E920" s="3">
        <v>809.85</v>
      </c>
      <c r="F920" s="3">
        <v>-86.08</v>
      </c>
      <c r="G920" s="3">
        <v>-70.94</v>
      </c>
      <c r="H920" s="3">
        <v>-2.75</v>
      </c>
      <c r="I920" s="3">
        <v>143.58000000000001</v>
      </c>
      <c r="J920" s="3">
        <v>-148.08000000000001</v>
      </c>
    </row>
    <row r="921" spans="1:10" ht="14.4" x14ac:dyDescent="0.3">
      <c r="A921" s="3"/>
      <c r="E921" s="3">
        <v>804.34</v>
      </c>
      <c r="F921" s="3">
        <v>-87.1</v>
      </c>
      <c r="G921" s="3">
        <v>-70.599999999999994</v>
      </c>
      <c r="H921" s="3">
        <v>-2.7</v>
      </c>
      <c r="I921" s="3">
        <v>142.75</v>
      </c>
      <c r="J921" s="3">
        <v>-148.99</v>
      </c>
    </row>
    <row r="922" spans="1:10" ht="14.4" x14ac:dyDescent="0.3">
      <c r="A922" s="3"/>
      <c r="E922" s="3">
        <v>808.68</v>
      </c>
      <c r="F922" s="3">
        <v>-86.61</v>
      </c>
      <c r="G922" s="3">
        <v>-71.36</v>
      </c>
      <c r="H922" s="3">
        <v>-2.63</v>
      </c>
      <c r="I922" s="3">
        <v>144.11000000000001</v>
      </c>
      <c r="J922" s="3">
        <v>-148.65</v>
      </c>
    </row>
    <row r="923" spans="1:10" ht="14.4" x14ac:dyDescent="0.3">
      <c r="A923" s="3"/>
      <c r="E923" s="3">
        <v>803.96</v>
      </c>
      <c r="F923" s="3">
        <v>-88.44</v>
      </c>
      <c r="G923" s="3">
        <v>-71.13</v>
      </c>
      <c r="H923" s="3">
        <v>-2.68</v>
      </c>
      <c r="I923" s="3">
        <v>143.62</v>
      </c>
      <c r="J923" s="3">
        <v>-150.41</v>
      </c>
    </row>
    <row r="924" spans="1:10" ht="14.4" x14ac:dyDescent="0.3">
      <c r="A924" s="3"/>
      <c r="E924" s="3">
        <v>799.78</v>
      </c>
      <c r="F924" s="3">
        <v>-88.59</v>
      </c>
      <c r="G924" s="3">
        <v>-70.42</v>
      </c>
      <c r="H924" s="3">
        <v>-2.57</v>
      </c>
      <c r="I924" s="3">
        <v>141.94</v>
      </c>
      <c r="J924" s="3">
        <v>-150.49</v>
      </c>
    </row>
    <row r="925" spans="1:10" ht="14.4" x14ac:dyDescent="0.3">
      <c r="A925" s="3"/>
      <c r="E925" s="3">
        <v>799.26</v>
      </c>
      <c r="F925" s="3">
        <v>-89.92</v>
      </c>
      <c r="G925" s="3">
        <v>-70.739999999999995</v>
      </c>
      <c r="H925" s="3">
        <v>-2.73</v>
      </c>
      <c r="I925" s="3">
        <v>143.13</v>
      </c>
      <c r="J925" s="3">
        <v>-151.71</v>
      </c>
    </row>
    <row r="926" spans="1:10" ht="14.4" x14ac:dyDescent="0.3">
      <c r="A926" s="3"/>
      <c r="E926" s="3">
        <v>808.46</v>
      </c>
      <c r="F926" s="3">
        <v>-88.7</v>
      </c>
      <c r="G926" s="3">
        <v>-71.09</v>
      </c>
      <c r="H926" s="3">
        <v>-2.94</v>
      </c>
      <c r="I926" s="3">
        <v>144.79</v>
      </c>
      <c r="J926" s="3">
        <v>-151.01</v>
      </c>
    </row>
    <row r="927" spans="1:10" ht="14.4" x14ac:dyDescent="0.3">
      <c r="A927" s="3"/>
      <c r="E927" s="3">
        <v>799.6</v>
      </c>
      <c r="F927" s="3">
        <v>-90.04</v>
      </c>
      <c r="G927" s="3">
        <v>-70.77</v>
      </c>
      <c r="H927" s="3">
        <v>-2.79</v>
      </c>
      <c r="I927" s="3">
        <v>143.52000000000001</v>
      </c>
      <c r="J927" s="3">
        <v>-152.13</v>
      </c>
    </row>
    <row r="928" spans="1:10" ht="14.4" x14ac:dyDescent="0.3">
      <c r="A928" s="3"/>
      <c r="E928" s="3">
        <v>802.47</v>
      </c>
      <c r="F928" s="3">
        <v>-87.56</v>
      </c>
      <c r="G928" s="3">
        <v>-70.22</v>
      </c>
      <c r="H928" s="3">
        <v>-2.52</v>
      </c>
      <c r="I928" s="3">
        <v>141.75</v>
      </c>
      <c r="J928" s="3">
        <v>-149.27000000000001</v>
      </c>
    </row>
    <row r="929" spans="1:10" ht="14.4" x14ac:dyDescent="0.3">
      <c r="A929" s="3"/>
      <c r="E929" s="3">
        <v>807.98</v>
      </c>
      <c r="F929" s="3">
        <v>-86.53</v>
      </c>
      <c r="G929" s="3">
        <v>-70.56</v>
      </c>
      <c r="H929" s="3">
        <v>-2.57</v>
      </c>
      <c r="I929" s="3">
        <v>142.59</v>
      </c>
      <c r="J929" s="3">
        <v>-148.36000000000001</v>
      </c>
    </row>
    <row r="930" spans="1:10" ht="14.4" x14ac:dyDescent="0.3">
      <c r="A930" s="3"/>
      <c r="E930" s="3">
        <v>803.64</v>
      </c>
      <c r="F930" s="3">
        <v>-87.03</v>
      </c>
      <c r="G930" s="3">
        <v>-69.81</v>
      </c>
      <c r="H930" s="3">
        <v>-2.64</v>
      </c>
      <c r="I930" s="3">
        <v>141.22</v>
      </c>
      <c r="J930" s="3">
        <v>-148.69999999999999</v>
      </c>
    </row>
    <row r="931" spans="1:10" ht="14.4" x14ac:dyDescent="0.3">
      <c r="A931" s="3"/>
      <c r="E931" s="3">
        <v>808.36</v>
      </c>
      <c r="F931" s="3">
        <v>-85.19</v>
      </c>
      <c r="G931" s="3">
        <v>-70.03</v>
      </c>
      <c r="H931" s="3">
        <v>-2.59</v>
      </c>
      <c r="I931" s="3">
        <v>141.71</v>
      </c>
      <c r="J931" s="3">
        <v>-146.94</v>
      </c>
    </row>
    <row r="932" spans="1:10" ht="14.4" x14ac:dyDescent="0.3">
      <c r="A932" s="3"/>
      <c r="E932" s="3">
        <v>812.54</v>
      </c>
      <c r="F932" s="3">
        <v>-85.05</v>
      </c>
      <c r="G932" s="3">
        <v>-70.75</v>
      </c>
      <c r="H932" s="3">
        <v>-2.71</v>
      </c>
      <c r="I932" s="3">
        <v>143.38999999999999</v>
      </c>
      <c r="J932" s="3">
        <v>-146.86000000000001</v>
      </c>
    </row>
    <row r="933" spans="1:10" ht="14.4" x14ac:dyDescent="0.3">
      <c r="A933" s="3"/>
      <c r="E933" s="3">
        <v>813.06</v>
      </c>
      <c r="F933" s="3">
        <v>-83.72</v>
      </c>
      <c r="G933" s="3">
        <v>-70.430000000000007</v>
      </c>
      <c r="H933" s="3">
        <v>-2.54</v>
      </c>
      <c r="I933" s="3">
        <v>142.19999999999999</v>
      </c>
      <c r="J933" s="3">
        <v>-145.63999999999999</v>
      </c>
    </row>
    <row r="934" spans="1:10" ht="14.4" x14ac:dyDescent="0.3">
      <c r="A934" s="3"/>
      <c r="E934" s="3">
        <v>540.28</v>
      </c>
      <c r="F934" s="3">
        <v>-50.48</v>
      </c>
      <c r="G934" s="3">
        <v>-45.86</v>
      </c>
      <c r="H934" s="3">
        <v>-1.1200000000000001</v>
      </c>
      <c r="I934" s="3">
        <v>90.01</v>
      </c>
      <c r="J934" s="3">
        <v>-90.8</v>
      </c>
    </row>
    <row r="935" spans="1:10" ht="14.4" x14ac:dyDescent="0.3">
      <c r="A935" s="3"/>
      <c r="E935" s="3">
        <v>558</v>
      </c>
      <c r="F935" s="3">
        <v>-47.8</v>
      </c>
      <c r="G935" s="3">
        <v>-46.51</v>
      </c>
      <c r="H935" s="3">
        <v>-1.4</v>
      </c>
      <c r="I935" s="3">
        <v>92.56</v>
      </c>
      <c r="J935" s="3">
        <v>-88.58</v>
      </c>
    </row>
    <row r="936" spans="1:10" ht="14.4" x14ac:dyDescent="0.3">
      <c r="A936" s="3"/>
      <c r="E936" s="3">
        <v>552.26</v>
      </c>
      <c r="F936" s="3">
        <v>-52.77</v>
      </c>
      <c r="G936" s="3">
        <v>-47.6</v>
      </c>
      <c r="H936" s="3">
        <v>-1.95</v>
      </c>
      <c r="I936" s="3">
        <v>96.09</v>
      </c>
      <c r="J936" s="3">
        <v>-94.3</v>
      </c>
    </row>
    <row r="937" spans="1:10" ht="14.4" x14ac:dyDescent="0.3">
      <c r="A937" s="3"/>
      <c r="E937" s="3">
        <v>541.24</v>
      </c>
      <c r="F937" s="3">
        <v>-54.81</v>
      </c>
      <c r="G937" s="3">
        <v>-46.92</v>
      </c>
      <c r="H937" s="3">
        <v>-1.86</v>
      </c>
      <c r="I937" s="3">
        <v>94.42</v>
      </c>
      <c r="J937" s="3">
        <v>-96.12</v>
      </c>
    </row>
    <row r="938" spans="1:10" ht="14.4" x14ac:dyDescent="0.3">
      <c r="A938" s="3"/>
      <c r="E938" s="3">
        <v>549.91</v>
      </c>
      <c r="F938" s="3">
        <v>-53.82</v>
      </c>
      <c r="G938" s="3">
        <v>-48.43</v>
      </c>
      <c r="H938" s="3">
        <v>-1.72</v>
      </c>
      <c r="I938" s="3">
        <v>97.15</v>
      </c>
      <c r="J938" s="3">
        <v>-95.42</v>
      </c>
    </row>
    <row r="939" spans="1:10" ht="14.4" x14ac:dyDescent="0.3">
      <c r="A939" s="3"/>
      <c r="E939" s="3">
        <v>540.49</v>
      </c>
      <c r="F939" s="3">
        <v>-57.5</v>
      </c>
      <c r="G939" s="3">
        <v>-47.98</v>
      </c>
      <c r="H939" s="3">
        <v>-1.81</v>
      </c>
      <c r="I939" s="3">
        <v>96.17</v>
      </c>
      <c r="J939" s="3">
        <v>-98.95</v>
      </c>
    </row>
    <row r="940" spans="1:10" ht="14.4" x14ac:dyDescent="0.3">
      <c r="A940" s="3"/>
      <c r="E940" s="3">
        <v>532.11</v>
      </c>
      <c r="F940" s="3">
        <v>-57.79</v>
      </c>
      <c r="G940" s="3">
        <v>-46.55</v>
      </c>
      <c r="H940" s="3">
        <v>-1.58</v>
      </c>
      <c r="I940" s="3">
        <v>92.81</v>
      </c>
      <c r="J940" s="3">
        <v>-99.11</v>
      </c>
    </row>
    <row r="941" spans="1:10" ht="14.4" x14ac:dyDescent="0.3">
      <c r="A941" s="3"/>
      <c r="E941" s="3">
        <v>531.07000000000005</v>
      </c>
      <c r="F941" s="3">
        <v>-60.44</v>
      </c>
      <c r="G941" s="3">
        <v>-47.19</v>
      </c>
      <c r="H941" s="3">
        <v>-1.91</v>
      </c>
      <c r="I941" s="3">
        <v>95.2</v>
      </c>
      <c r="J941" s="3">
        <v>-101.54</v>
      </c>
    </row>
    <row r="942" spans="1:10" ht="14.4" x14ac:dyDescent="0.3">
      <c r="A942" s="3"/>
      <c r="E942" s="3">
        <v>549.47</v>
      </c>
      <c r="F942" s="3">
        <v>-58.01</v>
      </c>
      <c r="G942" s="3">
        <v>-47.9</v>
      </c>
      <c r="H942" s="3">
        <v>-2.33</v>
      </c>
      <c r="I942" s="3">
        <v>98.52</v>
      </c>
      <c r="J942" s="3">
        <v>-100.16</v>
      </c>
    </row>
    <row r="943" spans="1:10" ht="14.4" x14ac:dyDescent="0.3">
      <c r="A943" s="3"/>
      <c r="E943" s="3">
        <v>531.75</v>
      </c>
      <c r="F943" s="3">
        <v>-60.69</v>
      </c>
      <c r="G943" s="3">
        <v>-47.25</v>
      </c>
      <c r="H943" s="3">
        <v>-2.04</v>
      </c>
      <c r="I943" s="3">
        <v>95.97</v>
      </c>
      <c r="J943" s="3">
        <v>-102.38</v>
      </c>
    </row>
    <row r="944" spans="1:10" ht="14.4" x14ac:dyDescent="0.3">
      <c r="A944" s="3"/>
      <c r="E944" s="3">
        <v>537.49</v>
      </c>
      <c r="F944" s="3">
        <v>-55.72</v>
      </c>
      <c r="G944" s="3">
        <v>-46.16</v>
      </c>
      <c r="H944" s="3">
        <v>-1.5</v>
      </c>
      <c r="I944" s="3">
        <v>92.44</v>
      </c>
      <c r="J944" s="3">
        <v>-96.66</v>
      </c>
    </row>
    <row r="945" spans="1:10" ht="14.4" x14ac:dyDescent="0.3">
      <c r="A945" s="3"/>
      <c r="E945" s="3">
        <v>548.51</v>
      </c>
      <c r="F945" s="3">
        <v>-53.67</v>
      </c>
      <c r="G945" s="3">
        <v>-46.84</v>
      </c>
      <c r="H945" s="3">
        <v>-1.59</v>
      </c>
      <c r="I945" s="3">
        <v>94.1</v>
      </c>
      <c r="J945" s="3">
        <v>-94.84</v>
      </c>
    </row>
    <row r="946" spans="1:10" ht="14.4" x14ac:dyDescent="0.3">
      <c r="A946" s="3"/>
      <c r="E946" s="3">
        <v>539.84</v>
      </c>
      <c r="F946" s="3">
        <v>-54.67</v>
      </c>
      <c r="G946" s="3">
        <v>-45.33</v>
      </c>
      <c r="H946" s="3">
        <v>-1.73</v>
      </c>
      <c r="I946" s="3">
        <v>91.37</v>
      </c>
      <c r="J946" s="3">
        <v>-95.54</v>
      </c>
    </row>
    <row r="947" spans="1:10" ht="14.4" x14ac:dyDescent="0.3">
      <c r="A947" s="3"/>
      <c r="E947" s="3">
        <v>549.27</v>
      </c>
      <c r="F947" s="3">
        <v>-50.99</v>
      </c>
      <c r="G947" s="3">
        <v>-45.78</v>
      </c>
      <c r="H947" s="3">
        <v>-1.64</v>
      </c>
      <c r="I947" s="3">
        <v>92.35</v>
      </c>
      <c r="J947" s="3">
        <v>-92</v>
      </c>
    </row>
    <row r="948" spans="1:10" ht="14.4" x14ac:dyDescent="0.3">
      <c r="A948" s="3"/>
      <c r="E948" s="3">
        <v>557.64</v>
      </c>
      <c r="F948" s="3">
        <v>-50.7</v>
      </c>
      <c r="G948" s="3">
        <v>-47.22</v>
      </c>
      <c r="H948" s="3">
        <v>-1.86</v>
      </c>
      <c r="I948" s="3">
        <v>95.72</v>
      </c>
      <c r="J948" s="3">
        <v>-91.85</v>
      </c>
    </row>
    <row r="949" spans="1:10" ht="14.4" x14ac:dyDescent="0.3">
      <c r="A949" s="3"/>
      <c r="E949" s="3">
        <v>538.95000000000005</v>
      </c>
      <c r="F949" s="3">
        <v>-46.28</v>
      </c>
      <c r="G949" s="3">
        <v>-45</v>
      </c>
      <c r="H949" s="3">
        <v>-1.46</v>
      </c>
      <c r="I949" s="3">
        <v>90.86</v>
      </c>
      <c r="J949" s="3">
        <v>-86.18</v>
      </c>
    </row>
    <row r="950" spans="1:10" ht="14.4" x14ac:dyDescent="0.3">
      <c r="A950" s="3"/>
      <c r="E950" s="3">
        <v>540.28</v>
      </c>
      <c r="F950" s="3">
        <v>-50.48</v>
      </c>
      <c r="G950" s="3">
        <v>-45.86</v>
      </c>
      <c r="H950" s="3">
        <v>-1.1200000000000001</v>
      </c>
      <c r="I950" s="3">
        <v>90.01</v>
      </c>
      <c r="J950" s="3">
        <v>-90.8</v>
      </c>
    </row>
    <row r="951" spans="1:10" ht="14.4" x14ac:dyDescent="0.3">
      <c r="A951" s="3"/>
      <c r="E951" s="3">
        <v>558</v>
      </c>
      <c r="F951" s="3">
        <v>-47.8</v>
      </c>
      <c r="G951" s="3">
        <v>-46.51</v>
      </c>
      <c r="H951" s="3">
        <v>-1.4</v>
      </c>
      <c r="I951" s="3">
        <v>92.56</v>
      </c>
      <c r="J951" s="3">
        <v>-88.58</v>
      </c>
    </row>
    <row r="952" spans="1:10" ht="14.4" x14ac:dyDescent="0.3">
      <c r="A952" s="3"/>
      <c r="E952" s="3">
        <v>552.26</v>
      </c>
      <c r="F952" s="3">
        <v>-52.77</v>
      </c>
      <c r="G952" s="3">
        <v>-47.6</v>
      </c>
      <c r="H952" s="3">
        <v>-1.95</v>
      </c>
      <c r="I952" s="3">
        <v>96.09</v>
      </c>
      <c r="J952" s="3">
        <v>-94.3</v>
      </c>
    </row>
    <row r="953" spans="1:10" ht="14.4" x14ac:dyDescent="0.3">
      <c r="A953" s="3"/>
      <c r="E953" s="3">
        <v>541.24</v>
      </c>
      <c r="F953" s="3">
        <v>-54.81</v>
      </c>
      <c r="G953" s="3">
        <v>-46.92</v>
      </c>
      <c r="H953" s="3">
        <v>-1.86</v>
      </c>
      <c r="I953" s="3">
        <v>94.42</v>
      </c>
      <c r="J953" s="3">
        <v>-96.12</v>
      </c>
    </row>
    <row r="954" spans="1:10" ht="14.4" x14ac:dyDescent="0.3">
      <c r="A954" s="3"/>
      <c r="E954" s="3">
        <v>549.91</v>
      </c>
      <c r="F954" s="3">
        <v>-53.82</v>
      </c>
      <c r="G954" s="3">
        <v>-48.43</v>
      </c>
      <c r="H954" s="3">
        <v>-1.72</v>
      </c>
      <c r="I954" s="3">
        <v>97.15</v>
      </c>
      <c r="J954" s="3">
        <v>-95.42</v>
      </c>
    </row>
    <row r="955" spans="1:10" ht="14.4" x14ac:dyDescent="0.3">
      <c r="A955" s="3"/>
      <c r="E955" s="3">
        <v>540.49</v>
      </c>
      <c r="F955" s="3">
        <v>-57.5</v>
      </c>
      <c r="G955" s="3">
        <v>-47.98</v>
      </c>
      <c r="H955" s="3">
        <v>-1.81</v>
      </c>
      <c r="I955" s="3">
        <v>96.17</v>
      </c>
      <c r="J955" s="3">
        <v>-98.95</v>
      </c>
    </row>
    <row r="956" spans="1:10" ht="14.4" x14ac:dyDescent="0.3">
      <c r="A956" s="3"/>
      <c r="E956" s="3">
        <v>532.11</v>
      </c>
      <c r="F956" s="3">
        <v>-57.79</v>
      </c>
      <c r="G956" s="3">
        <v>-46.55</v>
      </c>
      <c r="H956" s="3">
        <v>-1.58</v>
      </c>
      <c r="I956" s="3">
        <v>92.81</v>
      </c>
      <c r="J956" s="3">
        <v>-99.11</v>
      </c>
    </row>
    <row r="957" spans="1:10" ht="14.4" x14ac:dyDescent="0.3">
      <c r="A957" s="3"/>
      <c r="E957" s="3">
        <v>531.07000000000005</v>
      </c>
      <c r="F957" s="3">
        <v>-60.44</v>
      </c>
      <c r="G957" s="3">
        <v>-47.19</v>
      </c>
      <c r="H957" s="3">
        <v>-1.91</v>
      </c>
      <c r="I957" s="3">
        <v>95.2</v>
      </c>
      <c r="J957" s="3">
        <v>-101.54</v>
      </c>
    </row>
    <row r="958" spans="1:10" ht="14.4" x14ac:dyDescent="0.3">
      <c r="A958" s="3"/>
      <c r="E958" s="3">
        <v>549.47</v>
      </c>
      <c r="F958" s="3">
        <v>-58.01</v>
      </c>
      <c r="G958" s="3">
        <v>-47.9</v>
      </c>
      <c r="H958" s="3">
        <v>-2.33</v>
      </c>
      <c r="I958" s="3">
        <v>98.52</v>
      </c>
      <c r="J958" s="3">
        <v>-100.16</v>
      </c>
    </row>
    <row r="959" spans="1:10" ht="14.4" x14ac:dyDescent="0.3">
      <c r="A959" s="3"/>
      <c r="E959" s="3">
        <v>531.75</v>
      </c>
      <c r="F959" s="3">
        <v>-60.69</v>
      </c>
      <c r="G959" s="3">
        <v>-47.25</v>
      </c>
      <c r="H959" s="3">
        <v>-2.04</v>
      </c>
      <c r="I959" s="3">
        <v>95.97</v>
      </c>
      <c r="J959" s="3">
        <v>-102.38</v>
      </c>
    </row>
    <row r="960" spans="1:10" ht="14.4" x14ac:dyDescent="0.3">
      <c r="A960" s="3"/>
      <c r="E960" s="3">
        <v>537.49</v>
      </c>
      <c r="F960" s="3">
        <v>-55.72</v>
      </c>
      <c r="G960" s="3">
        <v>-46.16</v>
      </c>
      <c r="H960" s="3">
        <v>-1.5</v>
      </c>
      <c r="I960" s="3">
        <v>92.44</v>
      </c>
      <c r="J960" s="3">
        <v>-96.66</v>
      </c>
    </row>
    <row r="961" spans="1:10" ht="14.4" x14ac:dyDescent="0.3">
      <c r="A961" s="3"/>
      <c r="E961" s="3">
        <v>548.51</v>
      </c>
      <c r="F961" s="3">
        <v>-53.67</v>
      </c>
      <c r="G961" s="3">
        <v>-46.84</v>
      </c>
      <c r="H961" s="3">
        <v>-1.59</v>
      </c>
      <c r="I961" s="3">
        <v>94.1</v>
      </c>
      <c r="J961" s="3">
        <v>-94.84</v>
      </c>
    </row>
    <row r="962" spans="1:10" ht="14.4" x14ac:dyDescent="0.3">
      <c r="A962" s="3"/>
      <c r="E962" s="3">
        <v>539.84</v>
      </c>
      <c r="F962" s="3">
        <v>-54.67</v>
      </c>
      <c r="G962" s="3">
        <v>-45.33</v>
      </c>
      <c r="H962" s="3">
        <v>-1.73</v>
      </c>
      <c r="I962" s="3">
        <v>91.37</v>
      </c>
      <c r="J962" s="3">
        <v>-95.54</v>
      </c>
    </row>
    <row r="963" spans="1:10" ht="14.4" x14ac:dyDescent="0.3">
      <c r="A963" s="3"/>
      <c r="E963" s="3">
        <v>549.27</v>
      </c>
      <c r="F963" s="3">
        <v>-50.99</v>
      </c>
      <c r="G963" s="3">
        <v>-45.78</v>
      </c>
      <c r="H963" s="3">
        <v>-1.64</v>
      </c>
      <c r="I963" s="3">
        <v>92.35</v>
      </c>
      <c r="J963" s="3">
        <v>-92</v>
      </c>
    </row>
    <row r="964" spans="1:10" ht="14.4" x14ac:dyDescent="0.3">
      <c r="A964" s="3"/>
      <c r="E964" s="3">
        <v>557.64</v>
      </c>
      <c r="F964" s="3">
        <v>-50.7</v>
      </c>
      <c r="G964" s="3">
        <v>-47.22</v>
      </c>
      <c r="H964" s="3">
        <v>-1.86</v>
      </c>
      <c r="I964" s="3">
        <v>95.72</v>
      </c>
      <c r="J964" s="3">
        <v>-91.85</v>
      </c>
    </row>
    <row r="965" spans="1:10" ht="14.4" x14ac:dyDescent="0.3">
      <c r="A965" s="3"/>
      <c r="E965" s="3">
        <v>557.64</v>
      </c>
      <c r="F965" s="3">
        <v>-50.7</v>
      </c>
      <c r="G965" s="3">
        <v>-47.22</v>
      </c>
      <c r="H965" s="3">
        <v>-1.86</v>
      </c>
      <c r="I965" s="3">
        <v>95.72</v>
      </c>
      <c r="J965" s="3">
        <v>-91.85</v>
      </c>
    </row>
    <row r="966" spans="1:10" ht="14.4" x14ac:dyDescent="0.3">
      <c r="A966" s="3"/>
      <c r="E966" s="3">
        <v>360.13</v>
      </c>
      <c r="F966" s="3">
        <v>-32.61</v>
      </c>
      <c r="G966" s="3">
        <v>-28.02</v>
      </c>
      <c r="H966" s="3">
        <v>-0.54</v>
      </c>
      <c r="I966" s="3">
        <v>52.9</v>
      </c>
      <c r="J966" s="3">
        <v>-58.37</v>
      </c>
    </row>
    <row r="967" spans="1:10" ht="14.4" x14ac:dyDescent="0.3">
      <c r="A967" s="3"/>
      <c r="E967" s="3">
        <v>377.85</v>
      </c>
      <c r="F967" s="3">
        <v>-29.93</v>
      </c>
      <c r="G967" s="3">
        <v>-28.67</v>
      </c>
      <c r="H967" s="3">
        <v>-0.82</v>
      </c>
      <c r="I967" s="3">
        <v>55.45</v>
      </c>
      <c r="J967" s="3">
        <v>-56.14</v>
      </c>
    </row>
    <row r="968" spans="1:10" ht="14.4" x14ac:dyDescent="0.3">
      <c r="A968" s="3"/>
      <c r="E968" s="3">
        <v>372.11</v>
      </c>
      <c r="F968" s="3">
        <v>-34.9</v>
      </c>
      <c r="G968" s="3">
        <v>-29.76</v>
      </c>
      <c r="H968" s="3">
        <v>-1.37</v>
      </c>
      <c r="I968" s="3">
        <v>58.98</v>
      </c>
      <c r="J968" s="3">
        <v>-61.86</v>
      </c>
    </row>
    <row r="969" spans="1:10" ht="14.4" x14ac:dyDescent="0.3">
      <c r="A969" s="3"/>
      <c r="E969" s="3">
        <v>361.09</v>
      </c>
      <c r="F969" s="3">
        <v>-36.94</v>
      </c>
      <c r="G969" s="3">
        <v>-29.08</v>
      </c>
      <c r="H969" s="3">
        <v>-1.28</v>
      </c>
      <c r="I969" s="3">
        <v>57.32</v>
      </c>
      <c r="J969" s="3">
        <v>-63.68</v>
      </c>
    </row>
    <row r="970" spans="1:10" ht="14.4" x14ac:dyDescent="0.3">
      <c r="A970" s="3"/>
      <c r="E970" s="3">
        <v>369.76</v>
      </c>
      <c r="F970" s="3">
        <v>-35.950000000000003</v>
      </c>
      <c r="G970" s="3">
        <v>-30.59</v>
      </c>
      <c r="H970" s="3">
        <v>-1.1399999999999999</v>
      </c>
      <c r="I970" s="3">
        <v>60.04</v>
      </c>
      <c r="J970" s="3">
        <v>-62.99</v>
      </c>
    </row>
    <row r="971" spans="1:10" ht="14.4" x14ac:dyDescent="0.3">
      <c r="A971" s="3"/>
      <c r="E971" s="3">
        <v>360.33</v>
      </c>
      <c r="F971" s="3">
        <v>-39.630000000000003</v>
      </c>
      <c r="G971" s="3">
        <v>-30.14</v>
      </c>
      <c r="H971" s="3">
        <v>-1.23</v>
      </c>
      <c r="I971" s="3">
        <v>59.06</v>
      </c>
      <c r="J971" s="3">
        <v>-66.52</v>
      </c>
    </row>
    <row r="972" spans="1:10" ht="14.4" x14ac:dyDescent="0.3">
      <c r="A972" s="3"/>
      <c r="E972" s="3">
        <v>351.96</v>
      </c>
      <c r="F972" s="3">
        <v>-39.92</v>
      </c>
      <c r="G972" s="3">
        <v>-28.71</v>
      </c>
      <c r="H972" s="3">
        <v>-1</v>
      </c>
      <c r="I972" s="3">
        <v>55.7</v>
      </c>
      <c r="J972" s="3">
        <v>-66.680000000000007</v>
      </c>
    </row>
    <row r="973" spans="1:10" ht="14.4" x14ac:dyDescent="0.3">
      <c r="A973" s="3"/>
      <c r="E973" s="3">
        <v>350.91</v>
      </c>
      <c r="F973" s="3">
        <v>-42.57</v>
      </c>
      <c r="G973" s="3">
        <v>-29.35</v>
      </c>
      <c r="H973" s="3">
        <v>-1.33</v>
      </c>
      <c r="I973" s="3">
        <v>58.09</v>
      </c>
      <c r="J973" s="3">
        <v>-69.11</v>
      </c>
    </row>
    <row r="974" spans="1:10" ht="14.4" x14ac:dyDescent="0.3">
      <c r="A974" s="3"/>
      <c r="E974" s="3">
        <v>369.32</v>
      </c>
      <c r="F974" s="3">
        <v>-40.14</v>
      </c>
      <c r="G974" s="3">
        <v>-30.06</v>
      </c>
      <c r="H974" s="3">
        <v>-1.75</v>
      </c>
      <c r="I974" s="3">
        <v>61.41</v>
      </c>
      <c r="J974" s="3">
        <v>-67.73</v>
      </c>
    </row>
    <row r="975" spans="1:10" ht="14.4" x14ac:dyDescent="0.3">
      <c r="A975" s="3"/>
      <c r="E975" s="3">
        <v>351.6</v>
      </c>
      <c r="F975" s="3">
        <v>-42.82</v>
      </c>
      <c r="G975" s="3">
        <v>-29.41</v>
      </c>
      <c r="H975" s="3">
        <v>-1.46</v>
      </c>
      <c r="I975" s="3">
        <v>58.86</v>
      </c>
      <c r="J975" s="3">
        <v>-69.95</v>
      </c>
    </row>
    <row r="976" spans="1:10" ht="14.4" x14ac:dyDescent="0.3">
      <c r="A976" s="3"/>
      <c r="E976" s="3">
        <v>357.34</v>
      </c>
      <c r="F976" s="3">
        <v>-37.85</v>
      </c>
      <c r="G976" s="3">
        <v>-28.32</v>
      </c>
      <c r="H976" s="3">
        <v>-0.92</v>
      </c>
      <c r="I976" s="3">
        <v>55.33</v>
      </c>
      <c r="J976" s="3">
        <v>-64.23</v>
      </c>
    </row>
    <row r="977" spans="1:10" ht="14.4" x14ac:dyDescent="0.3">
      <c r="A977" s="3"/>
      <c r="E977" s="3">
        <v>368.36</v>
      </c>
      <c r="F977" s="3">
        <v>-35.799999999999997</v>
      </c>
      <c r="G977" s="3">
        <v>-29</v>
      </c>
      <c r="H977" s="3">
        <v>-1.01</v>
      </c>
      <c r="I977" s="3">
        <v>56.99</v>
      </c>
      <c r="J977" s="3">
        <v>-62.41</v>
      </c>
    </row>
    <row r="978" spans="1:10" ht="14.4" x14ac:dyDescent="0.3">
      <c r="A978" s="3"/>
      <c r="E978" s="3">
        <v>359.69</v>
      </c>
      <c r="F978" s="3">
        <v>-36.799999999999997</v>
      </c>
      <c r="G978" s="3">
        <v>-27.49</v>
      </c>
      <c r="H978" s="3">
        <v>-1.1499999999999999</v>
      </c>
      <c r="I978" s="3">
        <v>54.27</v>
      </c>
      <c r="J978" s="3">
        <v>-63.1</v>
      </c>
    </row>
    <row r="979" spans="1:10" ht="14.4" x14ac:dyDescent="0.3">
      <c r="A979" s="3"/>
      <c r="E979" s="3">
        <v>369.11</v>
      </c>
      <c r="F979" s="3">
        <v>-33.119999999999997</v>
      </c>
      <c r="G979" s="3">
        <v>-27.94</v>
      </c>
      <c r="H979" s="3">
        <v>-1.06</v>
      </c>
      <c r="I979" s="3">
        <v>55.24</v>
      </c>
      <c r="J979" s="3">
        <v>-59.57</v>
      </c>
    </row>
    <row r="980" spans="1:10" ht="14.4" x14ac:dyDescent="0.3">
      <c r="A980" s="3"/>
      <c r="E980" s="3">
        <v>377.49</v>
      </c>
      <c r="F980" s="3">
        <v>-32.83</v>
      </c>
      <c r="G980" s="3">
        <v>-29.37</v>
      </c>
      <c r="H980" s="3">
        <v>-1.28</v>
      </c>
      <c r="I980" s="3">
        <v>58.61</v>
      </c>
      <c r="J980" s="3">
        <v>-59.42</v>
      </c>
    </row>
    <row r="981" spans="1:10" ht="14.4" x14ac:dyDescent="0.3">
      <c r="A981" s="3"/>
      <c r="E981" s="3">
        <v>378.53</v>
      </c>
      <c r="F981" s="3">
        <v>-30.18</v>
      </c>
      <c r="G981" s="3">
        <v>-28.74</v>
      </c>
      <c r="H981" s="3">
        <v>-0.95</v>
      </c>
      <c r="I981" s="3">
        <v>56.22</v>
      </c>
      <c r="J981" s="3">
        <v>-56.99</v>
      </c>
    </row>
    <row r="982" spans="1:10" ht="14.4" x14ac:dyDescent="0.3">
      <c r="A982" s="3"/>
      <c r="E982" s="3">
        <v>517.4</v>
      </c>
      <c r="F982" s="3">
        <v>-39.5</v>
      </c>
      <c r="G982" s="3">
        <v>-17.18</v>
      </c>
      <c r="H982" s="3">
        <v>-2.19</v>
      </c>
      <c r="I982" s="3">
        <v>45.65</v>
      </c>
      <c r="J982" s="3">
        <v>-78.819999999999993</v>
      </c>
    </row>
    <row r="983" spans="1:10" ht="14.4" x14ac:dyDescent="0.3">
      <c r="A983" s="3"/>
      <c r="E983" s="3">
        <v>606.49</v>
      </c>
      <c r="F983" s="3">
        <v>-43.26</v>
      </c>
      <c r="G983" s="3">
        <v>-74.63</v>
      </c>
      <c r="H983" s="3">
        <v>-1.38</v>
      </c>
      <c r="I983" s="3">
        <v>139.79</v>
      </c>
      <c r="J983" s="3">
        <v>-83.86</v>
      </c>
    </row>
    <row r="984" spans="1:10" ht="14.4" x14ac:dyDescent="0.3">
      <c r="A984" s="3"/>
      <c r="E984" s="3">
        <v>481.39</v>
      </c>
      <c r="F984" s="3">
        <v>-64.760000000000005</v>
      </c>
      <c r="G984" s="3">
        <v>-18.989999999999998</v>
      </c>
      <c r="H984" s="3">
        <v>-2.0499999999999998</v>
      </c>
      <c r="I984" s="3">
        <v>48.4</v>
      </c>
      <c r="J984" s="3">
        <v>-106.5</v>
      </c>
    </row>
    <row r="985" spans="1:10" ht="14.4" x14ac:dyDescent="0.3">
      <c r="A985" s="3"/>
      <c r="E985" s="3">
        <v>570.48</v>
      </c>
      <c r="F985" s="3">
        <v>-68.510000000000005</v>
      </c>
      <c r="G985" s="3">
        <v>-76.430000000000007</v>
      </c>
      <c r="H985" s="3">
        <v>-1.24</v>
      </c>
      <c r="I985" s="3">
        <v>142.54</v>
      </c>
      <c r="J985" s="3">
        <v>-111.54</v>
      </c>
    </row>
    <row r="986" spans="1:10" ht="14.4" x14ac:dyDescent="0.3">
      <c r="A986" s="3"/>
      <c r="E986" s="3">
        <v>517.4</v>
      </c>
      <c r="F986" s="3">
        <v>-39.5</v>
      </c>
      <c r="G986" s="3">
        <v>-17.18</v>
      </c>
      <c r="H986" s="3">
        <v>-2.19</v>
      </c>
      <c r="I986" s="3">
        <v>45.65</v>
      </c>
      <c r="J986" s="3">
        <v>-78.819999999999993</v>
      </c>
    </row>
    <row r="987" spans="1:10" ht="14.4" x14ac:dyDescent="0.3">
      <c r="A987" s="3"/>
      <c r="E987" s="3">
        <v>606.49</v>
      </c>
      <c r="F987" s="3">
        <v>-43.26</v>
      </c>
      <c r="G987" s="3">
        <v>-74.63</v>
      </c>
      <c r="H987" s="3">
        <v>-1.38</v>
      </c>
      <c r="I987" s="3">
        <v>139.79</v>
      </c>
      <c r="J987" s="3">
        <v>-83.86</v>
      </c>
    </row>
    <row r="988" spans="1:10" ht="14.4" x14ac:dyDescent="0.3">
      <c r="A988" s="3"/>
      <c r="E988" s="3">
        <v>481.39</v>
      </c>
      <c r="F988" s="3">
        <v>-64.760000000000005</v>
      </c>
      <c r="G988" s="3">
        <v>-18.989999999999998</v>
      </c>
      <c r="H988" s="3">
        <v>-2.0499999999999998</v>
      </c>
      <c r="I988" s="3">
        <v>48.4</v>
      </c>
      <c r="J988" s="3">
        <v>-106.5</v>
      </c>
    </row>
    <row r="989" spans="1:10" ht="14.4" x14ac:dyDescent="0.3">
      <c r="A989" s="3"/>
      <c r="E989" s="3">
        <v>570.48</v>
      </c>
      <c r="F989" s="3">
        <v>-68.510000000000005</v>
      </c>
      <c r="G989" s="3">
        <v>-76.430000000000007</v>
      </c>
      <c r="H989" s="3">
        <v>-1.24</v>
      </c>
      <c r="I989" s="3">
        <v>142.54</v>
      </c>
      <c r="J989" s="3">
        <v>-111.54</v>
      </c>
    </row>
    <row r="990" spans="1:10" ht="14.4" x14ac:dyDescent="0.3">
      <c r="A990" s="3"/>
      <c r="E990" s="3">
        <v>646.04</v>
      </c>
      <c r="F990" s="3">
        <v>-17.52</v>
      </c>
      <c r="G990" s="3">
        <v>-39.590000000000003</v>
      </c>
      <c r="H990" s="3">
        <v>-2.25</v>
      </c>
      <c r="I990" s="3">
        <v>84.09</v>
      </c>
      <c r="J990" s="3">
        <v>-58.65</v>
      </c>
    </row>
    <row r="991" spans="1:10" ht="14.4" x14ac:dyDescent="0.3">
      <c r="A991" s="3"/>
      <c r="E991" s="3">
        <v>365.48</v>
      </c>
      <c r="F991" s="3">
        <v>-84.43</v>
      </c>
      <c r="G991" s="3">
        <v>-32.630000000000003</v>
      </c>
      <c r="H991" s="3">
        <v>-1.27</v>
      </c>
      <c r="I991" s="3">
        <v>67.760000000000005</v>
      </c>
      <c r="J991" s="3">
        <v>-121.66</v>
      </c>
    </row>
    <row r="992" spans="1:10" ht="14.4" x14ac:dyDescent="0.3">
      <c r="A992" s="3"/>
      <c r="E992" s="3">
        <v>722.4</v>
      </c>
      <c r="F992" s="3">
        <v>-23.58</v>
      </c>
      <c r="G992" s="3">
        <v>-60.98</v>
      </c>
      <c r="H992" s="3">
        <v>-2.16</v>
      </c>
      <c r="I992" s="3">
        <v>120.43</v>
      </c>
      <c r="J992" s="3">
        <v>-68.7</v>
      </c>
    </row>
    <row r="993" spans="1:10" ht="14.4" x14ac:dyDescent="0.3">
      <c r="A993" s="3"/>
      <c r="E993" s="3">
        <v>441.84</v>
      </c>
      <c r="F993" s="3">
        <v>-90.49</v>
      </c>
      <c r="G993" s="3">
        <v>-54.02</v>
      </c>
      <c r="H993" s="3">
        <v>-1.18</v>
      </c>
      <c r="I993" s="3">
        <v>104.1</v>
      </c>
      <c r="J993" s="3">
        <v>-131.71</v>
      </c>
    </row>
    <row r="994" spans="1:10" ht="14.4" x14ac:dyDescent="0.3">
      <c r="A994" s="3"/>
      <c r="E994" s="3">
        <v>646.04</v>
      </c>
      <c r="F994" s="3">
        <v>-17.52</v>
      </c>
      <c r="G994" s="3">
        <v>-39.590000000000003</v>
      </c>
      <c r="H994" s="3">
        <v>-2.25</v>
      </c>
      <c r="I994" s="3">
        <v>84.09</v>
      </c>
      <c r="J994" s="3">
        <v>-58.65</v>
      </c>
    </row>
    <row r="995" spans="1:10" ht="14.4" x14ac:dyDescent="0.3">
      <c r="A995" s="3"/>
      <c r="E995" s="3">
        <v>365.48</v>
      </c>
      <c r="F995" s="3">
        <v>-84.43</v>
      </c>
      <c r="G995" s="3">
        <v>-32.630000000000003</v>
      </c>
      <c r="H995" s="3">
        <v>-1.27</v>
      </c>
      <c r="I995" s="3">
        <v>67.760000000000005</v>
      </c>
      <c r="J995" s="3">
        <v>-121.66</v>
      </c>
    </row>
    <row r="996" spans="1:10" ht="14.4" x14ac:dyDescent="0.3">
      <c r="A996" s="3"/>
      <c r="E996" s="3">
        <v>722.4</v>
      </c>
      <c r="F996" s="3">
        <v>-23.58</v>
      </c>
      <c r="G996" s="3">
        <v>-60.98</v>
      </c>
      <c r="H996" s="3">
        <v>-2.16</v>
      </c>
      <c r="I996" s="3">
        <v>120.43</v>
      </c>
      <c r="J996" s="3">
        <v>-68.7</v>
      </c>
    </row>
    <row r="997" spans="1:10" ht="14.4" x14ac:dyDescent="0.3">
      <c r="A997" s="3"/>
      <c r="E997" s="3">
        <v>441.84</v>
      </c>
      <c r="F997" s="3">
        <v>-90.49</v>
      </c>
      <c r="G997" s="3">
        <v>-54.02</v>
      </c>
      <c r="H997" s="3">
        <v>-1.18</v>
      </c>
      <c r="I997" s="3">
        <v>104.1</v>
      </c>
      <c r="J997" s="3">
        <v>-131.71</v>
      </c>
    </row>
    <row r="998" spans="1:10" ht="14.4" x14ac:dyDescent="0.3">
      <c r="A998" s="3"/>
      <c r="E998" s="3">
        <v>767.48</v>
      </c>
      <c r="F998" s="3">
        <v>-25.27</v>
      </c>
      <c r="G998" s="3">
        <v>-14.88</v>
      </c>
      <c r="H998" s="3">
        <v>-1.56</v>
      </c>
      <c r="I998" s="3">
        <v>40.99</v>
      </c>
      <c r="J998" s="3">
        <v>-64.8</v>
      </c>
    </row>
    <row r="999" spans="1:10" ht="14.4" x14ac:dyDescent="0.3">
      <c r="A999" s="3"/>
      <c r="E999" s="3">
        <v>361.74</v>
      </c>
      <c r="F999" s="3">
        <v>-51.39</v>
      </c>
      <c r="G999" s="3">
        <v>-72.709999999999994</v>
      </c>
      <c r="H999" s="3">
        <v>-1.37</v>
      </c>
      <c r="I999" s="3">
        <v>136.76</v>
      </c>
      <c r="J999" s="3">
        <v>-90.77</v>
      </c>
    </row>
    <row r="1000" spans="1:10" ht="14.4" x14ac:dyDescent="0.3">
      <c r="A1000" s="3"/>
      <c r="E1000" s="3">
        <v>726.14</v>
      </c>
      <c r="F1000" s="3">
        <v>-56.63</v>
      </c>
      <c r="G1000" s="3">
        <v>-20.9</v>
      </c>
      <c r="H1000" s="3">
        <v>-2.0499999999999998</v>
      </c>
      <c r="I1000" s="3">
        <v>51.42</v>
      </c>
      <c r="J1000" s="3">
        <v>-99.59</v>
      </c>
    </row>
    <row r="1001" spans="1:10" ht="14.4" x14ac:dyDescent="0.3">
      <c r="A1001" s="3"/>
      <c r="E1001" s="3">
        <v>320.39999999999998</v>
      </c>
      <c r="F1001" s="3">
        <v>-82.74</v>
      </c>
      <c r="G1001" s="3">
        <v>-78.73</v>
      </c>
      <c r="H1001" s="3">
        <v>-1.87</v>
      </c>
      <c r="I1001" s="3">
        <v>147.19999999999999</v>
      </c>
      <c r="J1001" s="3">
        <v>-125.56</v>
      </c>
    </row>
    <row r="1002" spans="1:10" ht="14.4" x14ac:dyDescent="0.3">
      <c r="A1002" s="3"/>
      <c r="E1002" s="3">
        <v>730.02</v>
      </c>
      <c r="F1002" s="3">
        <v>-4.09</v>
      </c>
      <c r="G1002" s="3">
        <v>-32.6</v>
      </c>
      <c r="H1002" s="3">
        <v>-1.1100000000000001</v>
      </c>
      <c r="I1002" s="3">
        <v>71.22</v>
      </c>
      <c r="J1002" s="3">
        <v>-43.77</v>
      </c>
    </row>
    <row r="1003" spans="1:10" ht="14.4" x14ac:dyDescent="0.3">
      <c r="A1003" s="3"/>
      <c r="E1003" s="3">
        <v>431.92</v>
      </c>
      <c r="F1003" s="3">
        <v>-91.07</v>
      </c>
      <c r="G1003" s="3">
        <v>-39.5</v>
      </c>
      <c r="H1003" s="3">
        <v>-2.2200000000000002</v>
      </c>
      <c r="I1003" s="3">
        <v>80.13</v>
      </c>
      <c r="J1003" s="3">
        <v>-130.18</v>
      </c>
    </row>
    <row r="1004" spans="1:10" ht="14.4" x14ac:dyDescent="0.3">
      <c r="A1004" s="3"/>
      <c r="E1004" s="3">
        <v>655.95</v>
      </c>
      <c r="F1004" s="3">
        <v>-16.940000000000001</v>
      </c>
      <c r="G1004" s="3">
        <v>-54.11</v>
      </c>
      <c r="H1004" s="3">
        <v>-1.21</v>
      </c>
      <c r="I1004" s="3">
        <v>108.06</v>
      </c>
      <c r="J1004" s="3">
        <v>-60.18</v>
      </c>
    </row>
    <row r="1005" spans="1:10" ht="14.4" x14ac:dyDescent="0.3">
      <c r="A1005" s="3"/>
      <c r="E1005" s="3">
        <v>357.86</v>
      </c>
      <c r="F1005" s="3">
        <v>-103.92</v>
      </c>
      <c r="G1005" s="3">
        <v>-61.01</v>
      </c>
      <c r="H1005" s="3">
        <v>-2.3199999999999998</v>
      </c>
      <c r="I1005" s="3">
        <v>116.97</v>
      </c>
      <c r="J1005" s="3">
        <v>-146.59</v>
      </c>
    </row>
    <row r="1006" spans="1:10" ht="14.4" x14ac:dyDescent="0.3">
      <c r="A1006" s="3"/>
      <c r="E1006" s="3">
        <v>403.93</v>
      </c>
      <c r="F1006" s="3">
        <v>-28.19</v>
      </c>
      <c r="G1006" s="3">
        <v>-8.14</v>
      </c>
      <c r="H1006" s="3">
        <v>-1.84</v>
      </c>
      <c r="I1006" s="3">
        <v>27.86</v>
      </c>
      <c r="J1006" s="3">
        <v>-59.21</v>
      </c>
    </row>
    <row r="1007" spans="1:10" ht="14.4" x14ac:dyDescent="0.3">
      <c r="A1007" s="3"/>
      <c r="E1007" s="3">
        <v>476.81</v>
      </c>
      <c r="F1007" s="3">
        <v>-30.32</v>
      </c>
      <c r="G1007" s="3">
        <v>-64.3</v>
      </c>
      <c r="H1007" s="3">
        <v>-0.97</v>
      </c>
      <c r="I1007" s="3">
        <v>119.47</v>
      </c>
      <c r="J1007" s="3">
        <v>-61.45</v>
      </c>
    </row>
    <row r="1008" spans="1:10" ht="14.4" x14ac:dyDescent="0.3">
      <c r="A1008" s="3"/>
      <c r="E1008" s="3">
        <v>367.92</v>
      </c>
      <c r="F1008" s="3">
        <v>-53.44</v>
      </c>
      <c r="G1008" s="3">
        <v>-9.9499999999999993</v>
      </c>
      <c r="H1008" s="3">
        <v>-1.69</v>
      </c>
      <c r="I1008" s="3">
        <v>30.62</v>
      </c>
      <c r="J1008" s="3">
        <v>-86.88</v>
      </c>
    </row>
    <row r="1009" spans="1:10" ht="14.4" x14ac:dyDescent="0.3">
      <c r="A1009" s="3"/>
      <c r="E1009" s="3">
        <v>440.8</v>
      </c>
      <c r="F1009" s="3">
        <v>-55.58</v>
      </c>
      <c r="G1009" s="3">
        <v>-66.11</v>
      </c>
      <c r="H1009" s="3">
        <v>-0.83</v>
      </c>
      <c r="I1009" s="3">
        <v>122.22</v>
      </c>
      <c r="J1009" s="3">
        <v>-89.12</v>
      </c>
    </row>
    <row r="1010" spans="1:10" ht="14.4" x14ac:dyDescent="0.3">
      <c r="A1010" s="3"/>
      <c r="E1010" s="3">
        <v>403.93</v>
      </c>
      <c r="F1010" s="3">
        <v>-28.19</v>
      </c>
      <c r="G1010" s="3">
        <v>-8.14</v>
      </c>
      <c r="H1010" s="3">
        <v>-1.84</v>
      </c>
      <c r="I1010" s="3">
        <v>27.86</v>
      </c>
      <c r="J1010" s="3">
        <v>-59.21</v>
      </c>
    </row>
    <row r="1011" spans="1:10" ht="14.4" x14ac:dyDescent="0.3">
      <c r="A1011" s="3"/>
      <c r="E1011" s="3">
        <v>476.81</v>
      </c>
      <c r="F1011" s="3">
        <v>-30.32</v>
      </c>
      <c r="G1011" s="3">
        <v>-64.3</v>
      </c>
      <c r="H1011" s="3">
        <v>-0.97</v>
      </c>
      <c r="I1011" s="3">
        <v>119.47</v>
      </c>
      <c r="J1011" s="3">
        <v>-61.45</v>
      </c>
    </row>
    <row r="1012" spans="1:10" ht="14.4" x14ac:dyDescent="0.3">
      <c r="A1012" s="3"/>
      <c r="E1012" s="3">
        <v>367.92</v>
      </c>
      <c r="F1012" s="3">
        <v>-53.44</v>
      </c>
      <c r="G1012" s="3">
        <v>-9.9499999999999993</v>
      </c>
      <c r="H1012" s="3">
        <v>-1.69</v>
      </c>
      <c r="I1012" s="3">
        <v>30.62</v>
      </c>
      <c r="J1012" s="3">
        <v>-86.88</v>
      </c>
    </row>
    <row r="1013" spans="1:10" ht="14.4" x14ac:dyDescent="0.3">
      <c r="A1013" s="3"/>
      <c r="E1013" s="3">
        <v>440.8</v>
      </c>
      <c r="F1013" s="3">
        <v>-55.58</v>
      </c>
      <c r="G1013" s="3">
        <v>-66.11</v>
      </c>
      <c r="H1013" s="3">
        <v>-0.83</v>
      </c>
      <c r="I1013" s="3">
        <v>122.22</v>
      </c>
      <c r="J1013" s="3">
        <v>-89.12</v>
      </c>
    </row>
    <row r="1014" spans="1:10" ht="14.4" x14ac:dyDescent="0.3">
      <c r="A1014" s="3"/>
      <c r="E1014" s="3">
        <v>532.57000000000005</v>
      </c>
      <c r="F1014" s="3">
        <v>-6.21</v>
      </c>
      <c r="G1014" s="3">
        <v>-30.56</v>
      </c>
      <c r="H1014" s="3">
        <v>-1.89</v>
      </c>
      <c r="I1014" s="3">
        <v>66.31</v>
      </c>
      <c r="J1014" s="3">
        <v>-39.03</v>
      </c>
    </row>
    <row r="1015" spans="1:10" ht="14.4" x14ac:dyDescent="0.3">
      <c r="A1015" s="3"/>
      <c r="E1015" s="3">
        <v>235.8</v>
      </c>
      <c r="F1015" s="3">
        <v>-71.5</v>
      </c>
      <c r="G1015" s="3">
        <v>-22.31</v>
      </c>
      <c r="H1015" s="3">
        <v>-0.87</v>
      </c>
      <c r="I1015" s="3">
        <v>47.43</v>
      </c>
      <c r="J1015" s="3">
        <v>-99.24</v>
      </c>
    </row>
    <row r="1016" spans="1:10" ht="14.4" x14ac:dyDescent="0.3">
      <c r="A1016" s="3"/>
      <c r="E1016" s="3">
        <v>608.92999999999995</v>
      </c>
      <c r="F1016" s="3">
        <v>-12.26</v>
      </c>
      <c r="G1016" s="3">
        <v>-51.95</v>
      </c>
      <c r="H1016" s="3">
        <v>-1.8</v>
      </c>
      <c r="I1016" s="3">
        <v>102.65</v>
      </c>
      <c r="J1016" s="3">
        <v>-49.08</v>
      </c>
    </row>
    <row r="1017" spans="1:10" ht="14.4" x14ac:dyDescent="0.3">
      <c r="A1017" s="3"/>
      <c r="E1017" s="3">
        <v>312.16000000000003</v>
      </c>
      <c r="F1017" s="3">
        <v>-77.56</v>
      </c>
      <c r="G1017" s="3">
        <v>-43.69</v>
      </c>
      <c r="H1017" s="3">
        <v>-0.77</v>
      </c>
      <c r="I1017" s="3">
        <v>83.77</v>
      </c>
      <c r="J1017" s="3">
        <v>-109.29</v>
      </c>
    </row>
    <row r="1018" spans="1:10" ht="14.4" x14ac:dyDescent="0.3">
      <c r="A1018" s="3"/>
      <c r="E1018" s="3">
        <v>532.57000000000005</v>
      </c>
      <c r="F1018" s="3">
        <v>-6.21</v>
      </c>
      <c r="G1018" s="3">
        <v>-30.56</v>
      </c>
      <c r="H1018" s="3">
        <v>-1.89</v>
      </c>
      <c r="I1018" s="3">
        <v>66.31</v>
      </c>
      <c r="J1018" s="3">
        <v>-39.03</v>
      </c>
    </row>
    <row r="1019" spans="1:10" ht="14.4" x14ac:dyDescent="0.3">
      <c r="A1019" s="3"/>
      <c r="E1019" s="3">
        <v>235.8</v>
      </c>
      <c r="F1019" s="3">
        <v>-71.5</v>
      </c>
      <c r="G1019" s="3">
        <v>-22.31</v>
      </c>
      <c r="H1019" s="3">
        <v>-0.87</v>
      </c>
      <c r="I1019" s="3">
        <v>47.43</v>
      </c>
      <c r="J1019" s="3">
        <v>-99.24</v>
      </c>
    </row>
    <row r="1020" spans="1:10" ht="14.4" x14ac:dyDescent="0.3">
      <c r="A1020" s="3"/>
      <c r="E1020" s="3">
        <v>608.92999999999995</v>
      </c>
      <c r="F1020" s="3">
        <v>-12.26</v>
      </c>
      <c r="G1020" s="3">
        <v>-51.95</v>
      </c>
      <c r="H1020" s="3">
        <v>-1.8</v>
      </c>
      <c r="I1020" s="3">
        <v>102.65</v>
      </c>
      <c r="J1020" s="3">
        <v>-49.08</v>
      </c>
    </row>
    <row r="1021" spans="1:10" ht="14.4" x14ac:dyDescent="0.3">
      <c r="A1021" s="3"/>
      <c r="E1021" s="3">
        <v>312.16000000000003</v>
      </c>
      <c r="F1021" s="3">
        <v>-77.56</v>
      </c>
      <c r="G1021" s="3">
        <v>-43.69</v>
      </c>
      <c r="H1021" s="3">
        <v>-0.77</v>
      </c>
      <c r="I1021" s="3">
        <v>83.77</v>
      </c>
      <c r="J1021" s="3">
        <v>-109.29</v>
      </c>
    </row>
    <row r="1022" spans="1:10" ht="14.4" x14ac:dyDescent="0.3">
      <c r="A1022" s="3"/>
      <c r="E1022" s="3">
        <v>654.01</v>
      </c>
      <c r="F1022" s="3">
        <v>-13.96</v>
      </c>
      <c r="G1022" s="3">
        <v>-5.84</v>
      </c>
      <c r="H1022" s="3">
        <v>-1.21</v>
      </c>
      <c r="I1022" s="3">
        <v>23.21</v>
      </c>
      <c r="J1022" s="3">
        <v>-45.19</v>
      </c>
    </row>
    <row r="1023" spans="1:10" ht="14.4" x14ac:dyDescent="0.3">
      <c r="A1023" s="3"/>
      <c r="E1023" s="3">
        <v>232.06</v>
      </c>
      <c r="F1023" s="3">
        <v>-38.450000000000003</v>
      </c>
      <c r="G1023" s="3">
        <v>-62.39</v>
      </c>
      <c r="H1023" s="3">
        <v>-0.97</v>
      </c>
      <c r="I1023" s="3">
        <v>116.44</v>
      </c>
      <c r="J1023" s="3">
        <v>-68.349999999999994</v>
      </c>
    </row>
    <row r="1024" spans="1:10" ht="14.4" x14ac:dyDescent="0.3">
      <c r="A1024" s="3"/>
      <c r="E1024" s="3">
        <v>612.66999999999996</v>
      </c>
      <c r="F1024" s="3">
        <v>-45.31</v>
      </c>
      <c r="G1024" s="3">
        <v>-11.87</v>
      </c>
      <c r="H1024" s="3">
        <v>-1.7</v>
      </c>
      <c r="I1024" s="3">
        <v>33.64</v>
      </c>
      <c r="J1024" s="3">
        <v>-79.97</v>
      </c>
    </row>
    <row r="1025" spans="1:10" ht="14.4" x14ac:dyDescent="0.3">
      <c r="A1025" s="3"/>
      <c r="E1025" s="3">
        <v>190.72</v>
      </c>
      <c r="F1025" s="3">
        <v>-69.81</v>
      </c>
      <c r="G1025" s="3">
        <v>-68.41</v>
      </c>
      <c r="H1025" s="3">
        <v>-1.46</v>
      </c>
      <c r="I1025" s="3">
        <v>126.87</v>
      </c>
      <c r="J1025" s="3">
        <v>-103.14</v>
      </c>
    </row>
    <row r="1026" spans="1:10" ht="14.4" x14ac:dyDescent="0.3">
      <c r="A1026" s="3"/>
      <c r="E1026" s="3">
        <v>616.54999999999995</v>
      </c>
      <c r="F1026" s="3">
        <v>7.23</v>
      </c>
      <c r="G1026" s="3">
        <v>-23.57</v>
      </c>
      <c r="H1026" s="3">
        <v>-0.76</v>
      </c>
      <c r="I1026" s="3">
        <v>53.44</v>
      </c>
      <c r="J1026" s="3">
        <v>-24.16</v>
      </c>
    </row>
    <row r="1027" spans="1:10" ht="14.4" x14ac:dyDescent="0.3">
      <c r="A1027" s="3"/>
      <c r="E1027" s="3">
        <v>302.24</v>
      </c>
      <c r="F1027" s="3">
        <v>-78.14</v>
      </c>
      <c r="G1027" s="3">
        <v>-29.18</v>
      </c>
      <c r="H1027" s="3">
        <v>-1.81</v>
      </c>
      <c r="I1027" s="3">
        <v>59.81</v>
      </c>
      <c r="J1027" s="3">
        <v>-107.76</v>
      </c>
    </row>
    <row r="1028" spans="1:10" ht="14.4" x14ac:dyDescent="0.3">
      <c r="A1028" s="3"/>
      <c r="E1028" s="3">
        <v>542.49</v>
      </c>
      <c r="F1028" s="3">
        <v>-5.63</v>
      </c>
      <c r="G1028" s="3">
        <v>-45.07</v>
      </c>
      <c r="H1028" s="3">
        <v>-0.85</v>
      </c>
      <c r="I1028" s="3">
        <v>90.28</v>
      </c>
      <c r="J1028" s="3">
        <v>-40.57</v>
      </c>
    </row>
    <row r="1029" spans="1:10" ht="14.4" x14ac:dyDescent="0.3">
      <c r="A1029" s="3"/>
      <c r="E1029" s="3">
        <v>364.18</v>
      </c>
      <c r="F1029" s="3">
        <v>12.16</v>
      </c>
      <c r="G1029" s="3">
        <v>-30.88</v>
      </c>
      <c r="H1029" s="3">
        <v>-0.28999999999999998</v>
      </c>
      <c r="I1029" s="3">
        <v>62.33</v>
      </c>
      <c r="J1029" s="3">
        <v>-9.75</v>
      </c>
    </row>
    <row r="1030" spans="1:10" ht="14.4" x14ac:dyDescent="0.3">
      <c r="A1030" s="3"/>
      <c r="E1030" s="3">
        <v>262.61</v>
      </c>
      <c r="F1030" s="3">
        <v>-31.7</v>
      </c>
      <c r="G1030" s="3">
        <v>31.99</v>
      </c>
      <c r="H1030" s="3">
        <v>-2.06</v>
      </c>
      <c r="I1030" s="3">
        <v>-39.799999999999997</v>
      </c>
      <c r="J1030" s="3">
        <v>-58.15</v>
      </c>
    </row>
    <row r="1031" spans="1:10" ht="14.4" x14ac:dyDescent="0.3">
      <c r="A1031" s="3"/>
      <c r="E1031" s="3">
        <v>825.27</v>
      </c>
      <c r="F1031" s="3">
        <v>-76.319999999999993</v>
      </c>
      <c r="G1031" s="3">
        <v>-125.6</v>
      </c>
      <c r="H1031" s="3">
        <v>-1.37</v>
      </c>
      <c r="I1031" s="3">
        <v>227.98</v>
      </c>
      <c r="J1031" s="3">
        <v>-132.21</v>
      </c>
    </row>
    <row r="1032" spans="1:10" ht="14.4" x14ac:dyDescent="0.3">
      <c r="A1032" s="3"/>
      <c r="E1032" s="3">
        <v>676.61</v>
      </c>
      <c r="F1032" s="3">
        <v>39.04</v>
      </c>
      <c r="G1032" s="3">
        <v>-40.15</v>
      </c>
      <c r="H1032" s="3">
        <v>-2.2400000000000002</v>
      </c>
      <c r="I1032" s="3">
        <v>83.94</v>
      </c>
      <c r="J1032" s="3">
        <v>6.78</v>
      </c>
    </row>
    <row r="1033" spans="1:10" ht="14.4" x14ac:dyDescent="0.3">
      <c r="A1033" s="3"/>
      <c r="E1033" s="3">
        <v>411.27</v>
      </c>
      <c r="F1033" s="3">
        <v>-147.05000000000001</v>
      </c>
      <c r="G1033" s="3">
        <v>-53.47</v>
      </c>
      <c r="H1033" s="3">
        <v>-1.19</v>
      </c>
      <c r="I1033" s="3">
        <v>104.25</v>
      </c>
      <c r="J1033" s="3">
        <v>-197.13</v>
      </c>
    </row>
    <row r="1034" spans="1:10" ht="14.4" x14ac:dyDescent="0.3">
      <c r="A1034" s="3"/>
      <c r="E1034" s="3">
        <v>262.61</v>
      </c>
      <c r="F1034" s="3">
        <v>-31.7</v>
      </c>
      <c r="G1034" s="3">
        <v>31.99</v>
      </c>
      <c r="H1034" s="3">
        <v>-2.06</v>
      </c>
      <c r="I1034" s="3">
        <v>-39.799999999999997</v>
      </c>
      <c r="J1034" s="3">
        <v>-58.15</v>
      </c>
    </row>
    <row r="1035" spans="1:10" ht="14.4" x14ac:dyDescent="0.3">
      <c r="A1035" s="3"/>
      <c r="E1035" s="3">
        <v>825.27</v>
      </c>
      <c r="F1035" s="3">
        <v>-76.319999999999993</v>
      </c>
      <c r="G1035" s="3">
        <v>-125.6</v>
      </c>
      <c r="H1035" s="3">
        <v>-1.37</v>
      </c>
      <c r="I1035" s="3">
        <v>227.98</v>
      </c>
      <c r="J1035" s="3">
        <v>-132.21</v>
      </c>
    </row>
    <row r="1036" spans="1:10" ht="14.4" x14ac:dyDescent="0.3">
      <c r="A1036" s="3"/>
      <c r="E1036" s="3">
        <v>676.61</v>
      </c>
      <c r="F1036" s="3">
        <v>39.04</v>
      </c>
      <c r="G1036" s="3">
        <v>-40.15</v>
      </c>
      <c r="H1036" s="3">
        <v>-2.2400000000000002</v>
      </c>
      <c r="I1036" s="3">
        <v>83.94</v>
      </c>
      <c r="J1036" s="3">
        <v>6.78</v>
      </c>
    </row>
    <row r="1037" spans="1:10" ht="14.4" x14ac:dyDescent="0.3">
      <c r="A1037" s="3"/>
      <c r="E1037" s="3">
        <v>411.27</v>
      </c>
      <c r="F1037" s="3">
        <v>-147.05000000000001</v>
      </c>
      <c r="G1037" s="3">
        <v>-53.47</v>
      </c>
      <c r="H1037" s="3">
        <v>-1.19</v>
      </c>
      <c r="I1037" s="3">
        <v>104.25</v>
      </c>
      <c r="J1037" s="3">
        <v>-197.13</v>
      </c>
    </row>
    <row r="1038" spans="1:10" ht="14.4" x14ac:dyDescent="0.3">
      <c r="A1038" s="3"/>
      <c r="E1038" s="3">
        <v>83.39</v>
      </c>
      <c r="F1038" s="3">
        <v>-14.06</v>
      </c>
      <c r="G1038" s="3">
        <v>49.76</v>
      </c>
      <c r="H1038" s="3">
        <v>-1.48</v>
      </c>
      <c r="I1038" s="3">
        <v>-76.73</v>
      </c>
      <c r="J1038" s="3">
        <v>-26.02</v>
      </c>
    </row>
    <row r="1039" spans="1:10" ht="14.4" x14ac:dyDescent="0.3">
      <c r="A1039" s="3"/>
      <c r="E1039" s="3">
        <v>646.05999999999995</v>
      </c>
      <c r="F1039" s="3">
        <v>-58.68</v>
      </c>
      <c r="G1039" s="3">
        <v>-107.84</v>
      </c>
      <c r="H1039" s="3">
        <v>-0.8</v>
      </c>
      <c r="I1039" s="3">
        <v>191.04</v>
      </c>
      <c r="J1039" s="3">
        <v>-100.07</v>
      </c>
    </row>
    <row r="1040" spans="1:10" ht="14.4" x14ac:dyDescent="0.3">
      <c r="A1040" s="3"/>
      <c r="E1040" s="3">
        <v>497.39</v>
      </c>
      <c r="F1040" s="3">
        <v>56.67</v>
      </c>
      <c r="G1040" s="3">
        <v>-22.38</v>
      </c>
      <c r="H1040" s="3">
        <v>-1.67</v>
      </c>
      <c r="I1040" s="3">
        <v>47</v>
      </c>
      <c r="J1040" s="3">
        <v>38.909999999999997</v>
      </c>
    </row>
    <row r="1041" spans="1:10" ht="14.4" x14ac:dyDescent="0.3">
      <c r="A1041" s="3"/>
      <c r="E1041" s="3">
        <v>232.05</v>
      </c>
      <c r="F1041" s="3">
        <v>-129.41999999999999</v>
      </c>
      <c r="G1041" s="3">
        <v>-35.700000000000003</v>
      </c>
      <c r="H1041" s="3">
        <v>-0.62</v>
      </c>
      <c r="I1041" s="3">
        <v>67.31</v>
      </c>
      <c r="J1041" s="3">
        <v>-165</v>
      </c>
    </row>
    <row r="1042" spans="1:10" ht="14.4" x14ac:dyDescent="0.3">
      <c r="A1042" s="3"/>
      <c r="E1042" s="3">
        <v>83.39</v>
      </c>
      <c r="F1042" s="3">
        <v>-14.06</v>
      </c>
      <c r="G1042" s="3">
        <v>49.76</v>
      </c>
      <c r="H1042" s="3">
        <v>-1.48</v>
      </c>
      <c r="I1042" s="3">
        <v>-76.73</v>
      </c>
      <c r="J1042" s="3">
        <v>-26.02</v>
      </c>
    </row>
    <row r="1043" spans="1:10" ht="14.4" x14ac:dyDescent="0.3">
      <c r="A1043" s="3"/>
      <c r="E1043" s="3">
        <v>646.05999999999995</v>
      </c>
      <c r="F1043" s="3">
        <v>-58.68</v>
      </c>
      <c r="G1043" s="3">
        <v>-107.84</v>
      </c>
      <c r="H1043" s="3">
        <v>-0.8</v>
      </c>
      <c r="I1043" s="3">
        <v>191.04</v>
      </c>
      <c r="J1043" s="3">
        <v>-100.07</v>
      </c>
    </row>
    <row r="1044" spans="1:10" ht="14.4" x14ac:dyDescent="0.3">
      <c r="A1044" s="3"/>
      <c r="E1044" s="3">
        <v>497.39</v>
      </c>
      <c r="F1044" s="3">
        <v>56.67</v>
      </c>
      <c r="G1044" s="3">
        <v>-22.38</v>
      </c>
      <c r="H1044" s="3">
        <v>-1.67</v>
      </c>
      <c r="I1044" s="3">
        <v>47</v>
      </c>
      <c r="J1044" s="3">
        <v>38.909999999999997</v>
      </c>
    </row>
    <row r="1045" spans="1:10" ht="14.4" x14ac:dyDescent="0.3">
      <c r="A1045" s="3"/>
      <c r="E1045" s="3">
        <v>232.05</v>
      </c>
      <c r="F1045" s="3">
        <v>-129.41999999999999</v>
      </c>
      <c r="G1045" s="3">
        <v>-35.700000000000003</v>
      </c>
      <c r="H1045" s="3">
        <v>-0.62</v>
      </c>
      <c r="I1045" s="3">
        <v>67.31</v>
      </c>
      <c r="J1045" s="3">
        <v>-165</v>
      </c>
    </row>
    <row r="1046" spans="1:10" ht="14.4" x14ac:dyDescent="0.3">
      <c r="A1046" s="3"/>
      <c r="E1046" s="3">
        <v>589.55999999999995</v>
      </c>
      <c r="F1046" s="3">
        <v>-56.58</v>
      </c>
      <c r="G1046" s="3">
        <v>-45.18</v>
      </c>
      <c r="H1046" s="3">
        <v>-1.78</v>
      </c>
      <c r="I1046" s="3">
        <v>-37.58</v>
      </c>
      <c r="J1046" s="3">
        <v>60.35</v>
      </c>
    </row>
    <row r="1047" spans="1:10" ht="14.4" x14ac:dyDescent="0.3">
      <c r="A1047" s="3"/>
      <c r="E1047" s="3">
        <v>604.27</v>
      </c>
      <c r="F1047" s="3">
        <v>-60.04</v>
      </c>
      <c r="G1047" s="3">
        <v>-53.45</v>
      </c>
      <c r="H1047" s="3">
        <v>-1.89</v>
      </c>
      <c r="I1047" s="3">
        <v>-40.98</v>
      </c>
      <c r="J1047" s="3">
        <v>62.15</v>
      </c>
    </row>
    <row r="1048" spans="1:10" ht="14.4" x14ac:dyDescent="0.3">
      <c r="A1048" s="3"/>
      <c r="E1048" s="3">
        <v>711.22</v>
      </c>
      <c r="F1048" s="3">
        <v>-71.78</v>
      </c>
      <c r="G1048" s="3">
        <v>-63.33</v>
      </c>
      <c r="H1048" s="3">
        <v>-2.23</v>
      </c>
      <c r="I1048" s="3">
        <v>-48.04</v>
      </c>
      <c r="J1048" s="3">
        <v>75.12</v>
      </c>
    </row>
    <row r="1049" spans="1:10" ht="14.4" x14ac:dyDescent="0.3">
      <c r="A1049" s="3"/>
      <c r="E1049" s="3">
        <v>565.98</v>
      </c>
      <c r="F1049" s="3">
        <v>-54.76</v>
      </c>
      <c r="G1049" s="3">
        <v>-47.05</v>
      </c>
      <c r="H1049" s="3">
        <v>-1.74</v>
      </c>
      <c r="I1049" s="3">
        <v>-37.1</v>
      </c>
      <c r="J1049" s="3">
        <v>57.21</v>
      </c>
    </row>
    <row r="1050" spans="1:10" ht="14.4" x14ac:dyDescent="0.3">
      <c r="A1050" s="3"/>
      <c r="E1050" s="3">
        <v>908.22</v>
      </c>
      <c r="F1050" s="3">
        <v>-92.33</v>
      </c>
      <c r="G1050" s="3">
        <v>-78.67</v>
      </c>
      <c r="H1050" s="3">
        <v>-2.82</v>
      </c>
      <c r="I1050" s="3">
        <v>-59.71</v>
      </c>
      <c r="J1050" s="3">
        <v>98.73</v>
      </c>
    </row>
    <row r="1051" spans="1:10" ht="14.4" x14ac:dyDescent="0.3">
      <c r="A1051" s="3"/>
      <c r="E1051" s="3">
        <v>506.04</v>
      </c>
      <c r="F1051" s="3">
        <v>-47.38</v>
      </c>
      <c r="G1051" s="3">
        <v>-37</v>
      </c>
      <c r="H1051" s="3">
        <v>-1.25</v>
      </c>
      <c r="I1051" s="3">
        <v>-31.02</v>
      </c>
      <c r="J1051" s="3">
        <v>49.98</v>
      </c>
    </row>
    <row r="1052" spans="1:10" ht="14.4" x14ac:dyDescent="0.3">
      <c r="A1052" s="3"/>
      <c r="E1052" s="3">
        <v>514.9</v>
      </c>
      <c r="F1052" s="3">
        <v>-46.07</v>
      </c>
      <c r="G1052" s="3">
        <v>-37.99</v>
      </c>
      <c r="H1052" s="3">
        <v>-1.39</v>
      </c>
      <c r="I1052" s="3">
        <v>-31.58</v>
      </c>
      <c r="J1052" s="3">
        <v>47.38</v>
      </c>
    </row>
    <row r="1053" spans="1:10" ht="14.4" x14ac:dyDescent="0.3">
      <c r="A1053" s="3"/>
      <c r="E1053" s="3">
        <v>512.03</v>
      </c>
      <c r="F1053" s="3">
        <v>-48.57</v>
      </c>
      <c r="G1053" s="3">
        <v>-39.65</v>
      </c>
      <c r="H1053" s="3">
        <v>-1.66</v>
      </c>
      <c r="I1053" s="3">
        <v>-32.9</v>
      </c>
      <c r="J1053" s="3">
        <v>51.5</v>
      </c>
    </row>
    <row r="1054" spans="1:10" ht="14.4" x14ac:dyDescent="0.3">
      <c r="A1054" s="3"/>
      <c r="E1054" s="3">
        <v>506.52</v>
      </c>
      <c r="F1054" s="3">
        <v>-49.56</v>
      </c>
      <c r="G1054" s="3">
        <v>-39.17</v>
      </c>
      <c r="H1054" s="3">
        <v>-1.62</v>
      </c>
      <c r="I1054" s="3">
        <v>-32.590000000000003</v>
      </c>
      <c r="J1054" s="3">
        <v>53.4</v>
      </c>
    </row>
    <row r="1055" spans="1:10" ht="14.4" x14ac:dyDescent="0.3">
      <c r="A1055" s="3"/>
      <c r="E1055" s="3">
        <v>510.86</v>
      </c>
      <c r="F1055" s="3">
        <v>-49.02</v>
      </c>
      <c r="G1055" s="3">
        <v>-39.96</v>
      </c>
      <c r="H1055" s="3">
        <v>-1.55</v>
      </c>
      <c r="I1055" s="3">
        <v>-33.39</v>
      </c>
      <c r="J1055" s="3">
        <v>52.3</v>
      </c>
    </row>
    <row r="1056" spans="1:10" ht="14.4" x14ac:dyDescent="0.3">
      <c r="A1056" s="3"/>
      <c r="E1056" s="3">
        <v>506.14</v>
      </c>
      <c r="F1056" s="3">
        <v>-50.89</v>
      </c>
      <c r="G1056" s="3">
        <v>-39.75</v>
      </c>
      <c r="H1056" s="3">
        <v>-1.6</v>
      </c>
      <c r="I1056" s="3">
        <v>-33.270000000000003</v>
      </c>
      <c r="J1056" s="3">
        <v>55.72</v>
      </c>
    </row>
    <row r="1057" spans="1:10" ht="14.4" x14ac:dyDescent="0.3">
      <c r="A1057" s="3"/>
      <c r="E1057" s="3">
        <v>501.96</v>
      </c>
      <c r="F1057" s="3">
        <v>-51.04</v>
      </c>
      <c r="G1057" s="3">
        <v>-38.450000000000003</v>
      </c>
      <c r="H1057" s="3">
        <v>-1.48</v>
      </c>
      <c r="I1057" s="3">
        <v>-32.130000000000003</v>
      </c>
      <c r="J1057" s="3">
        <v>56.06</v>
      </c>
    </row>
    <row r="1058" spans="1:10" ht="14.4" x14ac:dyDescent="0.3">
      <c r="A1058" s="3"/>
      <c r="E1058" s="3">
        <v>501.43</v>
      </c>
      <c r="F1058" s="3">
        <v>-52.24</v>
      </c>
      <c r="G1058" s="3">
        <v>-39.82</v>
      </c>
      <c r="H1058" s="3">
        <v>-1.65</v>
      </c>
      <c r="I1058" s="3">
        <v>-33.299999999999997</v>
      </c>
      <c r="J1058" s="3">
        <v>58.38</v>
      </c>
    </row>
    <row r="1059" spans="1:10" ht="14.4" x14ac:dyDescent="0.3">
      <c r="A1059" s="3"/>
      <c r="E1059" s="3">
        <v>510.63</v>
      </c>
      <c r="F1059" s="3">
        <v>-51.13</v>
      </c>
      <c r="G1059" s="3">
        <v>-40.92</v>
      </c>
      <c r="H1059" s="3">
        <v>-1.85</v>
      </c>
      <c r="I1059" s="3">
        <v>-33.69</v>
      </c>
      <c r="J1059" s="3">
        <v>55.81</v>
      </c>
    </row>
    <row r="1060" spans="1:10" ht="14.4" x14ac:dyDescent="0.3">
      <c r="A1060" s="3"/>
      <c r="E1060" s="3">
        <v>501.77</v>
      </c>
      <c r="F1060" s="3">
        <v>-52.44</v>
      </c>
      <c r="G1060" s="3">
        <v>-39.94</v>
      </c>
      <c r="H1060" s="3">
        <v>-1.71</v>
      </c>
      <c r="I1060" s="3">
        <v>-33.119999999999997</v>
      </c>
      <c r="J1060" s="3">
        <v>58.41</v>
      </c>
    </row>
    <row r="1061" spans="1:10" ht="14.4" x14ac:dyDescent="0.3">
      <c r="A1061" s="3"/>
      <c r="E1061" s="3">
        <v>504.65</v>
      </c>
      <c r="F1061" s="3">
        <v>-49.94</v>
      </c>
      <c r="G1061" s="3">
        <v>-38.28</v>
      </c>
      <c r="H1061" s="3">
        <v>-1.44</v>
      </c>
      <c r="I1061" s="3">
        <v>-31.81</v>
      </c>
      <c r="J1061" s="3">
        <v>54.3</v>
      </c>
    </row>
    <row r="1062" spans="1:10" ht="14.4" x14ac:dyDescent="0.3">
      <c r="A1062" s="3"/>
      <c r="E1062" s="3">
        <v>510.16</v>
      </c>
      <c r="F1062" s="3">
        <v>-48.95</v>
      </c>
      <c r="G1062" s="3">
        <v>-38.76</v>
      </c>
      <c r="H1062" s="3">
        <v>-1.48</v>
      </c>
      <c r="I1062" s="3">
        <v>-32.11</v>
      </c>
      <c r="J1062" s="3">
        <v>52.39</v>
      </c>
    </row>
    <row r="1063" spans="1:10" ht="14.4" x14ac:dyDescent="0.3">
      <c r="A1063" s="3"/>
      <c r="E1063" s="3">
        <v>505.82</v>
      </c>
      <c r="F1063" s="3">
        <v>-49.49</v>
      </c>
      <c r="G1063" s="3">
        <v>-37.97</v>
      </c>
      <c r="H1063" s="3">
        <v>-1.56</v>
      </c>
      <c r="I1063" s="3">
        <v>-31.32</v>
      </c>
      <c r="J1063" s="3">
        <v>53.49</v>
      </c>
    </row>
    <row r="1064" spans="1:10" ht="14.4" x14ac:dyDescent="0.3">
      <c r="A1064" s="3"/>
      <c r="E1064" s="3">
        <v>510.53</v>
      </c>
      <c r="F1064" s="3">
        <v>-47.62</v>
      </c>
      <c r="G1064" s="3">
        <v>-38.18</v>
      </c>
      <c r="H1064" s="3">
        <v>-1.51</v>
      </c>
      <c r="I1064" s="3">
        <v>-31.44</v>
      </c>
      <c r="J1064" s="3">
        <v>50.07</v>
      </c>
    </row>
    <row r="1065" spans="1:10" ht="14.4" x14ac:dyDescent="0.3">
      <c r="A1065" s="3"/>
      <c r="E1065" s="3">
        <v>514.72</v>
      </c>
      <c r="F1065" s="3">
        <v>-47.47</v>
      </c>
      <c r="G1065" s="3">
        <v>-39.479999999999997</v>
      </c>
      <c r="H1065" s="3">
        <v>-1.62</v>
      </c>
      <c r="I1065" s="3">
        <v>-32.58</v>
      </c>
      <c r="J1065" s="3">
        <v>49.74</v>
      </c>
    </row>
    <row r="1066" spans="1:10" ht="14.4" x14ac:dyDescent="0.3">
      <c r="A1066" s="3"/>
      <c r="E1066" s="3">
        <v>515.24</v>
      </c>
      <c r="F1066" s="3">
        <v>-46.27</v>
      </c>
      <c r="G1066" s="3">
        <v>-38.11</v>
      </c>
      <c r="H1066" s="3">
        <v>-1.46</v>
      </c>
      <c r="I1066" s="3">
        <v>-31.41</v>
      </c>
      <c r="J1066" s="3">
        <v>47.41</v>
      </c>
    </row>
    <row r="1067" spans="1:10" ht="14.4" x14ac:dyDescent="0.3">
      <c r="A1067" s="3"/>
      <c r="E1067" s="3">
        <v>848.28</v>
      </c>
      <c r="F1067" s="3">
        <v>-84.95</v>
      </c>
      <c r="G1067" s="3">
        <v>-68.62</v>
      </c>
      <c r="H1067" s="3">
        <v>-2.33</v>
      </c>
      <c r="I1067" s="3">
        <v>-53.63</v>
      </c>
      <c r="J1067" s="3">
        <v>91.5</v>
      </c>
    </row>
    <row r="1068" spans="1:10" ht="14.4" x14ac:dyDescent="0.3">
      <c r="A1068" s="3"/>
      <c r="E1068" s="3">
        <v>857.14</v>
      </c>
      <c r="F1068" s="3">
        <v>-83.63</v>
      </c>
      <c r="G1068" s="3">
        <v>-69.61</v>
      </c>
      <c r="H1068" s="3">
        <v>-2.48</v>
      </c>
      <c r="I1068" s="3">
        <v>-54.2</v>
      </c>
      <c r="J1068" s="3">
        <v>88.9</v>
      </c>
    </row>
    <row r="1069" spans="1:10" ht="14.4" x14ac:dyDescent="0.3">
      <c r="A1069" s="3"/>
      <c r="E1069" s="3">
        <v>854.27</v>
      </c>
      <c r="F1069" s="3">
        <v>-86.13</v>
      </c>
      <c r="G1069" s="3">
        <v>-71.27</v>
      </c>
      <c r="H1069" s="3">
        <v>-2.75</v>
      </c>
      <c r="I1069" s="3">
        <v>-55.51</v>
      </c>
      <c r="J1069" s="3">
        <v>93.02</v>
      </c>
    </row>
    <row r="1070" spans="1:10" ht="14.4" x14ac:dyDescent="0.3">
      <c r="A1070" s="3"/>
      <c r="E1070" s="3">
        <v>848.76</v>
      </c>
      <c r="F1070" s="3">
        <v>-87.12</v>
      </c>
      <c r="G1070" s="3">
        <v>-70.790000000000006</v>
      </c>
      <c r="H1070" s="3">
        <v>-2.7</v>
      </c>
      <c r="I1070" s="3">
        <v>-55.21</v>
      </c>
      <c r="J1070" s="3">
        <v>94.92</v>
      </c>
    </row>
    <row r="1071" spans="1:10" ht="14.4" x14ac:dyDescent="0.3">
      <c r="A1071" s="3"/>
      <c r="E1071" s="3">
        <v>853.1</v>
      </c>
      <c r="F1071" s="3">
        <v>-86.59</v>
      </c>
      <c r="G1071" s="3">
        <v>-71.58</v>
      </c>
      <c r="H1071" s="3">
        <v>-2.63</v>
      </c>
      <c r="I1071" s="3">
        <v>-56</v>
      </c>
      <c r="J1071" s="3">
        <v>93.82</v>
      </c>
    </row>
    <row r="1072" spans="1:10" ht="14.4" x14ac:dyDescent="0.3">
      <c r="A1072" s="3"/>
      <c r="E1072" s="3">
        <v>848.38</v>
      </c>
      <c r="F1072" s="3">
        <v>-88.45</v>
      </c>
      <c r="G1072" s="3">
        <v>-71.37</v>
      </c>
      <c r="H1072" s="3">
        <v>-2.68</v>
      </c>
      <c r="I1072" s="3">
        <v>-55.88</v>
      </c>
      <c r="J1072" s="3">
        <v>97.24</v>
      </c>
    </row>
    <row r="1073" spans="1:10" ht="14.4" x14ac:dyDescent="0.3">
      <c r="A1073" s="3"/>
      <c r="E1073" s="3">
        <v>844.2</v>
      </c>
      <c r="F1073" s="3">
        <v>-88.6</v>
      </c>
      <c r="G1073" s="3">
        <v>-70.069999999999993</v>
      </c>
      <c r="H1073" s="3">
        <v>-2.57</v>
      </c>
      <c r="I1073" s="3">
        <v>-54.74</v>
      </c>
      <c r="J1073" s="3">
        <v>97.58</v>
      </c>
    </row>
    <row r="1074" spans="1:10" ht="14.4" x14ac:dyDescent="0.3">
      <c r="A1074" s="3"/>
      <c r="E1074" s="3">
        <v>843.68</v>
      </c>
      <c r="F1074" s="3">
        <v>-89.8</v>
      </c>
      <c r="G1074" s="3">
        <v>-71.44</v>
      </c>
      <c r="H1074" s="3">
        <v>-2.73</v>
      </c>
      <c r="I1074" s="3">
        <v>-55.91</v>
      </c>
      <c r="J1074" s="3">
        <v>99.9</v>
      </c>
    </row>
    <row r="1075" spans="1:10" ht="14.4" x14ac:dyDescent="0.3">
      <c r="A1075" s="3"/>
      <c r="E1075" s="3">
        <v>852.88</v>
      </c>
      <c r="F1075" s="3">
        <v>-88.69</v>
      </c>
      <c r="G1075" s="3">
        <v>-72.540000000000006</v>
      </c>
      <c r="H1075" s="3">
        <v>-2.94</v>
      </c>
      <c r="I1075" s="3">
        <v>-56.3</v>
      </c>
      <c r="J1075" s="3">
        <v>97.33</v>
      </c>
    </row>
    <row r="1076" spans="1:10" ht="14.4" x14ac:dyDescent="0.3">
      <c r="A1076" s="3"/>
      <c r="E1076" s="3">
        <v>844.02</v>
      </c>
      <c r="F1076" s="3">
        <v>-90</v>
      </c>
      <c r="G1076" s="3">
        <v>-71.56</v>
      </c>
      <c r="H1076" s="3">
        <v>-2.79</v>
      </c>
      <c r="I1076" s="3">
        <v>-55.74</v>
      </c>
      <c r="J1076" s="3">
        <v>99.94</v>
      </c>
    </row>
    <row r="1077" spans="1:10" ht="14.4" x14ac:dyDescent="0.3">
      <c r="A1077" s="3"/>
      <c r="E1077" s="3">
        <v>846.89</v>
      </c>
      <c r="F1077" s="3">
        <v>-87.5</v>
      </c>
      <c r="G1077" s="3">
        <v>-69.900000000000006</v>
      </c>
      <c r="H1077" s="3">
        <v>-2.52</v>
      </c>
      <c r="I1077" s="3">
        <v>-54.42</v>
      </c>
      <c r="J1077" s="3">
        <v>95.82</v>
      </c>
    </row>
    <row r="1078" spans="1:10" ht="14.4" x14ac:dyDescent="0.3">
      <c r="A1078" s="3"/>
      <c r="E1078" s="3">
        <v>852.4</v>
      </c>
      <c r="F1078" s="3">
        <v>-86.52</v>
      </c>
      <c r="G1078" s="3">
        <v>-70.38</v>
      </c>
      <c r="H1078" s="3">
        <v>-2.57</v>
      </c>
      <c r="I1078" s="3">
        <v>-54.73</v>
      </c>
      <c r="J1078" s="3">
        <v>93.91</v>
      </c>
    </row>
    <row r="1079" spans="1:10" ht="14.4" x14ac:dyDescent="0.3">
      <c r="A1079" s="3"/>
      <c r="E1079" s="3">
        <v>848.06</v>
      </c>
      <c r="F1079" s="3">
        <v>-87.05</v>
      </c>
      <c r="G1079" s="3">
        <v>-69.59</v>
      </c>
      <c r="H1079" s="3">
        <v>-2.64</v>
      </c>
      <c r="I1079" s="3">
        <v>-53.93</v>
      </c>
      <c r="J1079" s="3">
        <v>95.01</v>
      </c>
    </row>
    <row r="1080" spans="1:10" ht="14.4" x14ac:dyDescent="0.3">
      <c r="A1080" s="3"/>
      <c r="E1080" s="3">
        <v>852.78</v>
      </c>
      <c r="F1080" s="3">
        <v>-85.19</v>
      </c>
      <c r="G1080" s="3">
        <v>-69.8</v>
      </c>
      <c r="H1080" s="3">
        <v>-2.59</v>
      </c>
      <c r="I1080" s="3">
        <v>-54.05</v>
      </c>
      <c r="J1080" s="3">
        <v>91.59</v>
      </c>
    </row>
    <row r="1081" spans="1:10" ht="14.4" x14ac:dyDescent="0.3">
      <c r="A1081" s="3"/>
      <c r="E1081" s="3">
        <v>856.96</v>
      </c>
      <c r="F1081" s="3">
        <v>-85.04</v>
      </c>
      <c r="G1081" s="3">
        <v>-71.099999999999994</v>
      </c>
      <c r="H1081" s="3">
        <v>-2.71</v>
      </c>
      <c r="I1081" s="3">
        <v>-55.19</v>
      </c>
      <c r="J1081" s="3">
        <v>91.26</v>
      </c>
    </row>
    <row r="1082" spans="1:10" ht="14.4" x14ac:dyDescent="0.3">
      <c r="A1082" s="3"/>
      <c r="E1082" s="3">
        <v>857.48</v>
      </c>
      <c r="F1082" s="3">
        <v>-83.83</v>
      </c>
      <c r="G1082" s="3">
        <v>-69.73</v>
      </c>
      <c r="H1082" s="3">
        <v>-2.54</v>
      </c>
      <c r="I1082" s="3">
        <v>-54.02</v>
      </c>
      <c r="J1082" s="3">
        <v>88.93</v>
      </c>
    </row>
    <row r="1083" spans="1:10" ht="14.4" x14ac:dyDescent="0.3">
      <c r="A1083" s="3"/>
      <c r="E1083" s="3">
        <v>559.32000000000005</v>
      </c>
      <c r="F1083" s="3">
        <v>-50.5</v>
      </c>
      <c r="G1083" s="3">
        <v>-42.96</v>
      </c>
      <c r="H1083" s="3">
        <v>-1.1200000000000001</v>
      </c>
      <c r="I1083" s="3">
        <v>-34.340000000000003</v>
      </c>
      <c r="J1083" s="3">
        <v>50.57</v>
      </c>
    </row>
    <row r="1084" spans="1:10" ht="14.4" x14ac:dyDescent="0.3">
      <c r="A1084" s="3"/>
      <c r="E1084" s="3">
        <v>577.04</v>
      </c>
      <c r="F1084" s="3">
        <v>-47.87</v>
      </c>
      <c r="G1084" s="3">
        <v>-44.93</v>
      </c>
      <c r="H1084" s="3">
        <v>-1.4</v>
      </c>
      <c r="I1084" s="3">
        <v>-35.46</v>
      </c>
      <c r="J1084" s="3">
        <v>45.37</v>
      </c>
    </row>
    <row r="1085" spans="1:10" ht="14.4" x14ac:dyDescent="0.3">
      <c r="A1085" s="3"/>
      <c r="E1085" s="3">
        <v>571.29999999999995</v>
      </c>
      <c r="F1085" s="3">
        <v>-52.88</v>
      </c>
      <c r="G1085" s="3">
        <v>-48.25</v>
      </c>
      <c r="H1085" s="3">
        <v>-1.95</v>
      </c>
      <c r="I1085" s="3">
        <v>-38.1</v>
      </c>
      <c r="J1085" s="3">
        <v>53.6</v>
      </c>
    </row>
    <row r="1086" spans="1:10" ht="14.4" x14ac:dyDescent="0.3">
      <c r="A1086" s="3"/>
      <c r="E1086" s="3">
        <v>560.28</v>
      </c>
      <c r="F1086" s="3">
        <v>-54.85</v>
      </c>
      <c r="G1086" s="3">
        <v>-47.3</v>
      </c>
      <c r="H1086" s="3">
        <v>-1.86</v>
      </c>
      <c r="I1086" s="3">
        <v>-37.479999999999997</v>
      </c>
      <c r="J1086" s="3">
        <v>57.41</v>
      </c>
    </row>
    <row r="1087" spans="1:10" ht="14.4" x14ac:dyDescent="0.3">
      <c r="A1087" s="3"/>
      <c r="E1087" s="3">
        <v>568.95000000000005</v>
      </c>
      <c r="F1087" s="3">
        <v>-53.78</v>
      </c>
      <c r="G1087" s="3">
        <v>-48.87</v>
      </c>
      <c r="H1087" s="3">
        <v>-1.72</v>
      </c>
      <c r="I1087" s="3">
        <v>-39.08</v>
      </c>
      <c r="J1087" s="3">
        <v>55.21</v>
      </c>
    </row>
    <row r="1088" spans="1:10" ht="14.4" x14ac:dyDescent="0.3">
      <c r="A1088" s="3"/>
      <c r="E1088" s="3">
        <v>559.52</v>
      </c>
      <c r="F1088" s="3">
        <v>-57.51</v>
      </c>
      <c r="G1088" s="3">
        <v>-48.45</v>
      </c>
      <c r="H1088" s="3">
        <v>-1.81</v>
      </c>
      <c r="I1088" s="3">
        <v>-38.83</v>
      </c>
      <c r="J1088" s="3">
        <v>62.05</v>
      </c>
    </row>
    <row r="1089" spans="1:10" ht="14.4" x14ac:dyDescent="0.3">
      <c r="A1089" s="3"/>
      <c r="E1089" s="3">
        <v>551.15</v>
      </c>
      <c r="F1089" s="3">
        <v>-57.8</v>
      </c>
      <c r="G1089" s="3">
        <v>-45.85</v>
      </c>
      <c r="H1089" s="3">
        <v>-1.58</v>
      </c>
      <c r="I1089" s="3">
        <v>-36.549999999999997</v>
      </c>
      <c r="J1089" s="3">
        <v>62.72</v>
      </c>
    </row>
    <row r="1090" spans="1:10" ht="14.4" x14ac:dyDescent="0.3">
      <c r="A1090" s="3"/>
      <c r="E1090" s="3">
        <v>550.1</v>
      </c>
      <c r="F1090" s="3">
        <v>-60.22</v>
      </c>
      <c r="G1090" s="3">
        <v>-48.59</v>
      </c>
      <c r="H1090" s="3">
        <v>-1.91</v>
      </c>
      <c r="I1090" s="3">
        <v>-38.89</v>
      </c>
      <c r="J1090" s="3">
        <v>67.38</v>
      </c>
    </row>
    <row r="1091" spans="1:10" ht="14.4" x14ac:dyDescent="0.3">
      <c r="A1091" s="3"/>
      <c r="E1091" s="3">
        <v>568.51</v>
      </c>
      <c r="F1091" s="3">
        <v>-57.99</v>
      </c>
      <c r="G1091" s="3">
        <v>-50.8</v>
      </c>
      <c r="H1091" s="3">
        <v>-2.33</v>
      </c>
      <c r="I1091" s="3">
        <v>-39.67</v>
      </c>
      <c r="J1091" s="3">
        <v>62.24</v>
      </c>
    </row>
    <row r="1092" spans="1:10" ht="14.4" x14ac:dyDescent="0.3">
      <c r="A1092" s="3"/>
      <c r="E1092" s="3">
        <v>550.79</v>
      </c>
      <c r="F1092" s="3">
        <v>-60.62</v>
      </c>
      <c r="G1092" s="3">
        <v>-48.83</v>
      </c>
      <c r="H1092" s="3">
        <v>-2.04</v>
      </c>
      <c r="I1092" s="3">
        <v>-38.549999999999997</v>
      </c>
      <c r="J1092" s="3">
        <v>67.44</v>
      </c>
    </row>
    <row r="1093" spans="1:10" ht="14.4" x14ac:dyDescent="0.3">
      <c r="A1093" s="3"/>
      <c r="E1093" s="3">
        <v>556.53</v>
      </c>
      <c r="F1093" s="3">
        <v>-55.61</v>
      </c>
      <c r="G1093" s="3">
        <v>-45.51</v>
      </c>
      <c r="H1093" s="3">
        <v>-1.5</v>
      </c>
      <c r="I1093" s="3">
        <v>-35.909999999999997</v>
      </c>
      <c r="J1093" s="3">
        <v>59.2</v>
      </c>
    </row>
    <row r="1094" spans="1:10" ht="14.4" x14ac:dyDescent="0.3">
      <c r="A1094" s="3"/>
      <c r="E1094" s="3">
        <v>567.54999999999995</v>
      </c>
      <c r="F1094" s="3">
        <v>-53.64</v>
      </c>
      <c r="G1094" s="3">
        <v>-46.47</v>
      </c>
      <c r="H1094" s="3">
        <v>-1.59</v>
      </c>
      <c r="I1094" s="3">
        <v>-36.53</v>
      </c>
      <c r="J1094" s="3">
        <v>55.4</v>
      </c>
    </row>
    <row r="1095" spans="1:10" ht="14.4" x14ac:dyDescent="0.3">
      <c r="A1095" s="3"/>
      <c r="E1095" s="3">
        <v>558.88</v>
      </c>
      <c r="F1095" s="3">
        <v>-54.71</v>
      </c>
      <c r="G1095" s="3">
        <v>-44.89</v>
      </c>
      <c r="H1095" s="3">
        <v>-1.73</v>
      </c>
      <c r="I1095" s="3">
        <v>-34.93</v>
      </c>
      <c r="J1095" s="3">
        <v>57.59</v>
      </c>
    </row>
    <row r="1096" spans="1:10" ht="14.4" x14ac:dyDescent="0.3">
      <c r="A1096" s="3"/>
      <c r="E1096" s="3">
        <v>568.30999999999995</v>
      </c>
      <c r="F1096" s="3">
        <v>-50.98</v>
      </c>
      <c r="G1096" s="3">
        <v>-45.31</v>
      </c>
      <c r="H1096" s="3">
        <v>-1.64</v>
      </c>
      <c r="I1096" s="3">
        <v>-35.18</v>
      </c>
      <c r="J1096" s="3">
        <v>50.76</v>
      </c>
    </row>
    <row r="1097" spans="1:10" ht="14.4" x14ac:dyDescent="0.3">
      <c r="A1097" s="3"/>
      <c r="E1097" s="3">
        <v>576.67999999999995</v>
      </c>
      <c r="F1097" s="3">
        <v>-50.68</v>
      </c>
      <c r="G1097" s="3">
        <v>-47.91</v>
      </c>
      <c r="H1097" s="3">
        <v>-1.86</v>
      </c>
      <c r="I1097" s="3">
        <v>-37.46</v>
      </c>
      <c r="J1097" s="3">
        <v>50.08</v>
      </c>
    </row>
    <row r="1098" spans="1:10" ht="14.4" x14ac:dyDescent="0.3">
      <c r="A1098" s="3"/>
      <c r="E1098" s="3">
        <v>557.99</v>
      </c>
      <c r="F1098" s="3">
        <v>-46.51</v>
      </c>
      <c r="G1098" s="3">
        <v>-43.59</v>
      </c>
      <c r="H1098" s="3">
        <v>-1.46</v>
      </c>
      <c r="I1098" s="3">
        <v>-33.159999999999997</v>
      </c>
      <c r="J1098" s="3">
        <v>43.73</v>
      </c>
    </row>
    <row r="1099" spans="1:10" ht="14.4" x14ac:dyDescent="0.3">
      <c r="A1099" s="3"/>
      <c r="E1099" s="3">
        <v>559.32000000000005</v>
      </c>
      <c r="F1099" s="3">
        <v>-50.5</v>
      </c>
      <c r="G1099" s="3">
        <v>-42.96</v>
      </c>
      <c r="H1099" s="3">
        <v>-1.1200000000000001</v>
      </c>
      <c r="I1099" s="3">
        <v>-34.340000000000003</v>
      </c>
      <c r="J1099" s="3">
        <v>50.57</v>
      </c>
    </row>
    <row r="1100" spans="1:10" ht="14.4" x14ac:dyDescent="0.3">
      <c r="A1100" s="3"/>
      <c r="E1100" s="3">
        <v>577.04</v>
      </c>
      <c r="F1100" s="3">
        <v>-47.87</v>
      </c>
      <c r="G1100" s="3">
        <v>-44.93</v>
      </c>
      <c r="H1100" s="3">
        <v>-1.4</v>
      </c>
      <c r="I1100" s="3">
        <v>-35.46</v>
      </c>
      <c r="J1100" s="3">
        <v>45.37</v>
      </c>
    </row>
    <row r="1101" spans="1:10" ht="14.4" x14ac:dyDescent="0.3">
      <c r="A1101" s="3"/>
      <c r="E1101" s="3">
        <v>571.29999999999995</v>
      </c>
      <c r="F1101" s="3">
        <v>-52.88</v>
      </c>
      <c r="G1101" s="3">
        <v>-48.25</v>
      </c>
      <c r="H1101" s="3">
        <v>-1.95</v>
      </c>
      <c r="I1101" s="3">
        <v>-38.1</v>
      </c>
      <c r="J1101" s="3">
        <v>53.6</v>
      </c>
    </row>
    <row r="1102" spans="1:10" ht="14.4" x14ac:dyDescent="0.3">
      <c r="A1102" s="3"/>
      <c r="E1102" s="3">
        <v>560.28</v>
      </c>
      <c r="F1102" s="3">
        <v>-54.85</v>
      </c>
      <c r="G1102" s="3">
        <v>-47.3</v>
      </c>
      <c r="H1102" s="3">
        <v>-1.86</v>
      </c>
      <c r="I1102" s="3">
        <v>-37.479999999999997</v>
      </c>
      <c r="J1102" s="3">
        <v>57.41</v>
      </c>
    </row>
    <row r="1103" spans="1:10" ht="14.4" x14ac:dyDescent="0.3">
      <c r="A1103" s="3"/>
      <c r="E1103" s="3">
        <v>568.95000000000005</v>
      </c>
      <c r="F1103" s="3">
        <v>-53.78</v>
      </c>
      <c r="G1103" s="3">
        <v>-48.87</v>
      </c>
      <c r="H1103" s="3">
        <v>-1.72</v>
      </c>
      <c r="I1103" s="3">
        <v>-39.08</v>
      </c>
      <c r="J1103" s="3">
        <v>55.21</v>
      </c>
    </row>
    <row r="1104" spans="1:10" ht="14.4" x14ac:dyDescent="0.3">
      <c r="A1104" s="3"/>
      <c r="E1104" s="3">
        <v>559.52</v>
      </c>
      <c r="F1104" s="3">
        <v>-57.51</v>
      </c>
      <c r="G1104" s="3">
        <v>-48.45</v>
      </c>
      <c r="H1104" s="3">
        <v>-1.81</v>
      </c>
      <c r="I1104" s="3">
        <v>-38.83</v>
      </c>
      <c r="J1104" s="3">
        <v>62.05</v>
      </c>
    </row>
    <row r="1105" spans="1:10" ht="14.4" x14ac:dyDescent="0.3">
      <c r="A1105" s="3"/>
      <c r="E1105" s="3">
        <v>551.15</v>
      </c>
      <c r="F1105" s="3">
        <v>-57.8</v>
      </c>
      <c r="G1105" s="3">
        <v>-45.85</v>
      </c>
      <c r="H1105" s="3">
        <v>-1.58</v>
      </c>
      <c r="I1105" s="3">
        <v>-36.549999999999997</v>
      </c>
      <c r="J1105" s="3">
        <v>62.72</v>
      </c>
    </row>
    <row r="1106" spans="1:10" ht="14.4" x14ac:dyDescent="0.3">
      <c r="A1106" s="3"/>
      <c r="E1106" s="3">
        <v>550.1</v>
      </c>
      <c r="F1106" s="3">
        <v>-60.22</v>
      </c>
      <c r="G1106" s="3">
        <v>-48.59</v>
      </c>
      <c r="H1106" s="3">
        <v>-1.91</v>
      </c>
      <c r="I1106" s="3">
        <v>-38.89</v>
      </c>
      <c r="J1106" s="3">
        <v>67.38</v>
      </c>
    </row>
    <row r="1107" spans="1:10" ht="14.4" x14ac:dyDescent="0.3">
      <c r="A1107" s="3"/>
      <c r="E1107" s="3">
        <v>568.51</v>
      </c>
      <c r="F1107" s="3">
        <v>-57.99</v>
      </c>
      <c r="G1107" s="3">
        <v>-50.8</v>
      </c>
      <c r="H1107" s="3">
        <v>-2.33</v>
      </c>
      <c r="I1107" s="3">
        <v>-39.67</v>
      </c>
      <c r="J1107" s="3">
        <v>62.24</v>
      </c>
    </row>
    <row r="1108" spans="1:10" ht="14.4" x14ac:dyDescent="0.3">
      <c r="A1108" s="3"/>
      <c r="E1108" s="3">
        <v>550.79</v>
      </c>
      <c r="F1108" s="3">
        <v>-60.62</v>
      </c>
      <c r="G1108" s="3">
        <v>-48.83</v>
      </c>
      <c r="H1108" s="3">
        <v>-2.04</v>
      </c>
      <c r="I1108" s="3">
        <v>-38.549999999999997</v>
      </c>
      <c r="J1108" s="3">
        <v>67.44</v>
      </c>
    </row>
    <row r="1109" spans="1:10" ht="14.4" x14ac:dyDescent="0.3">
      <c r="A1109" s="3"/>
      <c r="E1109" s="3">
        <v>556.53</v>
      </c>
      <c r="F1109" s="3">
        <v>-55.61</v>
      </c>
      <c r="G1109" s="3">
        <v>-45.51</v>
      </c>
      <c r="H1109" s="3">
        <v>-1.5</v>
      </c>
      <c r="I1109" s="3">
        <v>-35.909999999999997</v>
      </c>
      <c r="J1109" s="3">
        <v>59.2</v>
      </c>
    </row>
    <row r="1110" spans="1:10" ht="14.4" x14ac:dyDescent="0.3">
      <c r="A1110" s="3"/>
      <c r="E1110" s="3">
        <v>567.54999999999995</v>
      </c>
      <c r="F1110" s="3">
        <v>-53.64</v>
      </c>
      <c r="G1110" s="3">
        <v>-46.47</v>
      </c>
      <c r="H1110" s="3">
        <v>-1.59</v>
      </c>
      <c r="I1110" s="3">
        <v>-36.53</v>
      </c>
      <c r="J1110" s="3">
        <v>55.4</v>
      </c>
    </row>
    <row r="1111" spans="1:10" ht="14.4" x14ac:dyDescent="0.3">
      <c r="A1111" s="3"/>
      <c r="E1111" s="3">
        <v>558.88</v>
      </c>
      <c r="F1111" s="3">
        <v>-54.71</v>
      </c>
      <c r="G1111" s="3">
        <v>-44.89</v>
      </c>
      <c r="H1111" s="3">
        <v>-1.73</v>
      </c>
      <c r="I1111" s="3">
        <v>-34.93</v>
      </c>
      <c r="J1111" s="3">
        <v>57.59</v>
      </c>
    </row>
    <row r="1112" spans="1:10" ht="14.4" x14ac:dyDescent="0.3">
      <c r="A1112" s="3"/>
      <c r="E1112" s="3">
        <v>568.30999999999995</v>
      </c>
      <c r="F1112" s="3">
        <v>-50.98</v>
      </c>
      <c r="G1112" s="3">
        <v>-45.31</v>
      </c>
      <c r="H1112" s="3">
        <v>-1.64</v>
      </c>
      <c r="I1112" s="3">
        <v>-35.18</v>
      </c>
      <c r="J1112" s="3">
        <v>50.76</v>
      </c>
    </row>
    <row r="1113" spans="1:10" ht="14.4" x14ac:dyDescent="0.3">
      <c r="A1113" s="3"/>
      <c r="E1113" s="3">
        <v>576.67999999999995</v>
      </c>
      <c r="F1113" s="3">
        <v>-50.68</v>
      </c>
      <c r="G1113" s="3">
        <v>-47.91</v>
      </c>
      <c r="H1113" s="3">
        <v>-1.86</v>
      </c>
      <c r="I1113" s="3">
        <v>-37.46</v>
      </c>
      <c r="J1113" s="3">
        <v>50.08</v>
      </c>
    </row>
    <row r="1114" spans="1:10" ht="14.4" x14ac:dyDescent="0.3">
      <c r="A1114" s="3"/>
      <c r="E1114" s="3">
        <v>576.67999999999995</v>
      </c>
      <c r="F1114" s="3">
        <v>-50.68</v>
      </c>
      <c r="G1114" s="3">
        <v>-47.91</v>
      </c>
      <c r="H1114" s="3">
        <v>-1.86</v>
      </c>
      <c r="I1114" s="3">
        <v>-37.46</v>
      </c>
      <c r="J1114" s="3">
        <v>50.08</v>
      </c>
    </row>
    <row r="1115" spans="1:10" ht="14.4" x14ac:dyDescent="0.3">
      <c r="A1115" s="3"/>
      <c r="E1115" s="3">
        <v>374.41</v>
      </c>
      <c r="F1115" s="3">
        <v>-32.630000000000003</v>
      </c>
      <c r="G1115" s="3">
        <v>-25.12</v>
      </c>
      <c r="H1115" s="3">
        <v>-0.54</v>
      </c>
      <c r="I1115" s="3">
        <v>-21.5</v>
      </c>
      <c r="J1115" s="3">
        <v>32.96</v>
      </c>
    </row>
    <row r="1116" spans="1:10" ht="14.4" x14ac:dyDescent="0.3">
      <c r="A1116" s="3"/>
      <c r="E1116" s="3">
        <v>392.13</v>
      </c>
      <c r="F1116" s="3">
        <v>-30</v>
      </c>
      <c r="G1116" s="3">
        <v>-27.09</v>
      </c>
      <c r="H1116" s="3">
        <v>-0.82</v>
      </c>
      <c r="I1116" s="3">
        <v>-22.62</v>
      </c>
      <c r="J1116" s="3">
        <v>27.76</v>
      </c>
    </row>
    <row r="1117" spans="1:10" ht="14.4" x14ac:dyDescent="0.3">
      <c r="A1117" s="3"/>
      <c r="E1117" s="3">
        <v>386.38</v>
      </c>
      <c r="F1117" s="3">
        <v>-35</v>
      </c>
      <c r="G1117" s="3">
        <v>-30.41</v>
      </c>
      <c r="H1117" s="3">
        <v>-1.37</v>
      </c>
      <c r="I1117" s="3">
        <v>-25.26</v>
      </c>
      <c r="J1117" s="3">
        <v>36</v>
      </c>
    </row>
    <row r="1118" spans="1:10" ht="14.4" x14ac:dyDescent="0.3">
      <c r="A1118" s="3"/>
      <c r="E1118" s="3">
        <v>375.36</v>
      </c>
      <c r="F1118" s="3">
        <v>-36.979999999999997</v>
      </c>
      <c r="G1118" s="3">
        <v>-29.46</v>
      </c>
      <c r="H1118" s="3">
        <v>-1.28</v>
      </c>
      <c r="I1118" s="3">
        <v>-24.64</v>
      </c>
      <c r="J1118" s="3">
        <v>39.799999999999997</v>
      </c>
    </row>
    <row r="1119" spans="1:10" ht="14.4" x14ac:dyDescent="0.3">
      <c r="A1119" s="3"/>
      <c r="E1119" s="3">
        <v>384.04</v>
      </c>
      <c r="F1119" s="3">
        <v>-35.909999999999997</v>
      </c>
      <c r="G1119" s="3">
        <v>-31.03</v>
      </c>
      <c r="H1119" s="3">
        <v>-1.1399999999999999</v>
      </c>
      <c r="I1119" s="3">
        <v>-26.23</v>
      </c>
      <c r="J1119" s="3">
        <v>37.61</v>
      </c>
    </row>
    <row r="1120" spans="1:10" ht="14.4" x14ac:dyDescent="0.3">
      <c r="A1120" s="3"/>
      <c r="E1120" s="3">
        <v>374.61</v>
      </c>
      <c r="F1120" s="3">
        <v>-39.630000000000003</v>
      </c>
      <c r="G1120" s="3">
        <v>-30.61</v>
      </c>
      <c r="H1120" s="3">
        <v>-1.23</v>
      </c>
      <c r="I1120" s="3">
        <v>-25.99</v>
      </c>
      <c r="J1120" s="3">
        <v>44.44</v>
      </c>
    </row>
    <row r="1121" spans="1:10" ht="14.4" x14ac:dyDescent="0.3">
      <c r="A1121" s="3"/>
      <c r="E1121" s="3">
        <v>366.24</v>
      </c>
      <c r="F1121" s="3">
        <v>-39.93</v>
      </c>
      <c r="G1121" s="3">
        <v>-28.01</v>
      </c>
      <c r="H1121" s="3">
        <v>-1</v>
      </c>
      <c r="I1121" s="3">
        <v>-23.71</v>
      </c>
      <c r="J1121" s="3">
        <v>45.12</v>
      </c>
    </row>
    <row r="1122" spans="1:10" ht="14.4" x14ac:dyDescent="0.3">
      <c r="A1122" s="3"/>
      <c r="E1122" s="3">
        <v>365.19</v>
      </c>
      <c r="F1122" s="3">
        <v>-42.34</v>
      </c>
      <c r="G1122" s="3">
        <v>-30.75</v>
      </c>
      <c r="H1122" s="3">
        <v>-1.33</v>
      </c>
      <c r="I1122" s="3">
        <v>-26.05</v>
      </c>
      <c r="J1122" s="3">
        <v>49.77</v>
      </c>
    </row>
    <row r="1123" spans="1:10" ht="14.4" x14ac:dyDescent="0.3">
      <c r="A1123" s="3"/>
      <c r="E1123" s="3">
        <v>383.59</v>
      </c>
      <c r="F1123" s="3">
        <v>-40.119999999999997</v>
      </c>
      <c r="G1123" s="3">
        <v>-32.96</v>
      </c>
      <c r="H1123" s="3">
        <v>-1.75</v>
      </c>
      <c r="I1123" s="3">
        <v>-26.83</v>
      </c>
      <c r="J1123" s="3">
        <v>44.63</v>
      </c>
    </row>
    <row r="1124" spans="1:10" ht="14.4" x14ac:dyDescent="0.3">
      <c r="A1124" s="3"/>
      <c r="E1124" s="3">
        <v>365.88</v>
      </c>
      <c r="F1124" s="3">
        <v>-42.74</v>
      </c>
      <c r="G1124" s="3">
        <v>-30.99</v>
      </c>
      <c r="H1124" s="3">
        <v>-1.46</v>
      </c>
      <c r="I1124" s="3">
        <v>-25.7</v>
      </c>
      <c r="J1124" s="3">
        <v>49.84</v>
      </c>
    </row>
    <row r="1125" spans="1:10" ht="14.4" x14ac:dyDescent="0.3">
      <c r="A1125" s="3"/>
      <c r="E1125" s="3">
        <v>371.62</v>
      </c>
      <c r="F1125" s="3">
        <v>-37.74</v>
      </c>
      <c r="G1125" s="3">
        <v>-27.67</v>
      </c>
      <c r="H1125" s="3">
        <v>-0.92</v>
      </c>
      <c r="I1125" s="3">
        <v>-23.07</v>
      </c>
      <c r="J1125" s="3">
        <v>41.6</v>
      </c>
    </row>
    <row r="1126" spans="1:10" ht="14.4" x14ac:dyDescent="0.3">
      <c r="A1126" s="3"/>
      <c r="E1126" s="3">
        <v>382.64</v>
      </c>
      <c r="F1126" s="3">
        <v>-35.770000000000003</v>
      </c>
      <c r="G1126" s="3">
        <v>-28.63</v>
      </c>
      <c r="H1126" s="3">
        <v>-1.01</v>
      </c>
      <c r="I1126" s="3">
        <v>-23.68</v>
      </c>
      <c r="J1126" s="3">
        <v>37.79</v>
      </c>
    </row>
    <row r="1127" spans="1:10" ht="14.4" x14ac:dyDescent="0.3">
      <c r="A1127" s="3"/>
      <c r="E1127" s="3">
        <v>373.96</v>
      </c>
      <c r="F1127" s="3">
        <v>-36.840000000000003</v>
      </c>
      <c r="G1127" s="3">
        <v>-27.05</v>
      </c>
      <c r="H1127" s="3">
        <v>-1.1499999999999999</v>
      </c>
      <c r="I1127" s="3">
        <v>-22.09</v>
      </c>
      <c r="J1127" s="3">
        <v>39.99</v>
      </c>
    </row>
    <row r="1128" spans="1:10" ht="14.4" x14ac:dyDescent="0.3">
      <c r="A1128" s="3"/>
      <c r="E1128" s="3">
        <v>383.39</v>
      </c>
      <c r="F1128" s="3">
        <v>-33.11</v>
      </c>
      <c r="G1128" s="3">
        <v>-27.47</v>
      </c>
      <c r="H1128" s="3">
        <v>-1.06</v>
      </c>
      <c r="I1128" s="3">
        <v>-22.33</v>
      </c>
      <c r="J1128" s="3">
        <v>33.15</v>
      </c>
    </row>
    <row r="1129" spans="1:10" ht="14.4" x14ac:dyDescent="0.3">
      <c r="A1129" s="3"/>
      <c r="E1129" s="3">
        <v>391.76</v>
      </c>
      <c r="F1129" s="3">
        <v>-32.81</v>
      </c>
      <c r="G1129" s="3">
        <v>-30.07</v>
      </c>
      <c r="H1129" s="3">
        <v>-1.28</v>
      </c>
      <c r="I1129" s="3">
        <v>-24.61</v>
      </c>
      <c r="J1129" s="3">
        <v>32.479999999999997</v>
      </c>
    </row>
    <row r="1130" spans="1:10" ht="14.4" x14ac:dyDescent="0.3">
      <c r="A1130" s="3"/>
      <c r="E1130" s="3">
        <v>392.81</v>
      </c>
      <c r="F1130" s="3">
        <v>-30.4</v>
      </c>
      <c r="G1130" s="3">
        <v>-27.33</v>
      </c>
      <c r="H1130" s="3">
        <v>-0.95</v>
      </c>
      <c r="I1130" s="3">
        <v>-22.27</v>
      </c>
      <c r="J1130" s="3">
        <v>27.82</v>
      </c>
    </row>
    <row r="1131" spans="1:10" ht="14.4" x14ac:dyDescent="0.3">
      <c r="A1131" s="3"/>
      <c r="E1131" s="3">
        <v>539.61</v>
      </c>
      <c r="F1131" s="3">
        <v>-39.5</v>
      </c>
      <c r="G1131" s="3">
        <v>-17.18</v>
      </c>
      <c r="H1131" s="3">
        <v>-2.19</v>
      </c>
      <c r="I1131" s="3">
        <v>-2.4500000000000002</v>
      </c>
      <c r="J1131" s="3">
        <v>31.78</v>
      </c>
    </row>
    <row r="1132" spans="1:10" ht="14.4" x14ac:dyDescent="0.3">
      <c r="A1132" s="3"/>
      <c r="E1132" s="3">
        <v>622.35</v>
      </c>
      <c r="F1132" s="3">
        <v>-43.26</v>
      </c>
      <c r="G1132" s="3">
        <v>-74.63</v>
      </c>
      <c r="H1132" s="3">
        <v>-1.38</v>
      </c>
      <c r="I1132" s="3">
        <v>-69.16</v>
      </c>
      <c r="J1132" s="3">
        <v>37.25</v>
      </c>
    </row>
    <row r="1133" spans="1:10" ht="14.4" x14ac:dyDescent="0.3">
      <c r="A1133" s="3"/>
      <c r="E1133" s="3">
        <v>503.6</v>
      </c>
      <c r="F1133" s="3">
        <v>-64.760000000000005</v>
      </c>
      <c r="G1133" s="3">
        <v>-18.989999999999998</v>
      </c>
      <c r="H1133" s="3">
        <v>-2.0499999999999998</v>
      </c>
      <c r="I1133" s="3">
        <v>-4.76</v>
      </c>
      <c r="J1133" s="3">
        <v>74.819999999999993</v>
      </c>
    </row>
    <row r="1134" spans="1:10" ht="14.4" x14ac:dyDescent="0.3">
      <c r="A1134" s="3"/>
      <c r="E1134" s="3">
        <v>586.34</v>
      </c>
      <c r="F1134" s="3">
        <v>-68.510000000000005</v>
      </c>
      <c r="G1134" s="3">
        <v>-76.430000000000007</v>
      </c>
      <c r="H1134" s="3">
        <v>-1.24</v>
      </c>
      <c r="I1134" s="3">
        <v>-71.47</v>
      </c>
      <c r="J1134" s="3">
        <v>80.3</v>
      </c>
    </row>
    <row r="1135" spans="1:10" ht="14.4" x14ac:dyDescent="0.3">
      <c r="A1135" s="3"/>
      <c r="E1135" s="3">
        <v>539.61</v>
      </c>
      <c r="F1135" s="3">
        <v>-39.5</v>
      </c>
      <c r="G1135" s="3">
        <v>-17.18</v>
      </c>
      <c r="H1135" s="3">
        <v>-2.19</v>
      </c>
      <c r="I1135" s="3">
        <v>-2.4500000000000002</v>
      </c>
      <c r="J1135" s="3">
        <v>31.78</v>
      </c>
    </row>
    <row r="1136" spans="1:10" ht="14.4" x14ac:dyDescent="0.3">
      <c r="A1136" s="3"/>
      <c r="E1136" s="3">
        <v>622.35</v>
      </c>
      <c r="F1136" s="3">
        <v>-43.26</v>
      </c>
      <c r="G1136" s="3">
        <v>-74.63</v>
      </c>
      <c r="H1136" s="3">
        <v>-1.38</v>
      </c>
      <c r="I1136" s="3">
        <v>-69.16</v>
      </c>
      <c r="J1136" s="3">
        <v>37.25</v>
      </c>
    </row>
    <row r="1137" spans="1:10" ht="14.4" x14ac:dyDescent="0.3">
      <c r="A1137" s="3"/>
      <c r="E1137" s="3">
        <v>503.6</v>
      </c>
      <c r="F1137" s="3">
        <v>-64.760000000000005</v>
      </c>
      <c r="G1137" s="3">
        <v>-18.989999999999998</v>
      </c>
      <c r="H1137" s="3">
        <v>-2.0499999999999998</v>
      </c>
      <c r="I1137" s="3">
        <v>-4.76</v>
      </c>
      <c r="J1137" s="3">
        <v>74.819999999999993</v>
      </c>
    </row>
    <row r="1138" spans="1:10" ht="14.4" x14ac:dyDescent="0.3">
      <c r="A1138" s="3"/>
      <c r="E1138" s="3">
        <v>586.34</v>
      </c>
      <c r="F1138" s="3">
        <v>-68.510000000000005</v>
      </c>
      <c r="G1138" s="3">
        <v>-76.430000000000007</v>
      </c>
      <c r="H1138" s="3">
        <v>-1.24</v>
      </c>
      <c r="I1138" s="3">
        <v>-71.47</v>
      </c>
      <c r="J1138" s="3">
        <v>80.3</v>
      </c>
    </row>
    <row r="1139" spans="1:10" ht="14.4" x14ac:dyDescent="0.3">
      <c r="A1139" s="3"/>
      <c r="E1139" s="3">
        <v>668.25</v>
      </c>
      <c r="F1139" s="3">
        <v>-17.52</v>
      </c>
      <c r="G1139" s="3">
        <v>-39.590000000000003</v>
      </c>
      <c r="H1139" s="3">
        <v>-2.25</v>
      </c>
      <c r="I1139" s="3">
        <v>-26.77</v>
      </c>
      <c r="J1139" s="3">
        <v>-9.59</v>
      </c>
    </row>
    <row r="1140" spans="1:10" ht="14.4" x14ac:dyDescent="0.3">
      <c r="A1140" s="3"/>
      <c r="E1140" s="3">
        <v>381.34</v>
      </c>
      <c r="F1140" s="3">
        <v>-84.43</v>
      </c>
      <c r="G1140" s="3">
        <v>-32.630000000000003</v>
      </c>
      <c r="H1140" s="3">
        <v>-1.27</v>
      </c>
      <c r="I1140" s="3">
        <v>-23.61</v>
      </c>
      <c r="J1140" s="3">
        <v>114.76</v>
      </c>
    </row>
    <row r="1141" spans="1:10" ht="14.4" x14ac:dyDescent="0.3">
      <c r="A1141" s="3"/>
      <c r="E1141" s="3">
        <v>744.61</v>
      </c>
      <c r="F1141" s="3">
        <v>-23.58</v>
      </c>
      <c r="G1141" s="3">
        <v>-60.98</v>
      </c>
      <c r="H1141" s="3">
        <v>-2.16</v>
      </c>
      <c r="I1141" s="3">
        <v>-50.31</v>
      </c>
      <c r="J1141" s="3">
        <v>-2.68</v>
      </c>
    </row>
    <row r="1142" spans="1:10" ht="14.4" x14ac:dyDescent="0.3">
      <c r="A1142" s="3"/>
      <c r="E1142" s="3">
        <v>457.71</v>
      </c>
      <c r="F1142" s="3">
        <v>-90.49</v>
      </c>
      <c r="G1142" s="3">
        <v>-54.02</v>
      </c>
      <c r="H1142" s="3">
        <v>-1.18</v>
      </c>
      <c r="I1142" s="3">
        <v>-47.16</v>
      </c>
      <c r="J1142" s="3">
        <v>121.66</v>
      </c>
    </row>
    <row r="1143" spans="1:10" ht="14.4" x14ac:dyDescent="0.3">
      <c r="A1143" s="3"/>
      <c r="E1143" s="3">
        <v>668.25</v>
      </c>
      <c r="F1143" s="3">
        <v>-17.52</v>
      </c>
      <c r="G1143" s="3">
        <v>-39.590000000000003</v>
      </c>
      <c r="H1143" s="3">
        <v>-2.25</v>
      </c>
      <c r="I1143" s="3">
        <v>-26.77</v>
      </c>
      <c r="J1143" s="3">
        <v>-9.59</v>
      </c>
    </row>
    <row r="1144" spans="1:10" ht="14.4" x14ac:dyDescent="0.3">
      <c r="A1144" s="3"/>
      <c r="E1144" s="3">
        <v>381.34</v>
      </c>
      <c r="F1144" s="3">
        <v>-84.43</v>
      </c>
      <c r="G1144" s="3">
        <v>-32.630000000000003</v>
      </c>
      <c r="H1144" s="3">
        <v>-1.27</v>
      </c>
      <c r="I1144" s="3">
        <v>-23.61</v>
      </c>
      <c r="J1144" s="3">
        <v>114.76</v>
      </c>
    </row>
    <row r="1145" spans="1:10" ht="14.4" x14ac:dyDescent="0.3">
      <c r="A1145" s="3"/>
      <c r="E1145" s="3">
        <v>744.61</v>
      </c>
      <c r="F1145" s="3">
        <v>-23.58</v>
      </c>
      <c r="G1145" s="3">
        <v>-60.98</v>
      </c>
      <c r="H1145" s="3">
        <v>-2.16</v>
      </c>
      <c r="I1145" s="3">
        <v>-50.31</v>
      </c>
      <c r="J1145" s="3">
        <v>-2.68</v>
      </c>
    </row>
    <row r="1146" spans="1:10" ht="14.4" x14ac:dyDescent="0.3">
      <c r="A1146" s="3"/>
      <c r="E1146" s="3">
        <v>457.71</v>
      </c>
      <c r="F1146" s="3">
        <v>-90.49</v>
      </c>
      <c r="G1146" s="3">
        <v>-54.02</v>
      </c>
      <c r="H1146" s="3">
        <v>-1.18</v>
      </c>
      <c r="I1146" s="3">
        <v>-47.16</v>
      </c>
      <c r="J1146" s="3">
        <v>121.66</v>
      </c>
    </row>
    <row r="1147" spans="1:10" ht="14.4" x14ac:dyDescent="0.3">
      <c r="A1147" s="3"/>
      <c r="E1147" s="3">
        <v>789.69</v>
      </c>
      <c r="F1147" s="3">
        <v>-25.27</v>
      </c>
      <c r="G1147" s="3">
        <v>-14.88</v>
      </c>
      <c r="H1147" s="3">
        <v>-1.56</v>
      </c>
      <c r="I1147" s="3">
        <v>-84.19</v>
      </c>
      <c r="J1147" s="3">
        <v>124</v>
      </c>
    </row>
    <row r="1148" spans="1:10" ht="14.4" x14ac:dyDescent="0.3">
      <c r="A1148" s="3"/>
      <c r="E1148" s="3">
        <v>377.61</v>
      </c>
      <c r="F1148" s="3">
        <v>-51.39</v>
      </c>
      <c r="G1148" s="3">
        <v>-72.709999999999994</v>
      </c>
      <c r="H1148" s="3">
        <v>-1.37</v>
      </c>
      <c r="I1148" s="3">
        <v>3.79</v>
      </c>
      <c r="J1148" s="3">
        <v>41.12</v>
      </c>
    </row>
    <row r="1149" spans="1:10" ht="14.4" x14ac:dyDescent="0.3">
      <c r="A1149" s="3"/>
      <c r="E1149" s="3">
        <v>748.35</v>
      </c>
      <c r="F1149" s="3">
        <v>-56.63</v>
      </c>
      <c r="G1149" s="3">
        <v>-20.9</v>
      </c>
      <c r="H1149" s="3">
        <v>-2.0499999999999998</v>
      </c>
      <c r="I1149" s="3">
        <v>-77.709999999999994</v>
      </c>
      <c r="J1149" s="3">
        <v>70.959999999999994</v>
      </c>
    </row>
    <row r="1150" spans="1:10" ht="14.4" x14ac:dyDescent="0.3">
      <c r="A1150" s="3"/>
      <c r="E1150" s="3">
        <v>336.26</v>
      </c>
      <c r="F1150" s="3">
        <v>-82.74</v>
      </c>
      <c r="G1150" s="3">
        <v>-78.73</v>
      </c>
      <c r="H1150" s="3">
        <v>-1.87</v>
      </c>
      <c r="I1150" s="3">
        <v>10.27</v>
      </c>
      <c r="J1150" s="3">
        <v>-11.92</v>
      </c>
    </row>
    <row r="1151" spans="1:10" ht="14.4" x14ac:dyDescent="0.3">
      <c r="A1151" s="3"/>
      <c r="E1151" s="3">
        <v>752.23</v>
      </c>
      <c r="F1151" s="3">
        <v>-4.09</v>
      </c>
      <c r="G1151" s="3">
        <v>-32.6</v>
      </c>
      <c r="H1151" s="3">
        <v>-1.1100000000000001</v>
      </c>
      <c r="I1151" s="3">
        <v>-64.739999999999995</v>
      </c>
      <c r="J1151" s="3">
        <v>161.87</v>
      </c>
    </row>
    <row r="1152" spans="1:10" ht="14.4" x14ac:dyDescent="0.3">
      <c r="A1152" s="3"/>
      <c r="E1152" s="3">
        <v>447.79</v>
      </c>
      <c r="F1152" s="3">
        <v>-91.07</v>
      </c>
      <c r="G1152" s="3">
        <v>-39.5</v>
      </c>
      <c r="H1152" s="3">
        <v>-2.2200000000000002</v>
      </c>
      <c r="I1152" s="3">
        <v>-32.67</v>
      </c>
      <c r="J1152" s="3">
        <v>-29.84</v>
      </c>
    </row>
    <row r="1153" spans="1:10" ht="14.4" x14ac:dyDescent="0.3">
      <c r="A1153" s="3"/>
      <c r="E1153" s="3">
        <v>678.16</v>
      </c>
      <c r="F1153" s="3">
        <v>-16.940000000000001</v>
      </c>
      <c r="G1153" s="3">
        <v>-54.11</v>
      </c>
      <c r="H1153" s="3">
        <v>-1.21</v>
      </c>
      <c r="I1153" s="3">
        <v>-41.25</v>
      </c>
      <c r="J1153" s="3">
        <v>141.91999999999999</v>
      </c>
    </row>
    <row r="1154" spans="1:10" ht="14.4" x14ac:dyDescent="0.3">
      <c r="A1154" s="3"/>
      <c r="E1154" s="3">
        <v>373.72</v>
      </c>
      <c r="F1154" s="3">
        <v>-103.92</v>
      </c>
      <c r="G1154" s="3">
        <v>-61.01</v>
      </c>
      <c r="H1154" s="3">
        <v>-2.3199999999999998</v>
      </c>
      <c r="I1154" s="3">
        <v>-9.19</v>
      </c>
      <c r="J1154" s="3">
        <v>-49.79</v>
      </c>
    </row>
    <row r="1155" spans="1:10" ht="14.4" x14ac:dyDescent="0.3">
      <c r="A1155" s="3"/>
      <c r="E1155" s="3">
        <v>421.7</v>
      </c>
      <c r="F1155" s="3">
        <v>-28.19</v>
      </c>
      <c r="G1155" s="3">
        <v>-8.14</v>
      </c>
      <c r="H1155" s="3">
        <v>-1.84</v>
      </c>
      <c r="I1155" s="3">
        <v>5.0599999999999996</v>
      </c>
      <c r="J1155" s="3">
        <v>19.71</v>
      </c>
    </row>
    <row r="1156" spans="1:10" ht="14.4" x14ac:dyDescent="0.3">
      <c r="A1156" s="3"/>
      <c r="E1156" s="3">
        <v>487.6</v>
      </c>
      <c r="F1156" s="3">
        <v>-30.32</v>
      </c>
      <c r="G1156" s="3">
        <v>-64.3</v>
      </c>
      <c r="H1156" s="3">
        <v>-0.97</v>
      </c>
      <c r="I1156" s="3">
        <v>-60.57</v>
      </c>
      <c r="J1156" s="3">
        <v>23.46</v>
      </c>
    </row>
    <row r="1157" spans="1:10" ht="14.4" x14ac:dyDescent="0.3">
      <c r="A1157" s="3"/>
      <c r="E1157" s="3">
        <v>385.69</v>
      </c>
      <c r="F1157" s="3">
        <v>-53.44</v>
      </c>
      <c r="G1157" s="3">
        <v>-9.9499999999999993</v>
      </c>
      <c r="H1157" s="3">
        <v>-1.69</v>
      </c>
      <c r="I1157" s="3">
        <v>2.76</v>
      </c>
      <c r="J1157" s="3">
        <v>62.75</v>
      </c>
    </row>
    <row r="1158" spans="1:10" ht="14.4" x14ac:dyDescent="0.3">
      <c r="A1158" s="3"/>
      <c r="E1158" s="3">
        <v>451.59</v>
      </c>
      <c r="F1158" s="3">
        <v>-55.58</v>
      </c>
      <c r="G1158" s="3">
        <v>-66.11</v>
      </c>
      <c r="H1158" s="3">
        <v>-0.83</v>
      </c>
      <c r="I1158" s="3">
        <v>-62.88</v>
      </c>
      <c r="J1158" s="3">
        <v>66.5</v>
      </c>
    </row>
    <row r="1159" spans="1:10" ht="14.4" x14ac:dyDescent="0.3">
      <c r="A1159" s="3"/>
      <c r="E1159" s="3">
        <v>421.7</v>
      </c>
      <c r="F1159" s="3">
        <v>-28.19</v>
      </c>
      <c r="G1159" s="3">
        <v>-8.14</v>
      </c>
      <c r="H1159" s="3">
        <v>-1.84</v>
      </c>
      <c r="I1159" s="3">
        <v>5.0599999999999996</v>
      </c>
      <c r="J1159" s="3">
        <v>19.71</v>
      </c>
    </row>
    <row r="1160" spans="1:10" ht="14.4" x14ac:dyDescent="0.3">
      <c r="A1160" s="3"/>
      <c r="E1160" s="3">
        <v>487.6</v>
      </c>
      <c r="F1160" s="3">
        <v>-30.32</v>
      </c>
      <c r="G1160" s="3">
        <v>-64.3</v>
      </c>
      <c r="H1160" s="3">
        <v>-0.97</v>
      </c>
      <c r="I1160" s="3">
        <v>-60.57</v>
      </c>
      <c r="J1160" s="3">
        <v>23.46</v>
      </c>
    </row>
    <row r="1161" spans="1:10" ht="14.4" x14ac:dyDescent="0.3">
      <c r="A1161" s="3"/>
      <c r="E1161" s="3">
        <v>385.69</v>
      </c>
      <c r="F1161" s="3">
        <v>-53.44</v>
      </c>
      <c r="G1161" s="3">
        <v>-9.9499999999999993</v>
      </c>
      <c r="H1161" s="3">
        <v>-1.69</v>
      </c>
      <c r="I1161" s="3">
        <v>2.76</v>
      </c>
      <c r="J1161" s="3">
        <v>62.75</v>
      </c>
    </row>
    <row r="1162" spans="1:10" ht="14.4" x14ac:dyDescent="0.3">
      <c r="A1162" s="3"/>
      <c r="E1162" s="3">
        <v>451.59</v>
      </c>
      <c r="F1162" s="3">
        <v>-55.58</v>
      </c>
      <c r="G1162" s="3">
        <v>-66.11</v>
      </c>
      <c r="H1162" s="3">
        <v>-0.83</v>
      </c>
      <c r="I1162" s="3">
        <v>-62.88</v>
      </c>
      <c r="J1162" s="3">
        <v>66.5</v>
      </c>
    </row>
    <row r="1163" spans="1:10" ht="14.4" x14ac:dyDescent="0.3">
      <c r="A1163" s="3"/>
      <c r="E1163" s="3">
        <v>550.33000000000004</v>
      </c>
      <c r="F1163" s="3">
        <v>-6.21</v>
      </c>
      <c r="G1163" s="3">
        <v>-30.56</v>
      </c>
      <c r="H1163" s="3">
        <v>-1.89</v>
      </c>
      <c r="I1163" s="3">
        <v>-19.25</v>
      </c>
      <c r="J1163" s="3">
        <v>-21.66</v>
      </c>
    </row>
    <row r="1164" spans="1:10" ht="14.4" x14ac:dyDescent="0.3">
      <c r="A1164" s="3"/>
      <c r="E1164" s="3">
        <v>246.59</v>
      </c>
      <c r="F1164" s="3">
        <v>-71.5</v>
      </c>
      <c r="G1164" s="3">
        <v>-22.31</v>
      </c>
      <c r="H1164" s="3">
        <v>-0.87</v>
      </c>
      <c r="I1164" s="3">
        <v>-15.02</v>
      </c>
      <c r="J1164" s="3">
        <v>100.96</v>
      </c>
    </row>
    <row r="1165" spans="1:10" ht="14.4" x14ac:dyDescent="0.3">
      <c r="A1165" s="3"/>
      <c r="E1165" s="3">
        <v>626.70000000000005</v>
      </c>
      <c r="F1165" s="3">
        <v>-12.26</v>
      </c>
      <c r="G1165" s="3">
        <v>-51.95</v>
      </c>
      <c r="H1165" s="3">
        <v>-1.8</v>
      </c>
      <c r="I1165" s="3">
        <v>-42.79</v>
      </c>
      <c r="J1165" s="3">
        <v>-14.75</v>
      </c>
    </row>
    <row r="1166" spans="1:10" ht="14.4" x14ac:dyDescent="0.3">
      <c r="A1166" s="3"/>
      <c r="E1166" s="3">
        <v>322.95</v>
      </c>
      <c r="F1166" s="3">
        <v>-77.56</v>
      </c>
      <c r="G1166" s="3">
        <v>-43.69</v>
      </c>
      <c r="H1166" s="3">
        <v>-0.77</v>
      </c>
      <c r="I1166" s="3">
        <v>-38.57</v>
      </c>
      <c r="J1166" s="3">
        <v>107.87</v>
      </c>
    </row>
    <row r="1167" spans="1:10" ht="14.4" x14ac:dyDescent="0.3">
      <c r="A1167" s="3"/>
      <c r="E1167" s="3">
        <v>550.33000000000004</v>
      </c>
      <c r="F1167" s="3">
        <v>-6.21</v>
      </c>
      <c r="G1167" s="3">
        <v>-30.56</v>
      </c>
      <c r="H1167" s="3">
        <v>-1.89</v>
      </c>
      <c r="I1167" s="3">
        <v>-19.25</v>
      </c>
      <c r="J1167" s="3">
        <v>-21.66</v>
      </c>
    </row>
    <row r="1168" spans="1:10" ht="14.4" x14ac:dyDescent="0.3">
      <c r="A1168" s="3"/>
      <c r="E1168" s="3">
        <v>246.59</v>
      </c>
      <c r="F1168" s="3">
        <v>-71.5</v>
      </c>
      <c r="G1168" s="3">
        <v>-22.31</v>
      </c>
      <c r="H1168" s="3">
        <v>-0.87</v>
      </c>
      <c r="I1168" s="3">
        <v>-15.02</v>
      </c>
      <c r="J1168" s="3">
        <v>100.96</v>
      </c>
    </row>
    <row r="1169" spans="1:10" ht="14.4" x14ac:dyDescent="0.3">
      <c r="A1169" s="3"/>
      <c r="E1169" s="3">
        <v>626.70000000000005</v>
      </c>
      <c r="F1169" s="3">
        <v>-12.26</v>
      </c>
      <c r="G1169" s="3">
        <v>-51.95</v>
      </c>
      <c r="H1169" s="3">
        <v>-1.8</v>
      </c>
      <c r="I1169" s="3">
        <v>-42.79</v>
      </c>
      <c r="J1169" s="3">
        <v>-14.75</v>
      </c>
    </row>
    <row r="1170" spans="1:10" ht="14.4" x14ac:dyDescent="0.3">
      <c r="A1170" s="3"/>
      <c r="E1170" s="3">
        <v>322.95</v>
      </c>
      <c r="F1170" s="3">
        <v>-77.56</v>
      </c>
      <c r="G1170" s="3">
        <v>-43.69</v>
      </c>
      <c r="H1170" s="3">
        <v>-0.77</v>
      </c>
      <c r="I1170" s="3">
        <v>-38.57</v>
      </c>
      <c r="J1170" s="3">
        <v>107.87</v>
      </c>
    </row>
    <row r="1171" spans="1:10" ht="14.4" x14ac:dyDescent="0.3">
      <c r="A1171" s="3"/>
      <c r="E1171" s="3">
        <v>671.78</v>
      </c>
      <c r="F1171" s="3">
        <v>-13.96</v>
      </c>
      <c r="G1171" s="3">
        <v>-5.84</v>
      </c>
      <c r="H1171" s="3">
        <v>-1.21</v>
      </c>
      <c r="I1171" s="3">
        <v>-76.680000000000007</v>
      </c>
      <c r="J1171" s="3">
        <v>111.93</v>
      </c>
    </row>
    <row r="1172" spans="1:10" ht="14.4" x14ac:dyDescent="0.3">
      <c r="A1172" s="3"/>
      <c r="E1172" s="3">
        <v>242.85</v>
      </c>
      <c r="F1172" s="3">
        <v>-38.450000000000003</v>
      </c>
      <c r="G1172" s="3">
        <v>-62.39</v>
      </c>
      <c r="H1172" s="3">
        <v>-0.97</v>
      </c>
      <c r="I1172" s="3">
        <v>12.38</v>
      </c>
      <c r="J1172" s="3">
        <v>27.32</v>
      </c>
    </row>
    <row r="1173" spans="1:10" ht="14.4" x14ac:dyDescent="0.3">
      <c r="A1173" s="3"/>
      <c r="E1173" s="3">
        <v>630.42999999999995</v>
      </c>
      <c r="F1173" s="3">
        <v>-45.31</v>
      </c>
      <c r="G1173" s="3">
        <v>-11.87</v>
      </c>
      <c r="H1173" s="3">
        <v>-1.7</v>
      </c>
      <c r="I1173" s="3">
        <v>-70.2</v>
      </c>
      <c r="J1173" s="3">
        <v>58.89</v>
      </c>
    </row>
    <row r="1174" spans="1:10" ht="14.4" x14ac:dyDescent="0.3">
      <c r="A1174" s="3"/>
      <c r="E1174" s="3">
        <v>201.51</v>
      </c>
      <c r="F1174" s="3">
        <v>-69.81</v>
      </c>
      <c r="G1174" s="3">
        <v>-68.41</v>
      </c>
      <c r="H1174" s="3">
        <v>-1.46</v>
      </c>
      <c r="I1174" s="3">
        <v>18.86</v>
      </c>
      <c r="J1174" s="3">
        <v>-25.71</v>
      </c>
    </row>
    <row r="1175" spans="1:10" ht="14.4" x14ac:dyDescent="0.3">
      <c r="A1175" s="3"/>
      <c r="E1175" s="3">
        <v>634.32000000000005</v>
      </c>
      <c r="F1175" s="3">
        <v>7.23</v>
      </c>
      <c r="G1175" s="3">
        <v>-23.57</v>
      </c>
      <c r="H1175" s="3">
        <v>-0.76</v>
      </c>
      <c r="I1175" s="3">
        <v>-57.22</v>
      </c>
      <c r="J1175" s="3">
        <v>149.80000000000001</v>
      </c>
    </row>
    <row r="1176" spans="1:10" ht="14.4" x14ac:dyDescent="0.3">
      <c r="A1176" s="3"/>
      <c r="E1176" s="3">
        <v>313.02999999999997</v>
      </c>
      <c r="F1176" s="3">
        <v>-78.14</v>
      </c>
      <c r="G1176" s="3">
        <v>-29.18</v>
      </c>
      <c r="H1176" s="3">
        <v>-1.81</v>
      </c>
      <c r="I1176" s="3">
        <v>-24.08</v>
      </c>
      <c r="J1176" s="3">
        <v>-43.64</v>
      </c>
    </row>
    <row r="1177" spans="1:10" ht="14.4" x14ac:dyDescent="0.3">
      <c r="A1177" s="3"/>
      <c r="E1177" s="3">
        <v>560.25</v>
      </c>
      <c r="F1177" s="3">
        <v>-5.63</v>
      </c>
      <c r="G1177" s="3">
        <v>-45.07</v>
      </c>
      <c r="H1177" s="3">
        <v>-0.85</v>
      </c>
      <c r="I1177" s="3">
        <v>-33.74</v>
      </c>
      <c r="J1177" s="3">
        <v>129.85</v>
      </c>
    </row>
    <row r="1178" spans="1:10" ht="14.4" x14ac:dyDescent="0.3">
      <c r="A1178" s="3"/>
      <c r="E1178" s="3">
        <v>374.96</v>
      </c>
      <c r="F1178" s="3">
        <v>12.16</v>
      </c>
      <c r="G1178" s="3">
        <v>-30.88</v>
      </c>
      <c r="H1178" s="3">
        <v>-0.28999999999999998</v>
      </c>
      <c r="I1178" s="3">
        <v>-21.92</v>
      </c>
      <c r="J1178" s="3">
        <v>110.88</v>
      </c>
    </row>
    <row r="1179" spans="1:10" ht="14.4" x14ac:dyDescent="0.3">
      <c r="A1179" s="3"/>
      <c r="E1179" s="3">
        <v>281.64</v>
      </c>
      <c r="F1179" s="3">
        <v>-31.7</v>
      </c>
      <c r="G1179" s="3">
        <v>31.99</v>
      </c>
      <c r="H1179" s="3">
        <v>-2.06</v>
      </c>
      <c r="I1179" s="3">
        <v>49.78</v>
      </c>
      <c r="J1179" s="3">
        <v>30.6</v>
      </c>
    </row>
    <row r="1180" spans="1:10" ht="14.4" x14ac:dyDescent="0.3">
      <c r="A1180" s="3"/>
      <c r="E1180" s="3">
        <v>844.31</v>
      </c>
      <c r="F1180" s="3">
        <v>-76.319999999999993</v>
      </c>
      <c r="G1180" s="3">
        <v>-125.6</v>
      </c>
      <c r="H1180" s="3">
        <v>-1.37</v>
      </c>
      <c r="I1180" s="3">
        <v>-123.7</v>
      </c>
      <c r="J1180" s="3">
        <v>81.48</v>
      </c>
    </row>
    <row r="1181" spans="1:10" ht="14.4" x14ac:dyDescent="0.3">
      <c r="A1181" s="3"/>
      <c r="E1181" s="3">
        <v>695.65</v>
      </c>
      <c r="F1181" s="3">
        <v>39.04</v>
      </c>
      <c r="G1181" s="3">
        <v>-40.15</v>
      </c>
      <c r="H1181" s="3">
        <v>-2.2400000000000002</v>
      </c>
      <c r="I1181" s="3">
        <v>-28.47</v>
      </c>
      <c r="J1181" s="3">
        <v>-102.54</v>
      </c>
    </row>
    <row r="1182" spans="1:10" ht="14.4" x14ac:dyDescent="0.3">
      <c r="A1182" s="3"/>
      <c r="E1182" s="3">
        <v>430.3</v>
      </c>
      <c r="F1182" s="3">
        <v>-147.05000000000001</v>
      </c>
      <c r="G1182" s="3">
        <v>-53.47</v>
      </c>
      <c r="H1182" s="3">
        <v>-1.19</v>
      </c>
      <c r="I1182" s="3">
        <v>-45.46</v>
      </c>
      <c r="J1182" s="3">
        <v>214.62</v>
      </c>
    </row>
    <row r="1183" spans="1:10" ht="14.4" x14ac:dyDescent="0.3">
      <c r="A1183" s="3"/>
      <c r="E1183" s="3">
        <v>281.64</v>
      </c>
      <c r="F1183" s="3">
        <v>-31.7</v>
      </c>
      <c r="G1183" s="3">
        <v>31.99</v>
      </c>
      <c r="H1183" s="3">
        <v>-2.06</v>
      </c>
      <c r="I1183" s="3">
        <v>49.78</v>
      </c>
      <c r="J1183" s="3">
        <v>30.6</v>
      </c>
    </row>
    <row r="1184" spans="1:10" ht="14.4" x14ac:dyDescent="0.3">
      <c r="A1184" s="3"/>
      <c r="E1184" s="3">
        <v>844.31</v>
      </c>
      <c r="F1184" s="3">
        <v>-76.319999999999993</v>
      </c>
      <c r="G1184" s="3">
        <v>-125.6</v>
      </c>
      <c r="H1184" s="3">
        <v>-1.37</v>
      </c>
      <c r="I1184" s="3">
        <v>-123.7</v>
      </c>
      <c r="J1184" s="3">
        <v>81.48</v>
      </c>
    </row>
    <row r="1185" spans="1:10" ht="14.4" x14ac:dyDescent="0.3">
      <c r="A1185" s="3"/>
      <c r="E1185" s="3">
        <v>695.65</v>
      </c>
      <c r="F1185" s="3">
        <v>39.04</v>
      </c>
      <c r="G1185" s="3">
        <v>-40.15</v>
      </c>
      <c r="H1185" s="3">
        <v>-2.2400000000000002</v>
      </c>
      <c r="I1185" s="3">
        <v>-28.47</v>
      </c>
      <c r="J1185" s="3">
        <v>-102.54</v>
      </c>
    </row>
    <row r="1186" spans="1:10" ht="14.4" x14ac:dyDescent="0.3">
      <c r="A1186" s="3"/>
      <c r="E1186" s="3">
        <v>430.3</v>
      </c>
      <c r="F1186" s="3">
        <v>-147.05000000000001</v>
      </c>
      <c r="G1186" s="3">
        <v>-53.47</v>
      </c>
      <c r="H1186" s="3">
        <v>-1.19</v>
      </c>
      <c r="I1186" s="3">
        <v>-45.46</v>
      </c>
      <c r="J1186" s="3">
        <v>214.62</v>
      </c>
    </row>
    <row r="1187" spans="1:10" ht="14.4" x14ac:dyDescent="0.3">
      <c r="A1187" s="3"/>
      <c r="E1187" s="3">
        <v>97.67</v>
      </c>
      <c r="F1187" s="3">
        <v>-14.06</v>
      </c>
      <c r="G1187" s="3">
        <v>49.76</v>
      </c>
      <c r="H1187" s="3">
        <v>-1.48</v>
      </c>
      <c r="I1187" s="3">
        <v>62.58</v>
      </c>
      <c r="J1187" s="3">
        <v>13.35</v>
      </c>
    </row>
    <row r="1188" spans="1:10" ht="14.4" x14ac:dyDescent="0.3">
      <c r="A1188" s="3"/>
      <c r="E1188" s="3">
        <v>660.33</v>
      </c>
      <c r="F1188" s="3">
        <v>-58.68</v>
      </c>
      <c r="G1188" s="3">
        <v>-107.84</v>
      </c>
      <c r="H1188" s="3">
        <v>-0.8</v>
      </c>
      <c r="I1188" s="3">
        <v>-110.9</v>
      </c>
      <c r="J1188" s="3">
        <v>64.239999999999995</v>
      </c>
    </row>
    <row r="1189" spans="1:10" ht="14.4" x14ac:dyDescent="0.3">
      <c r="A1189" s="3"/>
      <c r="E1189" s="3">
        <v>511.67</v>
      </c>
      <c r="F1189" s="3">
        <v>56.67</v>
      </c>
      <c r="G1189" s="3">
        <v>-22.38</v>
      </c>
      <c r="H1189" s="3">
        <v>-1.67</v>
      </c>
      <c r="I1189" s="3">
        <v>-15.67</v>
      </c>
      <c r="J1189" s="3">
        <v>-119.78</v>
      </c>
    </row>
    <row r="1190" spans="1:10" ht="14.4" x14ac:dyDescent="0.3">
      <c r="A1190" s="3"/>
      <c r="E1190" s="3">
        <v>246.33</v>
      </c>
      <c r="F1190" s="3">
        <v>-129.41999999999999</v>
      </c>
      <c r="G1190" s="3">
        <v>-35.700000000000003</v>
      </c>
      <c r="H1190" s="3">
        <v>-0.62</v>
      </c>
      <c r="I1190" s="3">
        <v>-32.659999999999997</v>
      </c>
      <c r="J1190" s="3">
        <v>197.37</v>
      </c>
    </row>
    <row r="1191" spans="1:10" ht="14.4" x14ac:dyDescent="0.3">
      <c r="A1191" s="3"/>
      <c r="E1191" s="3">
        <v>97.67</v>
      </c>
      <c r="F1191" s="3">
        <v>-14.06</v>
      </c>
      <c r="G1191" s="3">
        <v>49.76</v>
      </c>
      <c r="H1191" s="3">
        <v>-1.48</v>
      </c>
      <c r="I1191" s="3">
        <v>62.58</v>
      </c>
      <c r="J1191" s="3">
        <v>13.35</v>
      </c>
    </row>
    <row r="1192" spans="1:10" ht="14.4" x14ac:dyDescent="0.3">
      <c r="A1192" s="3"/>
      <c r="E1192" s="3">
        <v>660.33</v>
      </c>
      <c r="F1192" s="3">
        <v>-58.68</v>
      </c>
      <c r="G1192" s="3">
        <v>-107.84</v>
      </c>
      <c r="H1192" s="3">
        <v>-0.8</v>
      </c>
      <c r="I1192" s="3">
        <v>-110.9</v>
      </c>
      <c r="J1192" s="3">
        <v>64.239999999999995</v>
      </c>
    </row>
    <row r="1193" spans="1:10" ht="14.4" x14ac:dyDescent="0.3">
      <c r="A1193" s="3"/>
      <c r="E1193" s="3">
        <v>511.67</v>
      </c>
      <c r="F1193" s="3">
        <v>56.67</v>
      </c>
      <c r="G1193" s="3">
        <v>-22.38</v>
      </c>
      <c r="H1193" s="3">
        <v>-1.67</v>
      </c>
      <c r="I1193" s="3">
        <v>-15.67</v>
      </c>
      <c r="J1193" s="3">
        <v>-119.78</v>
      </c>
    </row>
    <row r="1194" spans="1:10" ht="14.4" x14ac:dyDescent="0.3">
      <c r="A1194" s="3"/>
      <c r="E1194" s="3">
        <v>246.33</v>
      </c>
      <c r="F1194" s="3">
        <v>-129.41999999999999</v>
      </c>
      <c r="G1194" s="3">
        <v>-35.700000000000003</v>
      </c>
      <c r="H1194" s="3">
        <v>-0.62</v>
      </c>
      <c r="I1194" s="3">
        <v>-32.659999999999997</v>
      </c>
      <c r="J1194" s="3">
        <v>197.37</v>
      </c>
    </row>
    <row r="1195" spans="1:10" ht="14.4" x14ac:dyDescent="0.3">
      <c r="A1195" s="3"/>
      <c r="E1195" s="3">
        <v>312.13</v>
      </c>
      <c r="F1195" s="3">
        <v>-40.630000000000003</v>
      </c>
      <c r="G1195" s="3">
        <v>-160.91999999999999</v>
      </c>
      <c r="H1195" s="3">
        <v>-0.23</v>
      </c>
      <c r="I1195" s="3">
        <v>132.05000000000001</v>
      </c>
      <c r="J1195" s="3">
        <v>-30.08</v>
      </c>
    </row>
    <row r="1196" spans="1:10" ht="14.4" x14ac:dyDescent="0.3">
      <c r="A1196" s="3"/>
      <c r="E1196" s="3">
        <v>285.64999999999998</v>
      </c>
      <c r="F1196" s="3">
        <v>-41.45</v>
      </c>
      <c r="G1196" s="3">
        <v>-136.37</v>
      </c>
      <c r="H1196" s="3">
        <v>-0.06</v>
      </c>
      <c r="I1196" s="3">
        <v>112.77</v>
      </c>
      <c r="J1196" s="3">
        <v>-31.01</v>
      </c>
    </row>
    <row r="1197" spans="1:10" ht="14.4" x14ac:dyDescent="0.3">
      <c r="A1197" s="3"/>
      <c r="E1197" s="3">
        <v>337.03</v>
      </c>
      <c r="F1197" s="3">
        <v>-49.93</v>
      </c>
      <c r="G1197" s="3">
        <v>-164.84</v>
      </c>
      <c r="H1197" s="3">
        <v>-0.12</v>
      </c>
      <c r="I1197" s="3">
        <v>131.9</v>
      </c>
      <c r="J1197" s="3">
        <v>-38.4</v>
      </c>
    </row>
    <row r="1198" spans="1:10" ht="14.4" x14ac:dyDescent="0.3">
      <c r="A1198" s="3"/>
      <c r="E1198" s="3">
        <v>273.16000000000003</v>
      </c>
      <c r="F1198" s="3">
        <v>-38.67</v>
      </c>
      <c r="G1198" s="3">
        <v>-135.09</v>
      </c>
      <c r="H1198" s="3">
        <v>-0.1</v>
      </c>
      <c r="I1198" s="3">
        <v>111.62</v>
      </c>
      <c r="J1198" s="3">
        <v>-28.81</v>
      </c>
    </row>
    <row r="1199" spans="1:10" ht="14.4" x14ac:dyDescent="0.3">
      <c r="A1199" s="3"/>
      <c r="E1199" s="3">
        <v>437.57</v>
      </c>
      <c r="F1199" s="3">
        <v>-65.83</v>
      </c>
      <c r="G1199" s="3">
        <v>-226.18</v>
      </c>
      <c r="H1199" s="3">
        <v>-0.28999999999999998</v>
      </c>
      <c r="I1199" s="3">
        <v>172.84</v>
      </c>
      <c r="J1199" s="3">
        <v>-52.44</v>
      </c>
    </row>
    <row r="1200" spans="1:10" ht="14.4" x14ac:dyDescent="0.3">
      <c r="A1200" s="3"/>
      <c r="E1200" s="3">
        <v>264.20999999999998</v>
      </c>
      <c r="F1200" s="3">
        <v>-32.700000000000003</v>
      </c>
      <c r="G1200" s="3">
        <v>-135.51</v>
      </c>
      <c r="H1200" s="3">
        <v>-0.19</v>
      </c>
      <c r="I1200" s="3">
        <v>111.71</v>
      </c>
      <c r="J1200" s="3">
        <v>-23.95</v>
      </c>
    </row>
    <row r="1201" spans="1:10" ht="14.4" x14ac:dyDescent="0.3">
      <c r="A1201" s="3"/>
      <c r="E1201" s="3">
        <v>262.14999999999998</v>
      </c>
      <c r="F1201" s="3">
        <v>-28.38</v>
      </c>
      <c r="G1201" s="3">
        <v>-134.34</v>
      </c>
      <c r="H1201" s="3">
        <v>-0.25</v>
      </c>
      <c r="I1201" s="3">
        <v>110.79</v>
      </c>
      <c r="J1201" s="3">
        <v>-20.09</v>
      </c>
    </row>
    <row r="1202" spans="1:10" ht="14.4" x14ac:dyDescent="0.3">
      <c r="A1202" s="3"/>
      <c r="E1202" s="3">
        <v>267.04000000000002</v>
      </c>
      <c r="F1202" s="3">
        <v>-33.94</v>
      </c>
      <c r="G1202" s="3">
        <v>-137.31</v>
      </c>
      <c r="H1202" s="3">
        <v>-0.22</v>
      </c>
      <c r="I1202" s="3">
        <v>112.7</v>
      </c>
      <c r="J1202" s="3">
        <v>-24.75</v>
      </c>
    </row>
    <row r="1203" spans="1:10" ht="14.4" x14ac:dyDescent="0.3">
      <c r="A1203" s="3"/>
      <c r="E1203" s="3">
        <v>269.12</v>
      </c>
      <c r="F1203" s="3">
        <v>-36.83</v>
      </c>
      <c r="G1203" s="3">
        <v>-138.6</v>
      </c>
      <c r="H1203" s="3">
        <v>-0.19</v>
      </c>
      <c r="I1203" s="3">
        <v>113.6</v>
      </c>
      <c r="J1203" s="3">
        <v>-27.63</v>
      </c>
    </row>
    <row r="1204" spans="1:10" ht="14.4" x14ac:dyDescent="0.3">
      <c r="A1204" s="3"/>
      <c r="E1204" s="3">
        <v>268.58</v>
      </c>
      <c r="F1204" s="3">
        <v>-35.51</v>
      </c>
      <c r="G1204" s="3">
        <v>-139.11000000000001</v>
      </c>
      <c r="H1204" s="3">
        <v>-0.15</v>
      </c>
      <c r="I1204" s="3">
        <v>114</v>
      </c>
      <c r="J1204" s="3">
        <v>-25.15</v>
      </c>
    </row>
    <row r="1205" spans="1:10" ht="14.4" x14ac:dyDescent="0.3">
      <c r="A1205" s="3"/>
      <c r="E1205" s="3">
        <v>272.47000000000003</v>
      </c>
      <c r="F1205" s="3">
        <v>-40.119999999999997</v>
      </c>
      <c r="G1205" s="3">
        <v>-141.79</v>
      </c>
      <c r="H1205" s="3">
        <v>-0.13</v>
      </c>
      <c r="I1205" s="3">
        <v>115.8</v>
      </c>
      <c r="J1205" s="3">
        <v>-30.04</v>
      </c>
    </row>
    <row r="1206" spans="1:10" ht="14.4" x14ac:dyDescent="0.3">
      <c r="A1206" s="3"/>
      <c r="E1206" s="3">
        <v>271.67</v>
      </c>
      <c r="F1206" s="3">
        <v>-40.56</v>
      </c>
      <c r="G1206" s="3">
        <v>-139.80000000000001</v>
      </c>
      <c r="H1206" s="3">
        <v>-0.14000000000000001</v>
      </c>
      <c r="I1206" s="3">
        <v>114.48</v>
      </c>
      <c r="J1206" s="3">
        <v>-31.43</v>
      </c>
    </row>
    <row r="1207" spans="1:10" ht="14.4" x14ac:dyDescent="0.3">
      <c r="A1207" s="3"/>
      <c r="E1207" s="3">
        <v>276.04000000000002</v>
      </c>
      <c r="F1207" s="3">
        <v>-43.99</v>
      </c>
      <c r="G1207" s="3">
        <v>-144.01</v>
      </c>
      <c r="H1207" s="3">
        <v>-0.12</v>
      </c>
      <c r="I1207" s="3">
        <v>117.26</v>
      </c>
      <c r="J1207" s="3">
        <v>-33.979999999999997</v>
      </c>
    </row>
    <row r="1208" spans="1:10" ht="14.4" x14ac:dyDescent="0.3">
      <c r="A1208" s="3"/>
      <c r="E1208" s="3">
        <v>272.86</v>
      </c>
      <c r="F1208" s="3">
        <v>-39.49</v>
      </c>
      <c r="G1208" s="3">
        <v>-141.12</v>
      </c>
      <c r="H1208" s="3">
        <v>-0.19</v>
      </c>
      <c r="I1208" s="3">
        <v>115.2</v>
      </c>
      <c r="J1208" s="3">
        <v>-30.32</v>
      </c>
    </row>
    <row r="1209" spans="1:10" ht="14.4" x14ac:dyDescent="0.3">
      <c r="A1209" s="3"/>
      <c r="E1209" s="3">
        <v>274.93</v>
      </c>
      <c r="F1209" s="3">
        <v>-43.8</v>
      </c>
      <c r="G1209" s="3">
        <v>-142.29</v>
      </c>
      <c r="H1209" s="3">
        <v>-0.12</v>
      </c>
      <c r="I1209" s="3">
        <v>116.12</v>
      </c>
      <c r="J1209" s="3">
        <v>-34.18</v>
      </c>
    </row>
    <row r="1210" spans="1:10" ht="14.4" x14ac:dyDescent="0.3">
      <c r="A1210" s="3"/>
      <c r="E1210" s="3">
        <v>270.02999999999997</v>
      </c>
      <c r="F1210" s="3">
        <v>-38.24</v>
      </c>
      <c r="G1210" s="3">
        <v>-139.32</v>
      </c>
      <c r="H1210" s="3">
        <v>-0.16</v>
      </c>
      <c r="I1210" s="3">
        <v>114.21</v>
      </c>
      <c r="J1210" s="3">
        <v>-29.52</v>
      </c>
    </row>
    <row r="1211" spans="1:10" ht="14.4" x14ac:dyDescent="0.3">
      <c r="A1211" s="3"/>
      <c r="E1211" s="3">
        <v>267.95999999999998</v>
      </c>
      <c r="F1211" s="3">
        <v>-35.35</v>
      </c>
      <c r="G1211" s="3">
        <v>-138.03</v>
      </c>
      <c r="H1211" s="3">
        <v>-0.18</v>
      </c>
      <c r="I1211" s="3">
        <v>113.31</v>
      </c>
      <c r="J1211" s="3">
        <v>-26.64</v>
      </c>
    </row>
    <row r="1212" spans="1:10" ht="14.4" x14ac:dyDescent="0.3">
      <c r="A1212" s="3"/>
      <c r="E1212" s="3">
        <v>268.5</v>
      </c>
      <c r="F1212" s="3">
        <v>-36.67</v>
      </c>
      <c r="G1212" s="3">
        <v>-137.52000000000001</v>
      </c>
      <c r="H1212" s="3">
        <v>-0.22</v>
      </c>
      <c r="I1212" s="3">
        <v>112.91</v>
      </c>
      <c r="J1212" s="3">
        <v>-29.12</v>
      </c>
    </row>
    <row r="1213" spans="1:10" ht="14.4" x14ac:dyDescent="0.3">
      <c r="A1213" s="3"/>
      <c r="E1213" s="3">
        <v>264.61</v>
      </c>
      <c r="F1213" s="3">
        <v>-32.07</v>
      </c>
      <c r="G1213" s="3">
        <v>-134.83000000000001</v>
      </c>
      <c r="H1213" s="3">
        <v>-0.24</v>
      </c>
      <c r="I1213" s="3">
        <v>111.11</v>
      </c>
      <c r="J1213" s="3">
        <v>-24.23</v>
      </c>
    </row>
    <row r="1214" spans="1:10" ht="14.4" x14ac:dyDescent="0.3">
      <c r="A1214" s="3"/>
      <c r="E1214" s="3">
        <v>265.41000000000003</v>
      </c>
      <c r="F1214" s="3">
        <v>-31.62</v>
      </c>
      <c r="G1214" s="3">
        <v>-136.83000000000001</v>
      </c>
      <c r="H1214" s="3">
        <v>-0.23</v>
      </c>
      <c r="I1214" s="3">
        <v>112.43</v>
      </c>
      <c r="J1214" s="3">
        <v>-22.84</v>
      </c>
    </row>
    <row r="1215" spans="1:10" ht="14.4" x14ac:dyDescent="0.3">
      <c r="A1215" s="3"/>
      <c r="E1215" s="3">
        <v>261.04000000000002</v>
      </c>
      <c r="F1215" s="3">
        <v>-28.19</v>
      </c>
      <c r="G1215" s="3">
        <v>-132.62</v>
      </c>
      <c r="H1215" s="3">
        <v>-0.26</v>
      </c>
      <c r="I1215" s="3">
        <v>109.65</v>
      </c>
      <c r="J1215" s="3">
        <v>-20.29</v>
      </c>
    </row>
    <row r="1216" spans="1:10" ht="14.4" x14ac:dyDescent="0.3">
      <c r="A1216" s="3"/>
      <c r="E1216" s="3">
        <v>428.62</v>
      </c>
      <c r="F1216" s="3">
        <v>-59.85</v>
      </c>
      <c r="G1216" s="3">
        <v>-226.61</v>
      </c>
      <c r="H1216" s="3">
        <v>-0.38</v>
      </c>
      <c r="I1216" s="3">
        <v>172.94</v>
      </c>
      <c r="J1216" s="3">
        <v>-47.59</v>
      </c>
    </row>
    <row r="1217" spans="1:10" ht="14.4" x14ac:dyDescent="0.3">
      <c r="A1217" s="3"/>
      <c r="E1217" s="3">
        <v>426.55</v>
      </c>
      <c r="F1217" s="3">
        <v>-55.53</v>
      </c>
      <c r="G1217" s="3">
        <v>-225.43</v>
      </c>
      <c r="H1217" s="3">
        <v>-0.45</v>
      </c>
      <c r="I1217" s="3">
        <v>172.01</v>
      </c>
      <c r="J1217" s="3">
        <v>-43.72</v>
      </c>
    </row>
    <row r="1218" spans="1:10" ht="14.4" x14ac:dyDescent="0.3">
      <c r="A1218" s="3"/>
      <c r="E1218" s="3">
        <v>431.45</v>
      </c>
      <c r="F1218" s="3">
        <v>-61.09</v>
      </c>
      <c r="G1218" s="3">
        <v>-228.4</v>
      </c>
      <c r="H1218" s="3">
        <v>-0.41</v>
      </c>
      <c r="I1218" s="3">
        <v>173.93</v>
      </c>
      <c r="J1218" s="3">
        <v>-48.38</v>
      </c>
    </row>
    <row r="1219" spans="1:10" ht="14.4" x14ac:dyDescent="0.3">
      <c r="A1219" s="3"/>
      <c r="E1219" s="3">
        <v>433.52</v>
      </c>
      <c r="F1219" s="3">
        <v>-63.99</v>
      </c>
      <c r="G1219" s="3">
        <v>-229.69</v>
      </c>
      <c r="H1219" s="3">
        <v>-0.39</v>
      </c>
      <c r="I1219" s="3">
        <v>174.82</v>
      </c>
      <c r="J1219" s="3">
        <v>-51.26</v>
      </c>
    </row>
    <row r="1220" spans="1:10" ht="14.4" x14ac:dyDescent="0.3">
      <c r="A1220" s="3"/>
      <c r="E1220" s="3">
        <v>432.98</v>
      </c>
      <c r="F1220" s="3">
        <v>-62.66</v>
      </c>
      <c r="G1220" s="3">
        <v>-230.2</v>
      </c>
      <c r="H1220" s="3">
        <v>-0.35</v>
      </c>
      <c r="I1220" s="3">
        <v>175.22</v>
      </c>
      <c r="J1220" s="3">
        <v>-48.79</v>
      </c>
    </row>
    <row r="1221" spans="1:10" ht="14.4" x14ac:dyDescent="0.3">
      <c r="A1221" s="3"/>
      <c r="E1221" s="3">
        <v>436.87</v>
      </c>
      <c r="F1221" s="3">
        <v>-67.27</v>
      </c>
      <c r="G1221" s="3">
        <v>-232.89</v>
      </c>
      <c r="H1221" s="3">
        <v>-0.33</v>
      </c>
      <c r="I1221" s="3">
        <v>177.02</v>
      </c>
      <c r="J1221" s="3">
        <v>-53.67</v>
      </c>
    </row>
    <row r="1222" spans="1:10" ht="14.4" x14ac:dyDescent="0.3">
      <c r="A1222" s="3"/>
      <c r="E1222" s="3">
        <v>436.08</v>
      </c>
      <c r="F1222" s="3">
        <v>-67.709999999999994</v>
      </c>
      <c r="G1222" s="3">
        <v>-230.9</v>
      </c>
      <c r="H1222" s="3">
        <v>-0.34</v>
      </c>
      <c r="I1222" s="3">
        <v>175.7</v>
      </c>
      <c r="J1222" s="3">
        <v>-55.07</v>
      </c>
    </row>
    <row r="1223" spans="1:10" ht="14.4" x14ac:dyDescent="0.3">
      <c r="A1223" s="3"/>
      <c r="E1223" s="3">
        <v>440.44</v>
      </c>
      <c r="F1223" s="3">
        <v>-71.14</v>
      </c>
      <c r="G1223" s="3">
        <v>-235.11</v>
      </c>
      <c r="H1223" s="3">
        <v>-0.31</v>
      </c>
      <c r="I1223" s="3">
        <v>178.49</v>
      </c>
      <c r="J1223" s="3">
        <v>-57.61</v>
      </c>
    </row>
    <row r="1224" spans="1:10" ht="14.4" x14ac:dyDescent="0.3">
      <c r="A1224" s="3"/>
      <c r="E1224" s="3">
        <v>437.27</v>
      </c>
      <c r="F1224" s="3">
        <v>-66.64</v>
      </c>
      <c r="G1224" s="3">
        <v>-232.21</v>
      </c>
      <c r="H1224" s="3">
        <v>-0.38</v>
      </c>
      <c r="I1224" s="3">
        <v>176.43</v>
      </c>
      <c r="J1224" s="3">
        <v>-53.95</v>
      </c>
    </row>
    <row r="1225" spans="1:10" ht="14.4" x14ac:dyDescent="0.3">
      <c r="A1225" s="3"/>
      <c r="E1225" s="3">
        <v>439.33</v>
      </c>
      <c r="F1225" s="3">
        <v>-70.959999999999994</v>
      </c>
      <c r="G1225" s="3">
        <v>-233.39</v>
      </c>
      <c r="H1225" s="3">
        <v>-0.32</v>
      </c>
      <c r="I1225" s="3">
        <v>177.35</v>
      </c>
      <c r="J1225" s="3">
        <v>-57.81</v>
      </c>
    </row>
    <row r="1226" spans="1:10" ht="14.4" x14ac:dyDescent="0.3">
      <c r="A1226" s="3"/>
      <c r="E1226" s="3">
        <v>434.44</v>
      </c>
      <c r="F1226" s="3">
        <v>-65.400000000000006</v>
      </c>
      <c r="G1226" s="3">
        <v>-230.42</v>
      </c>
      <c r="H1226" s="3">
        <v>-0.35</v>
      </c>
      <c r="I1226" s="3">
        <v>175.43</v>
      </c>
      <c r="J1226" s="3">
        <v>-53.15</v>
      </c>
    </row>
    <row r="1227" spans="1:10" ht="14.4" x14ac:dyDescent="0.3">
      <c r="A1227" s="3"/>
      <c r="E1227" s="3">
        <v>432.36</v>
      </c>
      <c r="F1227" s="3">
        <v>-62.5</v>
      </c>
      <c r="G1227" s="3">
        <v>-229.13</v>
      </c>
      <c r="H1227" s="3">
        <v>-0.38</v>
      </c>
      <c r="I1227" s="3">
        <v>174.54</v>
      </c>
      <c r="J1227" s="3">
        <v>-50.28</v>
      </c>
    </row>
    <row r="1228" spans="1:10" ht="14.4" x14ac:dyDescent="0.3">
      <c r="A1228" s="3"/>
      <c r="E1228" s="3">
        <v>432.91</v>
      </c>
      <c r="F1228" s="3">
        <v>-63.83</v>
      </c>
      <c r="G1228" s="3">
        <v>-228.62</v>
      </c>
      <c r="H1228" s="3">
        <v>-0.42</v>
      </c>
      <c r="I1228" s="3">
        <v>174.14</v>
      </c>
      <c r="J1228" s="3">
        <v>-52.75</v>
      </c>
    </row>
    <row r="1229" spans="1:10" ht="14.4" x14ac:dyDescent="0.3">
      <c r="A1229" s="3"/>
      <c r="E1229" s="3">
        <v>429.02</v>
      </c>
      <c r="F1229" s="3">
        <v>-59.22</v>
      </c>
      <c r="G1229" s="3">
        <v>-225.93</v>
      </c>
      <c r="H1229" s="3">
        <v>-0.44</v>
      </c>
      <c r="I1229" s="3">
        <v>172.34</v>
      </c>
      <c r="J1229" s="3">
        <v>-47.87</v>
      </c>
    </row>
    <row r="1230" spans="1:10" ht="14.4" x14ac:dyDescent="0.3">
      <c r="A1230" s="3"/>
      <c r="E1230" s="3">
        <v>429.81</v>
      </c>
      <c r="F1230" s="3">
        <v>-58.78</v>
      </c>
      <c r="G1230" s="3">
        <v>-227.92</v>
      </c>
      <c r="H1230" s="3">
        <v>-0.43</v>
      </c>
      <c r="I1230" s="3">
        <v>173.66</v>
      </c>
      <c r="J1230" s="3">
        <v>-46.47</v>
      </c>
    </row>
    <row r="1231" spans="1:10" ht="14.4" x14ac:dyDescent="0.3">
      <c r="A1231" s="3"/>
      <c r="E1231" s="3">
        <v>425.44</v>
      </c>
      <c r="F1231" s="3">
        <v>-55.35</v>
      </c>
      <c r="G1231" s="3">
        <v>-223.71</v>
      </c>
      <c r="H1231" s="3">
        <v>-0.45</v>
      </c>
      <c r="I1231" s="3">
        <v>170.87</v>
      </c>
      <c r="J1231" s="3">
        <v>-43.92</v>
      </c>
    </row>
    <row r="1232" spans="1:10" ht="14.4" x14ac:dyDescent="0.3">
      <c r="A1232" s="3"/>
      <c r="E1232" s="3">
        <v>263.82</v>
      </c>
      <c r="F1232" s="3">
        <v>-31.01</v>
      </c>
      <c r="G1232" s="3">
        <v>-129.22</v>
      </c>
      <c r="H1232" s="3">
        <v>-0.1</v>
      </c>
      <c r="I1232" s="3">
        <v>107.94</v>
      </c>
      <c r="J1232" s="3">
        <v>-21.52</v>
      </c>
    </row>
    <row r="1233" spans="1:10" ht="14.4" x14ac:dyDescent="0.3">
      <c r="A1233" s="3"/>
      <c r="E1233" s="3">
        <v>259.69</v>
      </c>
      <c r="F1233" s="3">
        <v>-22.38</v>
      </c>
      <c r="G1233" s="3">
        <v>-126.87</v>
      </c>
      <c r="H1233" s="3">
        <v>-0.24</v>
      </c>
      <c r="I1233" s="3">
        <v>106.1</v>
      </c>
      <c r="J1233" s="3">
        <v>-13.79</v>
      </c>
    </row>
    <row r="1234" spans="1:10" ht="14.4" x14ac:dyDescent="0.3">
      <c r="A1234" s="3"/>
      <c r="E1234" s="3">
        <v>269.48</v>
      </c>
      <c r="F1234" s="3">
        <v>-33.5</v>
      </c>
      <c r="G1234" s="3">
        <v>-132.81</v>
      </c>
      <c r="H1234" s="3">
        <v>-0.17</v>
      </c>
      <c r="I1234" s="3">
        <v>109.93</v>
      </c>
      <c r="J1234" s="3">
        <v>-23.11</v>
      </c>
    </row>
    <row r="1235" spans="1:10" ht="14.4" x14ac:dyDescent="0.3">
      <c r="A1235" s="3"/>
      <c r="E1235" s="3">
        <v>273.64</v>
      </c>
      <c r="F1235" s="3">
        <v>-39.29</v>
      </c>
      <c r="G1235" s="3">
        <v>-135.38</v>
      </c>
      <c r="H1235" s="3">
        <v>-0.12</v>
      </c>
      <c r="I1235" s="3">
        <v>111.72</v>
      </c>
      <c r="J1235" s="3">
        <v>-28.87</v>
      </c>
    </row>
    <row r="1236" spans="1:10" ht="14.4" x14ac:dyDescent="0.3">
      <c r="A1236" s="3"/>
      <c r="E1236" s="3">
        <v>272.55</v>
      </c>
      <c r="F1236" s="3">
        <v>-36.64</v>
      </c>
      <c r="G1236" s="3">
        <v>-136.4</v>
      </c>
      <c r="H1236" s="3">
        <v>-0.04</v>
      </c>
      <c r="I1236" s="3">
        <v>112.52</v>
      </c>
      <c r="J1236" s="3">
        <v>-23.92</v>
      </c>
    </row>
    <row r="1237" spans="1:10" ht="14.4" x14ac:dyDescent="0.3">
      <c r="A1237" s="3"/>
      <c r="E1237" s="3">
        <v>280.33</v>
      </c>
      <c r="F1237" s="3">
        <v>-45.85</v>
      </c>
      <c r="G1237" s="3">
        <v>-141.78</v>
      </c>
      <c r="H1237" s="3">
        <v>0</v>
      </c>
      <c r="I1237" s="3">
        <v>116.12</v>
      </c>
      <c r="J1237" s="3">
        <v>-33.69</v>
      </c>
    </row>
    <row r="1238" spans="1:10" ht="14.4" x14ac:dyDescent="0.3">
      <c r="A1238" s="3"/>
      <c r="E1238" s="3">
        <v>278.74</v>
      </c>
      <c r="F1238" s="3">
        <v>-46.74</v>
      </c>
      <c r="G1238" s="3">
        <v>-137.80000000000001</v>
      </c>
      <c r="H1238" s="3">
        <v>-0.02</v>
      </c>
      <c r="I1238" s="3">
        <v>113.48</v>
      </c>
      <c r="J1238" s="3">
        <v>-36.479999999999997</v>
      </c>
    </row>
    <row r="1239" spans="1:10" ht="14.4" x14ac:dyDescent="0.3">
      <c r="A1239" s="3"/>
      <c r="E1239" s="3">
        <v>287.47000000000003</v>
      </c>
      <c r="F1239" s="3">
        <v>-53.6</v>
      </c>
      <c r="G1239" s="3">
        <v>-146.22</v>
      </c>
      <c r="H1239" s="3">
        <v>0.03</v>
      </c>
      <c r="I1239" s="3">
        <v>119.05</v>
      </c>
      <c r="J1239" s="3">
        <v>-41.57</v>
      </c>
    </row>
    <row r="1240" spans="1:10" ht="14.4" x14ac:dyDescent="0.3">
      <c r="A1240" s="3"/>
      <c r="E1240" s="3">
        <v>281.12</v>
      </c>
      <c r="F1240" s="3">
        <v>-44.59</v>
      </c>
      <c r="G1240" s="3">
        <v>-140.41999999999999</v>
      </c>
      <c r="H1240" s="3">
        <v>-0.12</v>
      </c>
      <c r="I1240" s="3">
        <v>114.93</v>
      </c>
      <c r="J1240" s="3">
        <v>-34.25</v>
      </c>
    </row>
    <row r="1241" spans="1:10" ht="14.4" x14ac:dyDescent="0.3">
      <c r="A1241" s="3"/>
      <c r="E1241" s="3">
        <v>285.25</v>
      </c>
      <c r="F1241" s="3">
        <v>-53.23</v>
      </c>
      <c r="G1241" s="3">
        <v>-142.78</v>
      </c>
      <c r="H1241" s="3">
        <v>0.02</v>
      </c>
      <c r="I1241" s="3">
        <v>116.77</v>
      </c>
      <c r="J1241" s="3">
        <v>-41.97</v>
      </c>
    </row>
    <row r="1242" spans="1:10" ht="14.4" x14ac:dyDescent="0.3">
      <c r="A1242" s="3"/>
      <c r="E1242" s="3">
        <v>275.45999999999998</v>
      </c>
      <c r="F1242" s="3">
        <v>-42.11</v>
      </c>
      <c r="G1242" s="3">
        <v>-136.84</v>
      </c>
      <c r="H1242" s="3">
        <v>-0.05</v>
      </c>
      <c r="I1242" s="3">
        <v>112.94</v>
      </c>
      <c r="J1242" s="3">
        <v>-32.65</v>
      </c>
    </row>
    <row r="1243" spans="1:10" ht="14.4" x14ac:dyDescent="0.3">
      <c r="A1243" s="3"/>
      <c r="E1243" s="3">
        <v>271.31</v>
      </c>
      <c r="F1243" s="3">
        <v>-36.32</v>
      </c>
      <c r="G1243" s="3">
        <v>-134.26</v>
      </c>
      <c r="H1243" s="3">
        <v>-0.1</v>
      </c>
      <c r="I1243" s="3">
        <v>111.15</v>
      </c>
      <c r="J1243" s="3">
        <v>-26.9</v>
      </c>
    </row>
    <row r="1244" spans="1:10" ht="14.4" x14ac:dyDescent="0.3">
      <c r="A1244" s="3"/>
      <c r="E1244" s="3">
        <v>272.39999999999998</v>
      </c>
      <c r="F1244" s="3">
        <v>-38.97</v>
      </c>
      <c r="G1244" s="3">
        <v>-133.24</v>
      </c>
      <c r="H1244" s="3">
        <v>-0.18</v>
      </c>
      <c r="I1244" s="3">
        <v>110.35</v>
      </c>
      <c r="J1244" s="3">
        <v>-31.85</v>
      </c>
    </row>
    <row r="1245" spans="1:10" ht="14.4" x14ac:dyDescent="0.3">
      <c r="A1245" s="3"/>
      <c r="E1245" s="3">
        <v>264.62</v>
      </c>
      <c r="F1245" s="3">
        <v>-29.75</v>
      </c>
      <c r="G1245" s="3">
        <v>-127.86</v>
      </c>
      <c r="H1245" s="3">
        <v>-0.22</v>
      </c>
      <c r="I1245" s="3">
        <v>106.75</v>
      </c>
      <c r="J1245" s="3">
        <v>-22.08</v>
      </c>
    </row>
    <row r="1246" spans="1:10" ht="14.4" x14ac:dyDescent="0.3">
      <c r="A1246" s="3"/>
      <c r="E1246" s="3">
        <v>266.20999999999998</v>
      </c>
      <c r="F1246" s="3">
        <v>-28.87</v>
      </c>
      <c r="G1246" s="3">
        <v>-131.85</v>
      </c>
      <c r="H1246" s="3">
        <v>-0.2</v>
      </c>
      <c r="I1246" s="3">
        <v>109.39</v>
      </c>
      <c r="J1246" s="3">
        <v>-19.29</v>
      </c>
    </row>
    <row r="1247" spans="1:10" ht="14.4" x14ac:dyDescent="0.3">
      <c r="A1247" s="3"/>
      <c r="E1247" s="3">
        <v>252.97</v>
      </c>
      <c r="F1247" s="3">
        <v>-21.88</v>
      </c>
      <c r="G1247" s="3">
        <v>-124.93</v>
      </c>
      <c r="H1247" s="3">
        <v>-0.27</v>
      </c>
      <c r="I1247" s="3">
        <v>104.22</v>
      </c>
      <c r="J1247" s="3">
        <v>-14.34</v>
      </c>
    </row>
    <row r="1248" spans="1:10" ht="14.4" x14ac:dyDescent="0.3">
      <c r="A1248" s="3"/>
      <c r="E1248" s="3">
        <v>263.82</v>
      </c>
      <c r="F1248" s="3">
        <v>-31.01</v>
      </c>
      <c r="G1248" s="3">
        <v>-129.22</v>
      </c>
      <c r="H1248" s="3">
        <v>-0.1</v>
      </c>
      <c r="I1248" s="3">
        <v>107.94</v>
      </c>
      <c r="J1248" s="3">
        <v>-21.52</v>
      </c>
    </row>
    <row r="1249" spans="1:10" ht="14.4" x14ac:dyDescent="0.3">
      <c r="A1249" s="3"/>
      <c r="E1249" s="3">
        <v>259.69</v>
      </c>
      <c r="F1249" s="3">
        <v>-22.38</v>
      </c>
      <c r="G1249" s="3">
        <v>-126.87</v>
      </c>
      <c r="H1249" s="3">
        <v>-0.24</v>
      </c>
      <c r="I1249" s="3">
        <v>106.1</v>
      </c>
      <c r="J1249" s="3">
        <v>-13.79</v>
      </c>
    </row>
    <row r="1250" spans="1:10" ht="14.4" x14ac:dyDescent="0.3">
      <c r="A1250" s="3"/>
      <c r="E1250" s="3">
        <v>269.48</v>
      </c>
      <c r="F1250" s="3">
        <v>-33.5</v>
      </c>
      <c r="G1250" s="3">
        <v>-132.81</v>
      </c>
      <c r="H1250" s="3">
        <v>-0.17</v>
      </c>
      <c r="I1250" s="3">
        <v>109.93</v>
      </c>
      <c r="J1250" s="3">
        <v>-23.11</v>
      </c>
    </row>
    <row r="1251" spans="1:10" ht="14.4" x14ac:dyDescent="0.3">
      <c r="A1251" s="3"/>
      <c r="E1251" s="3">
        <v>273.64</v>
      </c>
      <c r="F1251" s="3">
        <v>-39.29</v>
      </c>
      <c r="G1251" s="3">
        <v>-135.38</v>
      </c>
      <c r="H1251" s="3">
        <v>-0.12</v>
      </c>
      <c r="I1251" s="3">
        <v>111.72</v>
      </c>
      <c r="J1251" s="3">
        <v>-28.87</v>
      </c>
    </row>
    <row r="1252" spans="1:10" ht="14.4" x14ac:dyDescent="0.3">
      <c r="A1252" s="3"/>
      <c r="E1252" s="3">
        <v>272.55</v>
      </c>
      <c r="F1252" s="3">
        <v>-36.64</v>
      </c>
      <c r="G1252" s="3">
        <v>-136.4</v>
      </c>
      <c r="H1252" s="3">
        <v>-0.04</v>
      </c>
      <c r="I1252" s="3">
        <v>112.52</v>
      </c>
      <c r="J1252" s="3">
        <v>-23.92</v>
      </c>
    </row>
    <row r="1253" spans="1:10" ht="14.4" x14ac:dyDescent="0.3">
      <c r="A1253" s="3"/>
      <c r="E1253" s="3">
        <v>280.33</v>
      </c>
      <c r="F1253" s="3">
        <v>-45.85</v>
      </c>
      <c r="G1253" s="3">
        <v>-141.78</v>
      </c>
      <c r="H1253" s="3">
        <v>0</v>
      </c>
      <c r="I1253" s="3">
        <v>116.12</v>
      </c>
      <c r="J1253" s="3">
        <v>-33.69</v>
      </c>
    </row>
    <row r="1254" spans="1:10" ht="14.4" x14ac:dyDescent="0.3">
      <c r="A1254" s="3"/>
      <c r="E1254" s="3">
        <v>278.74</v>
      </c>
      <c r="F1254" s="3">
        <v>-46.74</v>
      </c>
      <c r="G1254" s="3">
        <v>-137.80000000000001</v>
      </c>
      <c r="H1254" s="3">
        <v>-0.02</v>
      </c>
      <c r="I1254" s="3">
        <v>113.48</v>
      </c>
      <c r="J1254" s="3">
        <v>-36.479999999999997</v>
      </c>
    </row>
    <row r="1255" spans="1:10" ht="14.4" x14ac:dyDescent="0.3">
      <c r="A1255" s="3"/>
      <c r="E1255" s="3">
        <v>287.47000000000003</v>
      </c>
      <c r="F1255" s="3">
        <v>-53.6</v>
      </c>
      <c r="G1255" s="3">
        <v>-146.22</v>
      </c>
      <c r="H1255" s="3">
        <v>0.03</v>
      </c>
      <c r="I1255" s="3">
        <v>119.05</v>
      </c>
      <c r="J1255" s="3">
        <v>-41.57</v>
      </c>
    </row>
    <row r="1256" spans="1:10" ht="14.4" x14ac:dyDescent="0.3">
      <c r="A1256" s="3"/>
      <c r="E1256" s="3">
        <v>281.12</v>
      </c>
      <c r="F1256" s="3">
        <v>-44.59</v>
      </c>
      <c r="G1256" s="3">
        <v>-140.41999999999999</v>
      </c>
      <c r="H1256" s="3">
        <v>-0.12</v>
      </c>
      <c r="I1256" s="3">
        <v>114.93</v>
      </c>
      <c r="J1256" s="3">
        <v>-34.25</v>
      </c>
    </row>
    <row r="1257" spans="1:10" ht="14.4" x14ac:dyDescent="0.3">
      <c r="A1257" s="3"/>
      <c r="E1257" s="3">
        <v>285.25</v>
      </c>
      <c r="F1257" s="3">
        <v>-53.23</v>
      </c>
      <c r="G1257" s="3">
        <v>-142.78</v>
      </c>
      <c r="H1257" s="3">
        <v>0.02</v>
      </c>
      <c r="I1257" s="3">
        <v>116.77</v>
      </c>
      <c r="J1257" s="3">
        <v>-41.97</v>
      </c>
    </row>
    <row r="1258" spans="1:10" ht="14.4" x14ac:dyDescent="0.3">
      <c r="A1258" s="3"/>
      <c r="E1258" s="3">
        <v>275.45999999999998</v>
      </c>
      <c r="F1258" s="3">
        <v>-42.11</v>
      </c>
      <c r="G1258" s="3">
        <v>-136.84</v>
      </c>
      <c r="H1258" s="3">
        <v>-0.05</v>
      </c>
      <c r="I1258" s="3">
        <v>112.94</v>
      </c>
      <c r="J1258" s="3">
        <v>-32.65</v>
      </c>
    </row>
    <row r="1259" spans="1:10" ht="14.4" x14ac:dyDescent="0.3">
      <c r="A1259" s="3"/>
      <c r="E1259" s="3">
        <v>271.31</v>
      </c>
      <c r="F1259" s="3">
        <v>-36.32</v>
      </c>
      <c r="G1259" s="3">
        <v>-134.26</v>
      </c>
      <c r="H1259" s="3">
        <v>-0.1</v>
      </c>
      <c r="I1259" s="3">
        <v>111.15</v>
      </c>
      <c r="J1259" s="3">
        <v>-26.9</v>
      </c>
    </row>
    <row r="1260" spans="1:10" ht="14.4" x14ac:dyDescent="0.3">
      <c r="A1260" s="3"/>
      <c r="E1260" s="3">
        <v>272.39999999999998</v>
      </c>
      <c r="F1260" s="3">
        <v>-38.97</v>
      </c>
      <c r="G1260" s="3">
        <v>-133.24</v>
      </c>
      <c r="H1260" s="3">
        <v>-0.18</v>
      </c>
      <c r="I1260" s="3">
        <v>110.35</v>
      </c>
      <c r="J1260" s="3">
        <v>-31.85</v>
      </c>
    </row>
    <row r="1261" spans="1:10" ht="14.4" x14ac:dyDescent="0.3">
      <c r="A1261" s="3"/>
      <c r="E1261" s="3">
        <v>264.62</v>
      </c>
      <c r="F1261" s="3">
        <v>-29.75</v>
      </c>
      <c r="G1261" s="3">
        <v>-127.86</v>
      </c>
      <c r="H1261" s="3">
        <v>-0.22</v>
      </c>
      <c r="I1261" s="3">
        <v>106.75</v>
      </c>
      <c r="J1261" s="3">
        <v>-22.08</v>
      </c>
    </row>
    <row r="1262" spans="1:10" ht="14.4" x14ac:dyDescent="0.3">
      <c r="A1262" s="3"/>
      <c r="E1262" s="3">
        <v>266.20999999999998</v>
      </c>
      <c r="F1262" s="3">
        <v>-28.87</v>
      </c>
      <c r="G1262" s="3">
        <v>-131.85</v>
      </c>
      <c r="H1262" s="3">
        <v>-0.2</v>
      </c>
      <c r="I1262" s="3">
        <v>109.39</v>
      </c>
      <c r="J1262" s="3">
        <v>-19.29</v>
      </c>
    </row>
    <row r="1263" spans="1:10" ht="14.4" x14ac:dyDescent="0.3">
      <c r="A1263" s="3"/>
      <c r="E1263" s="3">
        <v>266.20999999999998</v>
      </c>
      <c r="F1263" s="3">
        <v>-28.87</v>
      </c>
      <c r="G1263" s="3">
        <v>-131.85</v>
      </c>
      <c r="H1263" s="3">
        <v>-0.2</v>
      </c>
      <c r="I1263" s="3">
        <v>109.39</v>
      </c>
      <c r="J1263" s="3">
        <v>-19.29</v>
      </c>
    </row>
    <row r="1264" spans="1:10" ht="14.4" x14ac:dyDescent="0.3">
      <c r="A1264" s="3"/>
      <c r="E1264" s="3">
        <v>192</v>
      </c>
      <c r="F1264" s="3">
        <v>-19.329999999999998</v>
      </c>
      <c r="G1264" s="3">
        <v>-97.85</v>
      </c>
      <c r="H1264" s="3">
        <v>-0.14000000000000001</v>
      </c>
      <c r="I1264" s="3">
        <v>81.400000000000006</v>
      </c>
      <c r="J1264" s="3">
        <v>-12.97</v>
      </c>
    </row>
    <row r="1265" spans="1:10" ht="14.4" x14ac:dyDescent="0.3">
      <c r="A1265" s="3"/>
      <c r="E1265" s="3">
        <v>187.87</v>
      </c>
      <c r="F1265" s="3">
        <v>-10.7</v>
      </c>
      <c r="G1265" s="3">
        <v>-95.49</v>
      </c>
      <c r="H1265" s="3">
        <v>-0.28000000000000003</v>
      </c>
      <c r="I1265" s="3">
        <v>79.55</v>
      </c>
      <c r="J1265" s="3">
        <v>-5.25</v>
      </c>
    </row>
    <row r="1266" spans="1:10" ht="14.4" x14ac:dyDescent="0.3">
      <c r="A1266" s="3"/>
      <c r="E1266" s="3">
        <v>197.66</v>
      </c>
      <c r="F1266" s="3">
        <v>-21.82</v>
      </c>
      <c r="G1266" s="3">
        <v>-101.43</v>
      </c>
      <c r="H1266" s="3">
        <v>-0.21</v>
      </c>
      <c r="I1266" s="3">
        <v>83.39</v>
      </c>
      <c r="J1266" s="3">
        <v>-14.57</v>
      </c>
    </row>
    <row r="1267" spans="1:10" ht="14.4" x14ac:dyDescent="0.3">
      <c r="A1267" s="3"/>
      <c r="E1267" s="3">
        <v>201.81</v>
      </c>
      <c r="F1267" s="3">
        <v>-27.6</v>
      </c>
      <c r="G1267" s="3">
        <v>-104.01</v>
      </c>
      <c r="H1267" s="3">
        <v>-0.16</v>
      </c>
      <c r="I1267" s="3">
        <v>85.17</v>
      </c>
      <c r="J1267" s="3">
        <v>-20.32</v>
      </c>
    </row>
    <row r="1268" spans="1:10" ht="14.4" x14ac:dyDescent="0.3">
      <c r="A1268" s="3"/>
      <c r="E1268" s="3">
        <v>200.73</v>
      </c>
      <c r="F1268" s="3">
        <v>-24.95</v>
      </c>
      <c r="G1268" s="3">
        <v>-105.03</v>
      </c>
      <c r="H1268" s="3">
        <v>-0.08</v>
      </c>
      <c r="I1268" s="3">
        <v>85.97</v>
      </c>
      <c r="J1268" s="3">
        <v>-15.37</v>
      </c>
    </row>
    <row r="1269" spans="1:10" ht="14.4" x14ac:dyDescent="0.3">
      <c r="A1269" s="3"/>
      <c r="E1269" s="3">
        <v>208.51</v>
      </c>
      <c r="F1269" s="3">
        <v>-34.17</v>
      </c>
      <c r="G1269" s="3">
        <v>-110.41</v>
      </c>
      <c r="H1269" s="3">
        <v>-0.04</v>
      </c>
      <c r="I1269" s="3">
        <v>89.58</v>
      </c>
      <c r="J1269" s="3">
        <v>-25.14</v>
      </c>
    </row>
    <row r="1270" spans="1:10" ht="14.4" x14ac:dyDescent="0.3">
      <c r="A1270" s="3"/>
      <c r="E1270" s="3">
        <v>206.92</v>
      </c>
      <c r="F1270" s="3">
        <v>-35.06</v>
      </c>
      <c r="G1270" s="3">
        <v>-106.42</v>
      </c>
      <c r="H1270" s="3">
        <v>-0.06</v>
      </c>
      <c r="I1270" s="3">
        <v>86.94</v>
      </c>
      <c r="J1270" s="3">
        <v>-27.94</v>
      </c>
    </row>
    <row r="1271" spans="1:10" ht="14.4" x14ac:dyDescent="0.3">
      <c r="A1271" s="3"/>
      <c r="E1271" s="3">
        <v>215.65</v>
      </c>
      <c r="F1271" s="3">
        <v>-41.92</v>
      </c>
      <c r="G1271" s="3">
        <v>-114.84</v>
      </c>
      <c r="H1271" s="3">
        <v>-0.01</v>
      </c>
      <c r="I1271" s="3">
        <v>92.51</v>
      </c>
      <c r="J1271" s="3">
        <v>-33.03</v>
      </c>
    </row>
    <row r="1272" spans="1:10" ht="14.4" x14ac:dyDescent="0.3">
      <c r="A1272" s="3"/>
      <c r="E1272" s="3">
        <v>209.3</v>
      </c>
      <c r="F1272" s="3">
        <v>-32.909999999999997</v>
      </c>
      <c r="G1272" s="3">
        <v>-109.05</v>
      </c>
      <c r="H1272" s="3">
        <v>-0.16</v>
      </c>
      <c r="I1272" s="3">
        <v>88.38</v>
      </c>
      <c r="J1272" s="3">
        <v>-25.71</v>
      </c>
    </row>
    <row r="1273" spans="1:10" ht="14.4" x14ac:dyDescent="0.3">
      <c r="A1273" s="3"/>
      <c r="E1273" s="3">
        <v>213.43</v>
      </c>
      <c r="F1273" s="3">
        <v>-41.54</v>
      </c>
      <c r="G1273" s="3">
        <v>-111.4</v>
      </c>
      <c r="H1273" s="3">
        <v>-0.02</v>
      </c>
      <c r="I1273" s="3">
        <v>90.23</v>
      </c>
      <c r="J1273" s="3">
        <v>-33.43</v>
      </c>
    </row>
    <row r="1274" spans="1:10" ht="14.4" x14ac:dyDescent="0.3">
      <c r="A1274" s="3"/>
      <c r="E1274" s="3">
        <v>203.64</v>
      </c>
      <c r="F1274" s="3">
        <v>-30.42</v>
      </c>
      <c r="G1274" s="3">
        <v>-105.46</v>
      </c>
      <c r="H1274" s="3">
        <v>-0.09</v>
      </c>
      <c r="I1274" s="3">
        <v>86.39</v>
      </c>
      <c r="J1274" s="3">
        <v>-24.11</v>
      </c>
    </row>
    <row r="1275" spans="1:10" ht="14.4" x14ac:dyDescent="0.3">
      <c r="A1275" s="3"/>
      <c r="E1275" s="3">
        <v>199.49</v>
      </c>
      <c r="F1275" s="3">
        <v>-24.64</v>
      </c>
      <c r="G1275" s="3">
        <v>-102.89</v>
      </c>
      <c r="H1275" s="3">
        <v>-0.14000000000000001</v>
      </c>
      <c r="I1275" s="3">
        <v>84.61</v>
      </c>
      <c r="J1275" s="3">
        <v>-18.36</v>
      </c>
    </row>
    <row r="1276" spans="1:10" ht="14.4" x14ac:dyDescent="0.3">
      <c r="A1276" s="3"/>
      <c r="E1276" s="3">
        <v>200.58</v>
      </c>
      <c r="F1276" s="3">
        <v>-27.29</v>
      </c>
      <c r="G1276" s="3">
        <v>-101.86</v>
      </c>
      <c r="H1276" s="3">
        <v>-0.22</v>
      </c>
      <c r="I1276" s="3">
        <v>83.81</v>
      </c>
      <c r="J1276" s="3">
        <v>-23.31</v>
      </c>
    </row>
    <row r="1277" spans="1:10" ht="14.4" x14ac:dyDescent="0.3">
      <c r="A1277" s="3"/>
      <c r="E1277" s="3">
        <v>192.8</v>
      </c>
      <c r="F1277" s="3">
        <v>-18.07</v>
      </c>
      <c r="G1277" s="3">
        <v>-96.49</v>
      </c>
      <c r="H1277" s="3">
        <v>-0.26</v>
      </c>
      <c r="I1277" s="3">
        <v>80.209999999999994</v>
      </c>
      <c r="J1277" s="3">
        <v>-13.54</v>
      </c>
    </row>
    <row r="1278" spans="1:10" ht="14.4" x14ac:dyDescent="0.3">
      <c r="A1278" s="3"/>
      <c r="E1278" s="3">
        <v>194.39</v>
      </c>
      <c r="F1278" s="3">
        <v>-17.18</v>
      </c>
      <c r="G1278" s="3">
        <v>-100.47</v>
      </c>
      <c r="H1278" s="3">
        <v>-0.24</v>
      </c>
      <c r="I1278" s="3">
        <v>82.85</v>
      </c>
      <c r="J1278" s="3">
        <v>-10.74</v>
      </c>
    </row>
    <row r="1279" spans="1:10" ht="14.4" x14ac:dyDescent="0.3">
      <c r="A1279" s="3"/>
      <c r="E1279" s="3">
        <v>185.66</v>
      </c>
      <c r="F1279" s="3">
        <v>-10.32</v>
      </c>
      <c r="G1279" s="3">
        <v>-92.05</v>
      </c>
      <c r="H1279" s="3">
        <v>-0.28999999999999998</v>
      </c>
      <c r="I1279" s="3">
        <v>77.28</v>
      </c>
      <c r="J1279" s="3">
        <v>-5.65</v>
      </c>
    </row>
    <row r="1280" spans="1:10" ht="14.4" x14ac:dyDescent="0.3">
      <c r="A1280" s="3"/>
      <c r="E1280" s="3">
        <v>261.17</v>
      </c>
      <c r="F1280" s="3">
        <v>13.78</v>
      </c>
      <c r="G1280" s="3">
        <v>-82.33</v>
      </c>
      <c r="H1280" s="3">
        <v>-1.72</v>
      </c>
      <c r="I1280" s="3">
        <v>76.92</v>
      </c>
      <c r="J1280" s="3">
        <v>-26.48</v>
      </c>
    </row>
    <row r="1281" spans="1:10" ht="14.4" x14ac:dyDescent="0.3">
      <c r="A1281" s="3"/>
      <c r="E1281" s="3">
        <v>234.38</v>
      </c>
      <c r="F1281" s="3">
        <v>-31.69</v>
      </c>
      <c r="G1281" s="3">
        <v>-157.53</v>
      </c>
      <c r="H1281" s="3">
        <v>0.91</v>
      </c>
      <c r="I1281" s="3">
        <v>125.44</v>
      </c>
      <c r="J1281" s="3">
        <v>27.67</v>
      </c>
    </row>
    <row r="1282" spans="1:10" ht="14.4" x14ac:dyDescent="0.3">
      <c r="A1282" s="3"/>
      <c r="E1282" s="3">
        <v>309.94</v>
      </c>
      <c r="F1282" s="3">
        <v>-43.12</v>
      </c>
      <c r="G1282" s="3">
        <v>-111.88</v>
      </c>
      <c r="H1282" s="3">
        <v>-1.1299999999999999</v>
      </c>
      <c r="I1282" s="3">
        <v>97.26</v>
      </c>
      <c r="J1282" s="3">
        <v>-82.59</v>
      </c>
    </row>
    <row r="1283" spans="1:10" ht="14.4" x14ac:dyDescent="0.3">
      <c r="A1283" s="3"/>
      <c r="E1283" s="3">
        <v>283.14999999999998</v>
      </c>
      <c r="F1283" s="3">
        <v>-88.6</v>
      </c>
      <c r="G1283" s="3">
        <v>-187.08</v>
      </c>
      <c r="H1283" s="3">
        <v>1.49</v>
      </c>
      <c r="I1283" s="3">
        <v>145.79</v>
      </c>
      <c r="J1283" s="3">
        <v>-28.45</v>
      </c>
    </row>
    <row r="1284" spans="1:10" ht="14.4" x14ac:dyDescent="0.3">
      <c r="A1284" s="3"/>
      <c r="E1284" s="3">
        <v>261.17</v>
      </c>
      <c r="F1284" s="3">
        <v>13.78</v>
      </c>
      <c r="G1284" s="3">
        <v>-82.33</v>
      </c>
      <c r="H1284" s="3">
        <v>-1.72</v>
      </c>
      <c r="I1284" s="3">
        <v>76.92</v>
      </c>
      <c r="J1284" s="3">
        <v>-26.48</v>
      </c>
    </row>
    <row r="1285" spans="1:10" ht="14.4" x14ac:dyDescent="0.3">
      <c r="A1285" s="3"/>
      <c r="E1285" s="3">
        <v>234.38</v>
      </c>
      <c r="F1285" s="3">
        <v>-31.69</v>
      </c>
      <c r="G1285" s="3">
        <v>-157.53</v>
      </c>
      <c r="H1285" s="3">
        <v>0.91</v>
      </c>
      <c r="I1285" s="3">
        <v>125.44</v>
      </c>
      <c r="J1285" s="3">
        <v>27.67</v>
      </c>
    </row>
    <row r="1286" spans="1:10" ht="14.4" x14ac:dyDescent="0.3">
      <c r="A1286" s="3"/>
      <c r="E1286" s="3">
        <v>309.94</v>
      </c>
      <c r="F1286" s="3">
        <v>-43.12</v>
      </c>
      <c r="G1286" s="3">
        <v>-111.88</v>
      </c>
      <c r="H1286" s="3">
        <v>-1.1299999999999999</v>
      </c>
      <c r="I1286" s="3">
        <v>97.26</v>
      </c>
      <c r="J1286" s="3">
        <v>-82.59</v>
      </c>
    </row>
    <row r="1287" spans="1:10" ht="14.4" x14ac:dyDescent="0.3">
      <c r="A1287" s="3"/>
      <c r="E1287" s="3">
        <v>283.14999999999998</v>
      </c>
      <c r="F1287" s="3">
        <v>-88.6</v>
      </c>
      <c r="G1287" s="3">
        <v>-187.08</v>
      </c>
      <c r="H1287" s="3">
        <v>1.49</v>
      </c>
      <c r="I1287" s="3">
        <v>145.79</v>
      </c>
      <c r="J1287" s="3">
        <v>-28.45</v>
      </c>
    </row>
    <row r="1288" spans="1:10" ht="14.4" x14ac:dyDescent="0.3">
      <c r="A1288" s="3"/>
      <c r="E1288" s="3">
        <v>227.06</v>
      </c>
      <c r="F1288" s="3">
        <v>59.05</v>
      </c>
      <c r="G1288" s="3">
        <v>-90.67</v>
      </c>
      <c r="H1288" s="3">
        <v>-1.49</v>
      </c>
      <c r="I1288" s="3">
        <v>83.64</v>
      </c>
      <c r="J1288" s="3">
        <v>53.62</v>
      </c>
    </row>
    <row r="1289" spans="1:10" ht="14.4" x14ac:dyDescent="0.3">
      <c r="A1289" s="3"/>
      <c r="E1289" s="3">
        <v>298.29000000000002</v>
      </c>
      <c r="F1289" s="3">
        <v>-116.52</v>
      </c>
      <c r="G1289" s="3">
        <v>-141.9</v>
      </c>
      <c r="H1289" s="3">
        <v>0.49</v>
      </c>
      <c r="I1289" s="3">
        <v>112.85</v>
      </c>
      <c r="J1289" s="3">
        <v>-122.39</v>
      </c>
    </row>
    <row r="1290" spans="1:10" ht="14.4" x14ac:dyDescent="0.3">
      <c r="A1290" s="3"/>
      <c r="E1290" s="3">
        <v>246.03</v>
      </c>
      <c r="F1290" s="3">
        <v>41.7</v>
      </c>
      <c r="G1290" s="3">
        <v>-127.51</v>
      </c>
      <c r="H1290" s="3">
        <v>-0.71</v>
      </c>
      <c r="I1290" s="3">
        <v>109.86</v>
      </c>
      <c r="J1290" s="3">
        <v>67.459999999999994</v>
      </c>
    </row>
    <row r="1291" spans="1:10" ht="14.4" x14ac:dyDescent="0.3">
      <c r="A1291" s="3"/>
      <c r="E1291" s="3">
        <v>317.25</v>
      </c>
      <c r="F1291" s="3">
        <v>-133.87</v>
      </c>
      <c r="G1291" s="3">
        <v>-178.73</v>
      </c>
      <c r="H1291" s="3">
        <v>1.26</v>
      </c>
      <c r="I1291" s="3">
        <v>139.07</v>
      </c>
      <c r="J1291" s="3">
        <v>-108.54</v>
      </c>
    </row>
    <row r="1292" spans="1:10" ht="14.4" x14ac:dyDescent="0.3">
      <c r="A1292" s="3"/>
      <c r="E1292" s="3">
        <v>227.06</v>
      </c>
      <c r="F1292" s="3">
        <v>59.05</v>
      </c>
      <c r="G1292" s="3">
        <v>-90.67</v>
      </c>
      <c r="H1292" s="3">
        <v>-1.49</v>
      </c>
      <c r="I1292" s="3">
        <v>83.64</v>
      </c>
      <c r="J1292" s="3">
        <v>53.62</v>
      </c>
    </row>
    <row r="1293" spans="1:10" ht="14.4" x14ac:dyDescent="0.3">
      <c r="A1293" s="3"/>
      <c r="E1293" s="3">
        <v>298.29000000000002</v>
      </c>
      <c r="F1293" s="3">
        <v>-116.52</v>
      </c>
      <c r="G1293" s="3">
        <v>-141.9</v>
      </c>
      <c r="H1293" s="3">
        <v>0.49</v>
      </c>
      <c r="I1293" s="3">
        <v>112.85</v>
      </c>
      <c r="J1293" s="3">
        <v>-122.39</v>
      </c>
    </row>
    <row r="1294" spans="1:10" ht="14.4" x14ac:dyDescent="0.3">
      <c r="A1294" s="3"/>
      <c r="E1294" s="3">
        <v>246.03</v>
      </c>
      <c r="F1294" s="3">
        <v>41.7</v>
      </c>
      <c r="G1294" s="3">
        <v>-127.51</v>
      </c>
      <c r="H1294" s="3">
        <v>-0.71</v>
      </c>
      <c r="I1294" s="3">
        <v>109.86</v>
      </c>
      <c r="J1294" s="3">
        <v>67.459999999999994</v>
      </c>
    </row>
    <row r="1295" spans="1:10" ht="14.4" x14ac:dyDescent="0.3">
      <c r="A1295" s="3"/>
      <c r="E1295" s="3">
        <v>317.25</v>
      </c>
      <c r="F1295" s="3">
        <v>-133.87</v>
      </c>
      <c r="G1295" s="3">
        <v>-178.73</v>
      </c>
      <c r="H1295" s="3">
        <v>1.26</v>
      </c>
      <c r="I1295" s="3">
        <v>139.07</v>
      </c>
      <c r="J1295" s="3">
        <v>-108.54</v>
      </c>
    </row>
    <row r="1296" spans="1:10" ht="14.4" x14ac:dyDescent="0.3">
      <c r="A1296" s="3"/>
      <c r="E1296" s="3">
        <v>397.78</v>
      </c>
      <c r="F1296" s="3">
        <v>42.63</v>
      </c>
      <c r="G1296" s="3">
        <v>-69.17</v>
      </c>
      <c r="H1296" s="3">
        <v>1.47</v>
      </c>
      <c r="I1296" s="3">
        <v>68.52</v>
      </c>
      <c r="J1296" s="3">
        <v>39.369999999999997</v>
      </c>
    </row>
    <row r="1297" spans="1:10" ht="14.4" x14ac:dyDescent="0.3">
      <c r="A1297" s="3"/>
      <c r="E1297" s="3">
        <v>207.6</v>
      </c>
      <c r="F1297" s="3">
        <v>-47</v>
      </c>
      <c r="G1297" s="3">
        <v>-162.87</v>
      </c>
      <c r="H1297" s="3">
        <v>-1.0900000000000001</v>
      </c>
      <c r="I1297" s="3">
        <v>128.4</v>
      </c>
      <c r="J1297" s="3">
        <v>-25.88</v>
      </c>
    </row>
    <row r="1298" spans="1:10" ht="14.4" x14ac:dyDescent="0.3">
      <c r="A1298" s="3"/>
      <c r="E1298" s="3">
        <v>336.72</v>
      </c>
      <c r="F1298" s="3">
        <v>-27.82</v>
      </c>
      <c r="G1298" s="3">
        <v>-106.54</v>
      </c>
      <c r="H1298" s="3">
        <v>0.86</v>
      </c>
      <c r="I1298" s="3">
        <v>94.3</v>
      </c>
      <c r="J1298" s="3">
        <v>-29.05</v>
      </c>
    </row>
    <row r="1299" spans="1:10" ht="14.4" x14ac:dyDescent="0.3">
      <c r="A1299" s="3"/>
      <c r="E1299" s="3">
        <v>146.54</v>
      </c>
      <c r="F1299" s="3">
        <v>-117.44</v>
      </c>
      <c r="G1299" s="3">
        <v>-200.24</v>
      </c>
      <c r="H1299" s="3">
        <v>-1.7</v>
      </c>
      <c r="I1299" s="3">
        <v>154.18</v>
      </c>
      <c r="J1299" s="3">
        <v>-94.29</v>
      </c>
    </row>
    <row r="1300" spans="1:10" ht="14.4" x14ac:dyDescent="0.3">
      <c r="A1300" s="3"/>
      <c r="E1300" s="3">
        <v>432.53</v>
      </c>
      <c r="F1300" s="3">
        <v>88.04</v>
      </c>
      <c r="G1300" s="3">
        <v>-75</v>
      </c>
      <c r="H1300" s="3">
        <v>1.26</v>
      </c>
      <c r="I1300" s="3">
        <v>72.989999999999995</v>
      </c>
      <c r="J1300" s="3">
        <v>91.98</v>
      </c>
    </row>
    <row r="1301" spans="1:10" ht="14.4" x14ac:dyDescent="0.3">
      <c r="A1301" s="3"/>
      <c r="E1301" s="3">
        <v>142.49</v>
      </c>
      <c r="F1301" s="3">
        <v>-132.08000000000001</v>
      </c>
      <c r="G1301" s="3">
        <v>-151.94999999999999</v>
      </c>
      <c r="H1301" s="3">
        <v>-0.68</v>
      </c>
      <c r="I1301" s="3">
        <v>120.04</v>
      </c>
      <c r="J1301" s="3">
        <v>-124.46</v>
      </c>
    </row>
    <row r="1302" spans="1:10" ht="14.4" x14ac:dyDescent="0.3">
      <c r="A1302" s="3"/>
      <c r="E1302" s="3">
        <v>401.83</v>
      </c>
      <c r="F1302" s="3">
        <v>57.26</v>
      </c>
      <c r="G1302" s="3">
        <v>-117.46</v>
      </c>
      <c r="H1302" s="3">
        <v>0.46</v>
      </c>
      <c r="I1302" s="3">
        <v>102.66</v>
      </c>
      <c r="J1302" s="3">
        <v>69.540000000000006</v>
      </c>
    </row>
    <row r="1303" spans="1:10" ht="14.4" x14ac:dyDescent="0.3">
      <c r="A1303" s="3"/>
      <c r="E1303" s="3">
        <v>111.79</v>
      </c>
      <c r="F1303" s="3">
        <v>-162.85</v>
      </c>
      <c r="G1303" s="3">
        <v>-194.41</v>
      </c>
      <c r="H1303" s="3">
        <v>-1.48</v>
      </c>
      <c r="I1303" s="3">
        <v>149.72</v>
      </c>
      <c r="J1303" s="3">
        <v>-146.91</v>
      </c>
    </row>
    <row r="1304" spans="1:10" ht="14.4" x14ac:dyDescent="0.3">
      <c r="A1304" s="3"/>
      <c r="E1304" s="3">
        <v>198.75</v>
      </c>
      <c r="F1304" s="3">
        <v>21.91</v>
      </c>
      <c r="G1304" s="3">
        <v>-50.14</v>
      </c>
      <c r="H1304" s="3">
        <v>-1.67</v>
      </c>
      <c r="I1304" s="3">
        <v>50.51</v>
      </c>
      <c r="J1304" s="3">
        <v>-20.46</v>
      </c>
    </row>
    <row r="1305" spans="1:10" ht="14.4" x14ac:dyDescent="0.3">
      <c r="A1305" s="3"/>
      <c r="E1305" s="3">
        <v>163.04</v>
      </c>
      <c r="F1305" s="3">
        <v>-22.41</v>
      </c>
      <c r="G1305" s="3">
        <v>-120.75</v>
      </c>
      <c r="H1305" s="3">
        <v>0.96</v>
      </c>
      <c r="I1305" s="3">
        <v>95.26</v>
      </c>
      <c r="J1305" s="3">
        <v>34.549999999999997</v>
      </c>
    </row>
    <row r="1306" spans="1:10" ht="14.4" x14ac:dyDescent="0.3">
      <c r="A1306" s="3"/>
      <c r="E1306" s="3">
        <v>247.51</v>
      </c>
      <c r="F1306" s="3">
        <v>-35</v>
      </c>
      <c r="G1306" s="3">
        <v>-79.69</v>
      </c>
      <c r="H1306" s="3">
        <v>-1.0900000000000001</v>
      </c>
      <c r="I1306" s="3">
        <v>70.849999999999994</v>
      </c>
      <c r="J1306" s="3">
        <v>-76.58</v>
      </c>
    </row>
    <row r="1307" spans="1:10" ht="14.4" x14ac:dyDescent="0.3">
      <c r="A1307" s="3"/>
      <c r="E1307" s="3">
        <v>211.8</v>
      </c>
      <c r="F1307" s="3">
        <v>-79.31</v>
      </c>
      <c r="G1307" s="3">
        <v>-150.29</v>
      </c>
      <c r="H1307" s="3">
        <v>1.54</v>
      </c>
      <c r="I1307" s="3">
        <v>115.6</v>
      </c>
      <c r="J1307" s="3">
        <v>-21.57</v>
      </c>
    </row>
    <row r="1308" spans="1:10" ht="14.4" x14ac:dyDescent="0.3">
      <c r="A1308" s="3"/>
      <c r="E1308" s="3">
        <v>198.75</v>
      </c>
      <c r="F1308" s="3">
        <v>21.91</v>
      </c>
      <c r="G1308" s="3">
        <v>-50.14</v>
      </c>
      <c r="H1308" s="3">
        <v>-1.67</v>
      </c>
      <c r="I1308" s="3">
        <v>50.51</v>
      </c>
      <c r="J1308" s="3">
        <v>-20.46</v>
      </c>
    </row>
    <row r="1309" spans="1:10" ht="14.4" x14ac:dyDescent="0.3">
      <c r="A1309" s="3"/>
      <c r="E1309" s="3">
        <v>163.04</v>
      </c>
      <c r="F1309" s="3">
        <v>-22.41</v>
      </c>
      <c r="G1309" s="3">
        <v>-120.75</v>
      </c>
      <c r="H1309" s="3">
        <v>0.96</v>
      </c>
      <c r="I1309" s="3">
        <v>95.26</v>
      </c>
      <c r="J1309" s="3">
        <v>34.549999999999997</v>
      </c>
    </row>
    <row r="1310" spans="1:10" ht="14.4" x14ac:dyDescent="0.3">
      <c r="A1310" s="3"/>
      <c r="E1310" s="3">
        <v>247.51</v>
      </c>
      <c r="F1310" s="3">
        <v>-35</v>
      </c>
      <c r="G1310" s="3">
        <v>-79.69</v>
      </c>
      <c r="H1310" s="3">
        <v>-1.0900000000000001</v>
      </c>
      <c r="I1310" s="3">
        <v>70.849999999999994</v>
      </c>
      <c r="J1310" s="3">
        <v>-76.58</v>
      </c>
    </row>
    <row r="1311" spans="1:10" ht="14.4" x14ac:dyDescent="0.3">
      <c r="A1311" s="3"/>
      <c r="E1311" s="3">
        <v>211.8</v>
      </c>
      <c r="F1311" s="3">
        <v>-79.31</v>
      </c>
      <c r="G1311" s="3">
        <v>-150.29</v>
      </c>
      <c r="H1311" s="3">
        <v>1.54</v>
      </c>
      <c r="I1311" s="3">
        <v>115.6</v>
      </c>
      <c r="J1311" s="3">
        <v>-21.57</v>
      </c>
    </row>
    <row r="1312" spans="1:10" ht="14.4" x14ac:dyDescent="0.3">
      <c r="A1312" s="3"/>
      <c r="E1312" s="3">
        <v>164.64</v>
      </c>
      <c r="F1312" s="3">
        <v>67.180000000000007</v>
      </c>
      <c r="G1312" s="3">
        <v>-58.49</v>
      </c>
      <c r="H1312" s="3">
        <v>-1.44</v>
      </c>
      <c r="I1312" s="3">
        <v>57.23</v>
      </c>
      <c r="J1312" s="3">
        <v>59.63</v>
      </c>
    </row>
    <row r="1313" spans="1:10" ht="14.4" x14ac:dyDescent="0.3">
      <c r="A1313" s="3"/>
      <c r="E1313" s="3">
        <v>226.94</v>
      </c>
      <c r="F1313" s="3">
        <v>-107.23</v>
      </c>
      <c r="G1313" s="3">
        <v>-105.11</v>
      </c>
      <c r="H1313" s="3">
        <v>0.54</v>
      </c>
      <c r="I1313" s="3">
        <v>82.66</v>
      </c>
      <c r="J1313" s="3">
        <v>-115.51</v>
      </c>
    </row>
    <row r="1314" spans="1:10" ht="14.4" x14ac:dyDescent="0.3">
      <c r="A1314" s="3"/>
      <c r="E1314" s="3">
        <v>183.61</v>
      </c>
      <c r="F1314" s="3">
        <v>49.83</v>
      </c>
      <c r="G1314" s="3">
        <v>-95.32</v>
      </c>
      <c r="H1314" s="3">
        <v>-0.67</v>
      </c>
      <c r="I1314" s="3">
        <v>83.45</v>
      </c>
      <c r="J1314" s="3">
        <v>73.48</v>
      </c>
    </row>
    <row r="1315" spans="1:10" ht="14.4" x14ac:dyDescent="0.3">
      <c r="A1315" s="3"/>
      <c r="E1315" s="3">
        <v>245.91</v>
      </c>
      <c r="F1315" s="3">
        <v>-124.58</v>
      </c>
      <c r="G1315" s="3">
        <v>-141.94999999999999</v>
      </c>
      <c r="H1315" s="3">
        <v>1.32</v>
      </c>
      <c r="I1315" s="3">
        <v>108.88</v>
      </c>
      <c r="J1315" s="3">
        <v>-101.66</v>
      </c>
    </row>
    <row r="1316" spans="1:10" ht="14.4" x14ac:dyDescent="0.3">
      <c r="A1316" s="3"/>
      <c r="E1316" s="3">
        <v>164.64</v>
      </c>
      <c r="F1316" s="3">
        <v>67.180000000000007</v>
      </c>
      <c r="G1316" s="3">
        <v>-58.49</v>
      </c>
      <c r="H1316" s="3">
        <v>-1.44</v>
      </c>
      <c r="I1316" s="3">
        <v>57.23</v>
      </c>
      <c r="J1316" s="3">
        <v>59.63</v>
      </c>
    </row>
    <row r="1317" spans="1:10" ht="14.4" x14ac:dyDescent="0.3">
      <c r="A1317" s="3"/>
      <c r="E1317" s="3">
        <v>226.94</v>
      </c>
      <c r="F1317" s="3">
        <v>-107.23</v>
      </c>
      <c r="G1317" s="3">
        <v>-105.11</v>
      </c>
      <c r="H1317" s="3">
        <v>0.54</v>
      </c>
      <c r="I1317" s="3">
        <v>82.66</v>
      </c>
      <c r="J1317" s="3">
        <v>-115.51</v>
      </c>
    </row>
    <row r="1318" spans="1:10" ht="14.4" x14ac:dyDescent="0.3">
      <c r="A1318" s="3"/>
      <c r="E1318" s="3">
        <v>183.61</v>
      </c>
      <c r="F1318" s="3">
        <v>49.83</v>
      </c>
      <c r="G1318" s="3">
        <v>-95.32</v>
      </c>
      <c r="H1318" s="3">
        <v>-0.67</v>
      </c>
      <c r="I1318" s="3">
        <v>83.45</v>
      </c>
      <c r="J1318" s="3">
        <v>73.48</v>
      </c>
    </row>
    <row r="1319" spans="1:10" ht="14.4" x14ac:dyDescent="0.3">
      <c r="A1319" s="3"/>
      <c r="E1319" s="3">
        <v>245.91</v>
      </c>
      <c r="F1319" s="3">
        <v>-124.58</v>
      </c>
      <c r="G1319" s="3">
        <v>-141.94999999999999</v>
      </c>
      <c r="H1319" s="3">
        <v>1.32</v>
      </c>
      <c r="I1319" s="3">
        <v>108.88</v>
      </c>
      <c r="J1319" s="3">
        <v>-101.66</v>
      </c>
    </row>
    <row r="1320" spans="1:10" ht="14.4" x14ac:dyDescent="0.3">
      <c r="A1320" s="3"/>
      <c r="E1320" s="3">
        <v>335.36</v>
      </c>
      <c r="F1320" s="3">
        <v>50.75</v>
      </c>
      <c r="G1320" s="3">
        <v>-36.979999999999997</v>
      </c>
      <c r="H1320" s="3">
        <v>1.52</v>
      </c>
      <c r="I1320" s="3">
        <v>42.11</v>
      </c>
      <c r="J1320" s="3">
        <v>45.38</v>
      </c>
    </row>
    <row r="1321" spans="1:10" ht="14.4" x14ac:dyDescent="0.3">
      <c r="A1321" s="3"/>
      <c r="E1321" s="3">
        <v>136.26</v>
      </c>
      <c r="F1321" s="3">
        <v>-37.71</v>
      </c>
      <c r="G1321" s="3">
        <v>-126.09</v>
      </c>
      <c r="H1321" s="3">
        <v>-1.04</v>
      </c>
      <c r="I1321" s="3">
        <v>98.22</v>
      </c>
      <c r="J1321" s="3">
        <v>-19</v>
      </c>
    </row>
    <row r="1322" spans="1:10" ht="14.4" x14ac:dyDescent="0.3">
      <c r="A1322" s="3"/>
      <c r="E1322" s="3">
        <v>274.29000000000002</v>
      </c>
      <c r="F1322" s="3">
        <v>-19.690000000000001</v>
      </c>
      <c r="G1322" s="3">
        <v>-74.349999999999994</v>
      </c>
      <c r="H1322" s="3">
        <v>0.91</v>
      </c>
      <c r="I1322" s="3">
        <v>67.89</v>
      </c>
      <c r="J1322" s="3">
        <v>-23.03</v>
      </c>
    </row>
    <row r="1323" spans="1:10" ht="14.4" x14ac:dyDescent="0.3">
      <c r="A1323" s="3"/>
      <c r="E1323" s="3">
        <v>75.19</v>
      </c>
      <c r="F1323" s="3">
        <v>-108.16</v>
      </c>
      <c r="G1323" s="3">
        <v>-163.46</v>
      </c>
      <c r="H1323" s="3">
        <v>-1.65</v>
      </c>
      <c r="I1323" s="3">
        <v>124</v>
      </c>
      <c r="J1323" s="3">
        <v>-87.41</v>
      </c>
    </row>
    <row r="1324" spans="1:10" ht="14.4" x14ac:dyDescent="0.3">
      <c r="A1324" s="3"/>
      <c r="E1324" s="3">
        <v>370.11</v>
      </c>
      <c r="F1324" s="3">
        <v>96.16</v>
      </c>
      <c r="G1324" s="3">
        <v>-42.81</v>
      </c>
      <c r="H1324" s="3">
        <v>1.3</v>
      </c>
      <c r="I1324" s="3">
        <v>46.58</v>
      </c>
      <c r="J1324" s="3">
        <v>98</v>
      </c>
    </row>
    <row r="1325" spans="1:10" ht="14.4" x14ac:dyDescent="0.3">
      <c r="A1325" s="3"/>
      <c r="E1325" s="3">
        <v>71.150000000000006</v>
      </c>
      <c r="F1325" s="3">
        <v>-122.79</v>
      </c>
      <c r="G1325" s="3">
        <v>-115.16</v>
      </c>
      <c r="H1325" s="3">
        <v>-0.63</v>
      </c>
      <c r="I1325" s="3">
        <v>89.86</v>
      </c>
      <c r="J1325" s="3">
        <v>-117.58</v>
      </c>
    </row>
    <row r="1326" spans="1:10" ht="14.4" x14ac:dyDescent="0.3">
      <c r="A1326" s="3"/>
      <c r="E1326" s="3">
        <v>339.4</v>
      </c>
      <c r="F1326" s="3">
        <v>65.39</v>
      </c>
      <c r="G1326" s="3">
        <v>-85.27</v>
      </c>
      <c r="H1326" s="3">
        <v>0.5</v>
      </c>
      <c r="I1326" s="3">
        <v>76.25</v>
      </c>
      <c r="J1326" s="3">
        <v>75.55</v>
      </c>
    </row>
    <row r="1327" spans="1:10" ht="14.4" x14ac:dyDescent="0.3">
      <c r="A1327" s="3"/>
      <c r="E1327" s="3">
        <v>241.31</v>
      </c>
      <c r="F1327" s="3">
        <v>78.16</v>
      </c>
      <c r="G1327" s="3">
        <v>-34.700000000000003</v>
      </c>
      <c r="H1327" s="3">
        <v>0.57999999999999996</v>
      </c>
      <c r="I1327" s="3">
        <v>34.75</v>
      </c>
      <c r="J1327" s="3">
        <v>85.01</v>
      </c>
    </row>
    <row r="1328" spans="1:10" ht="14.4" x14ac:dyDescent="0.3">
      <c r="A1328" s="3"/>
      <c r="E1328" s="3">
        <v>202.28</v>
      </c>
      <c r="F1328" s="3">
        <v>26.52</v>
      </c>
      <c r="G1328" s="3">
        <v>1.01</v>
      </c>
      <c r="H1328" s="3">
        <v>-2.98</v>
      </c>
      <c r="I1328" s="3">
        <v>14.75</v>
      </c>
      <c r="J1328" s="3">
        <v>-78.48</v>
      </c>
    </row>
    <row r="1329" spans="1:10" ht="14.4" x14ac:dyDescent="0.3">
      <c r="A1329" s="3"/>
      <c r="E1329" s="3">
        <v>342.04</v>
      </c>
      <c r="F1329" s="3">
        <v>-101.34</v>
      </c>
      <c r="G1329" s="3">
        <v>-270.42</v>
      </c>
      <c r="H1329" s="3">
        <v>2.75</v>
      </c>
      <c r="I1329" s="3">
        <v>207.96</v>
      </c>
      <c r="J1329" s="3">
        <v>23.56</v>
      </c>
    </row>
    <row r="1330" spans="1:10" ht="14.4" x14ac:dyDescent="0.3">
      <c r="A1330" s="3"/>
      <c r="E1330" s="3">
        <v>92.51</v>
      </c>
      <c r="F1330" s="3">
        <v>172.23</v>
      </c>
      <c r="G1330" s="3">
        <v>-25.84</v>
      </c>
      <c r="H1330" s="3">
        <v>-2.25</v>
      </c>
      <c r="I1330" s="3">
        <v>36.380000000000003</v>
      </c>
      <c r="J1330" s="3">
        <v>179.29</v>
      </c>
    </row>
    <row r="1331" spans="1:10" ht="14.4" x14ac:dyDescent="0.3">
      <c r="A1331" s="3"/>
      <c r="E1331" s="3">
        <v>451.81</v>
      </c>
      <c r="F1331" s="3">
        <v>-247.05</v>
      </c>
      <c r="G1331" s="3">
        <v>-243.57</v>
      </c>
      <c r="H1331" s="3">
        <v>2.0299999999999998</v>
      </c>
      <c r="I1331" s="3">
        <v>186.32</v>
      </c>
      <c r="J1331" s="3">
        <v>-234.21</v>
      </c>
    </row>
    <row r="1332" spans="1:10" ht="14.4" x14ac:dyDescent="0.3">
      <c r="A1332" s="3"/>
      <c r="E1332" s="3">
        <v>202.28</v>
      </c>
      <c r="F1332" s="3">
        <v>26.52</v>
      </c>
      <c r="G1332" s="3">
        <v>1.01</v>
      </c>
      <c r="H1332" s="3">
        <v>-2.98</v>
      </c>
      <c r="I1332" s="3">
        <v>14.75</v>
      </c>
      <c r="J1332" s="3">
        <v>-78.48</v>
      </c>
    </row>
    <row r="1333" spans="1:10" ht="14.4" x14ac:dyDescent="0.3">
      <c r="A1333" s="3"/>
      <c r="E1333" s="3">
        <v>342.04</v>
      </c>
      <c r="F1333" s="3">
        <v>-101.34</v>
      </c>
      <c r="G1333" s="3">
        <v>-270.42</v>
      </c>
      <c r="H1333" s="3">
        <v>2.75</v>
      </c>
      <c r="I1333" s="3">
        <v>207.96</v>
      </c>
      <c r="J1333" s="3">
        <v>23.56</v>
      </c>
    </row>
    <row r="1334" spans="1:10" ht="14.4" x14ac:dyDescent="0.3">
      <c r="A1334" s="3"/>
      <c r="E1334" s="3">
        <v>92.51</v>
      </c>
      <c r="F1334" s="3">
        <v>172.23</v>
      </c>
      <c r="G1334" s="3">
        <v>-25.84</v>
      </c>
      <c r="H1334" s="3">
        <v>-2.25</v>
      </c>
      <c r="I1334" s="3">
        <v>36.380000000000003</v>
      </c>
      <c r="J1334" s="3">
        <v>179.29</v>
      </c>
    </row>
    <row r="1335" spans="1:10" ht="14.4" x14ac:dyDescent="0.3">
      <c r="A1335" s="3"/>
      <c r="E1335" s="3">
        <v>451.81</v>
      </c>
      <c r="F1335" s="3">
        <v>-247.05</v>
      </c>
      <c r="G1335" s="3">
        <v>-243.57</v>
      </c>
      <c r="H1335" s="3">
        <v>2.0299999999999998</v>
      </c>
      <c r="I1335" s="3">
        <v>186.32</v>
      </c>
      <c r="J1335" s="3">
        <v>-234.21</v>
      </c>
    </row>
    <row r="1336" spans="1:10" ht="14.4" x14ac:dyDescent="0.3">
      <c r="A1336" s="3"/>
      <c r="E1336" s="3">
        <v>130.78</v>
      </c>
      <c r="F1336" s="3">
        <v>37.81</v>
      </c>
      <c r="G1336" s="3">
        <v>32.270000000000003</v>
      </c>
      <c r="H1336" s="3">
        <v>-3.01</v>
      </c>
      <c r="I1336" s="3">
        <v>-11.71</v>
      </c>
      <c r="J1336" s="3">
        <v>-70.36</v>
      </c>
    </row>
    <row r="1337" spans="1:10" ht="14.4" x14ac:dyDescent="0.3">
      <c r="A1337" s="3"/>
      <c r="E1337" s="3">
        <v>270.52999999999997</v>
      </c>
      <c r="F1337" s="3">
        <v>-90.05</v>
      </c>
      <c r="G1337" s="3">
        <v>-239.16</v>
      </c>
      <c r="H1337" s="3">
        <v>2.71</v>
      </c>
      <c r="I1337" s="3">
        <v>181.5</v>
      </c>
      <c r="J1337" s="3">
        <v>31.68</v>
      </c>
    </row>
    <row r="1338" spans="1:10" ht="14.4" x14ac:dyDescent="0.3">
      <c r="A1338" s="3"/>
      <c r="E1338" s="3">
        <v>21</v>
      </c>
      <c r="F1338" s="3">
        <v>183.52</v>
      </c>
      <c r="G1338" s="3">
        <v>5.42</v>
      </c>
      <c r="H1338" s="3">
        <v>-2.29</v>
      </c>
      <c r="I1338" s="3">
        <v>9.92</v>
      </c>
      <c r="J1338" s="3">
        <v>187.41</v>
      </c>
    </row>
    <row r="1339" spans="1:10" ht="14.4" x14ac:dyDescent="0.3">
      <c r="A1339" s="3"/>
      <c r="E1339" s="3">
        <v>380.3</v>
      </c>
      <c r="F1339" s="3">
        <v>-235.76</v>
      </c>
      <c r="G1339" s="3">
        <v>-212.31</v>
      </c>
      <c r="H1339" s="3">
        <v>1.99</v>
      </c>
      <c r="I1339" s="3">
        <v>159.86000000000001</v>
      </c>
      <c r="J1339" s="3">
        <v>-226.09</v>
      </c>
    </row>
    <row r="1340" spans="1:10" ht="14.4" x14ac:dyDescent="0.3">
      <c r="A1340" s="3"/>
      <c r="E1340" s="3">
        <v>130.78</v>
      </c>
      <c r="F1340" s="3">
        <v>37.81</v>
      </c>
      <c r="G1340" s="3">
        <v>32.270000000000003</v>
      </c>
      <c r="H1340" s="3">
        <v>-3.01</v>
      </c>
      <c r="I1340" s="3">
        <v>-11.71</v>
      </c>
      <c r="J1340" s="3">
        <v>-70.36</v>
      </c>
    </row>
    <row r="1341" spans="1:10" ht="14.4" x14ac:dyDescent="0.3">
      <c r="A1341" s="3"/>
      <c r="E1341" s="3">
        <v>270.52999999999997</v>
      </c>
      <c r="F1341" s="3">
        <v>-90.05</v>
      </c>
      <c r="G1341" s="3">
        <v>-239.16</v>
      </c>
      <c r="H1341" s="3">
        <v>2.71</v>
      </c>
      <c r="I1341" s="3">
        <v>181.5</v>
      </c>
      <c r="J1341" s="3">
        <v>31.68</v>
      </c>
    </row>
    <row r="1342" spans="1:10" ht="14.4" x14ac:dyDescent="0.3">
      <c r="A1342" s="3"/>
      <c r="E1342" s="3">
        <v>21</v>
      </c>
      <c r="F1342" s="3">
        <v>183.52</v>
      </c>
      <c r="G1342" s="3">
        <v>5.42</v>
      </c>
      <c r="H1342" s="3">
        <v>-2.29</v>
      </c>
      <c r="I1342" s="3">
        <v>9.92</v>
      </c>
      <c r="J1342" s="3">
        <v>187.41</v>
      </c>
    </row>
    <row r="1343" spans="1:10" ht="14.4" x14ac:dyDescent="0.3">
      <c r="A1343" s="3"/>
      <c r="E1343" s="3">
        <v>380.3</v>
      </c>
      <c r="F1343" s="3">
        <v>-235.76</v>
      </c>
      <c r="G1343" s="3">
        <v>-212.31</v>
      </c>
      <c r="H1343" s="3">
        <v>1.99</v>
      </c>
      <c r="I1343" s="3">
        <v>159.86000000000001</v>
      </c>
      <c r="J1343" s="3">
        <v>-226.09</v>
      </c>
    </row>
    <row r="1344" spans="1:10" ht="14.4" x14ac:dyDescent="0.3">
      <c r="A1344" s="3"/>
      <c r="E1344" s="3">
        <v>320.06</v>
      </c>
      <c r="F1344" s="3">
        <v>-40.630000000000003</v>
      </c>
      <c r="G1344" s="3">
        <v>-160.91999999999999</v>
      </c>
      <c r="H1344" s="3">
        <v>-0.23</v>
      </c>
      <c r="I1344" s="3">
        <v>-28.86</v>
      </c>
      <c r="J1344" s="3">
        <v>10.55</v>
      </c>
    </row>
    <row r="1345" spans="1:10" ht="14.4" x14ac:dyDescent="0.3">
      <c r="A1345" s="3"/>
      <c r="E1345" s="3">
        <v>292.45</v>
      </c>
      <c r="F1345" s="3">
        <v>-41.45</v>
      </c>
      <c r="G1345" s="3">
        <v>-136.37</v>
      </c>
      <c r="H1345" s="3">
        <v>-0.06</v>
      </c>
      <c r="I1345" s="3">
        <v>-23.61</v>
      </c>
      <c r="J1345" s="3">
        <v>10.44</v>
      </c>
    </row>
    <row r="1346" spans="1:10" ht="14.4" x14ac:dyDescent="0.3">
      <c r="A1346" s="3"/>
      <c r="E1346" s="3">
        <v>346.66</v>
      </c>
      <c r="F1346" s="3">
        <v>-49.93</v>
      </c>
      <c r="G1346" s="3">
        <v>-164.84</v>
      </c>
      <c r="H1346" s="3">
        <v>-0.12</v>
      </c>
      <c r="I1346" s="3">
        <v>-32.94</v>
      </c>
      <c r="J1346" s="3">
        <v>11.54</v>
      </c>
    </row>
    <row r="1347" spans="1:10" ht="14.4" x14ac:dyDescent="0.3">
      <c r="A1347" s="3"/>
      <c r="E1347" s="3">
        <v>279.95999999999998</v>
      </c>
      <c r="F1347" s="3">
        <v>-38.67</v>
      </c>
      <c r="G1347" s="3">
        <v>-135.09</v>
      </c>
      <c r="H1347" s="3">
        <v>-0.1</v>
      </c>
      <c r="I1347" s="3">
        <v>-23.47</v>
      </c>
      <c r="J1347" s="3">
        <v>9.86</v>
      </c>
    </row>
    <row r="1348" spans="1:10" ht="14.4" x14ac:dyDescent="0.3">
      <c r="A1348" s="3"/>
      <c r="E1348" s="3">
        <v>453.43</v>
      </c>
      <c r="F1348" s="3">
        <v>-65.83</v>
      </c>
      <c r="G1348" s="3">
        <v>-226.18</v>
      </c>
      <c r="H1348" s="3">
        <v>-0.28999999999999998</v>
      </c>
      <c r="I1348" s="3">
        <v>-53.34</v>
      </c>
      <c r="J1348" s="3">
        <v>13.38</v>
      </c>
    </row>
    <row r="1349" spans="1:10" ht="14.4" x14ac:dyDescent="0.3">
      <c r="A1349" s="3"/>
      <c r="E1349" s="3">
        <v>271.01</v>
      </c>
      <c r="F1349" s="3">
        <v>-32.86</v>
      </c>
      <c r="G1349" s="3">
        <v>-134.88999999999999</v>
      </c>
      <c r="H1349" s="3">
        <v>-0.19</v>
      </c>
      <c r="I1349" s="3">
        <v>-23.49</v>
      </c>
      <c r="J1349" s="3">
        <v>8.83</v>
      </c>
    </row>
    <row r="1350" spans="1:10" ht="14.4" x14ac:dyDescent="0.3">
      <c r="A1350" s="3"/>
      <c r="E1350" s="3">
        <v>268.95</v>
      </c>
      <c r="F1350" s="3">
        <v>-28.44</v>
      </c>
      <c r="G1350" s="3">
        <v>-133.97999999999999</v>
      </c>
      <c r="H1350" s="3">
        <v>-0.25</v>
      </c>
      <c r="I1350" s="3">
        <v>-23.37</v>
      </c>
      <c r="J1350" s="3">
        <v>8.32</v>
      </c>
    </row>
    <row r="1351" spans="1:10" ht="14.4" x14ac:dyDescent="0.3">
      <c r="A1351" s="3"/>
      <c r="E1351" s="3">
        <v>273.83999999999997</v>
      </c>
      <c r="F1351" s="3">
        <v>-33.909999999999997</v>
      </c>
      <c r="G1351" s="3">
        <v>-137.65</v>
      </c>
      <c r="H1351" s="3">
        <v>-0.22</v>
      </c>
      <c r="I1351" s="3">
        <v>-24.78</v>
      </c>
      <c r="J1351" s="3">
        <v>9.18</v>
      </c>
    </row>
    <row r="1352" spans="1:10" ht="14.4" x14ac:dyDescent="0.3">
      <c r="A1352" s="3"/>
      <c r="E1352" s="3">
        <v>275.92</v>
      </c>
      <c r="F1352" s="3">
        <v>-36.82</v>
      </c>
      <c r="G1352" s="3">
        <v>-138.77000000000001</v>
      </c>
      <c r="H1352" s="3">
        <v>-0.19</v>
      </c>
      <c r="I1352" s="3">
        <v>-25.08</v>
      </c>
      <c r="J1352" s="3">
        <v>9.1999999999999993</v>
      </c>
    </row>
    <row r="1353" spans="1:10" ht="14.4" x14ac:dyDescent="0.3">
      <c r="A1353" s="3"/>
      <c r="E1353" s="3">
        <v>275.38</v>
      </c>
      <c r="F1353" s="3">
        <v>-35.47</v>
      </c>
      <c r="G1353" s="3">
        <v>-139.35</v>
      </c>
      <c r="H1353" s="3">
        <v>-0.15</v>
      </c>
      <c r="I1353" s="3">
        <v>-25.23</v>
      </c>
      <c r="J1353" s="3">
        <v>10.34</v>
      </c>
    </row>
    <row r="1354" spans="1:10" ht="14.4" x14ac:dyDescent="0.3">
      <c r="A1354" s="3"/>
      <c r="E1354" s="3">
        <v>279.27</v>
      </c>
      <c r="F1354" s="3">
        <v>-40.090000000000003</v>
      </c>
      <c r="G1354" s="3">
        <v>-141.94</v>
      </c>
      <c r="H1354" s="3">
        <v>-0.13</v>
      </c>
      <c r="I1354" s="3">
        <v>-26.07</v>
      </c>
      <c r="J1354" s="3">
        <v>10.07</v>
      </c>
    </row>
    <row r="1355" spans="1:10" ht="14.4" x14ac:dyDescent="0.3">
      <c r="A1355" s="3"/>
      <c r="E1355" s="3">
        <v>278.47000000000003</v>
      </c>
      <c r="F1355" s="3">
        <v>-40.630000000000003</v>
      </c>
      <c r="G1355" s="3">
        <v>-139.87</v>
      </c>
      <c r="H1355" s="3">
        <v>-0.14000000000000001</v>
      </c>
      <c r="I1355" s="3">
        <v>-25.36</v>
      </c>
      <c r="J1355" s="3">
        <v>9.16</v>
      </c>
    </row>
    <row r="1356" spans="1:10" ht="14.4" x14ac:dyDescent="0.3">
      <c r="A1356" s="3"/>
      <c r="E1356" s="3">
        <v>282.83999999999997</v>
      </c>
      <c r="F1356" s="3">
        <v>-43.93</v>
      </c>
      <c r="G1356" s="3">
        <v>-144.24</v>
      </c>
      <c r="H1356" s="3">
        <v>-0.12</v>
      </c>
      <c r="I1356" s="3">
        <v>-26.86</v>
      </c>
      <c r="J1356" s="3">
        <v>9.98</v>
      </c>
    </row>
    <row r="1357" spans="1:10" ht="14.4" x14ac:dyDescent="0.3">
      <c r="A1357" s="3"/>
      <c r="E1357" s="3">
        <v>279.66000000000003</v>
      </c>
      <c r="F1357" s="3">
        <v>-39.32</v>
      </c>
      <c r="G1357" s="3">
        <v>-141.74</v>
      </c>
      <c r="H1357" s="3">
        <v>-0.19</v>
      </c>
      <c r="I1357" s="3">
        <v>-26.23</v>
      </c>
      <c r="J1357" s="3">
        <v>9.09</v>
      </c>
    </row>
    <row r="1358" spans="1:10" ht="14.4" x14ac:dyDescent="0.3">
      <c r="A1358" s="3"/>
      <c r="E1358" s="3">
        <v>281.73</v>
      </c>
      <c r="F1358" s="3">
        <v>-43.74</v>
      </c>
      <c r="G1358" s="3">
        <v>-142.65</v>
      </c>
      <c r="H1358" s="3">
        <v>-0.12</v>
      </c>
      <c r="I1358" s="3">
        <v>-26.34</v>
      </c>
      <c r="J1358" s="3">
        <v>9.59</v>
      </c>
    </row>
    <row r="1359" spans="1:10" ht="14.4" x14ac:dyDescent="0.3">
      <c r="A1359" s="3"/>
      <c r="E1359" s="3">
        <v>276.83</v>
      </c>
      <c r="F1359" s="3">
        <v>-38.270000000000003</v>
      </c>
      <c r="G1359" s="3">
        <v>-138.97</v>
      </c>
      <c r="H1359" s="3">
        <v>-0.16</v>
      </c>
      <c r="I1359" s="3">
        <v>-24.94</v>
      </c>
      <c r="J1359" s="3">
        <v>8.74</v>
      </c>
    </row>
    <row r="1360" spans="1:10" ht="14.4" x14ac:dyDescent="0.3">
      <c r="A1360" s="3"/>
      <c r="E1360" s="3">
        <v>274.76</v>
      </c>
      <c r="F1360" s="3">
        <v>-35.369999999999997</v>
      </c>
      <c r="G1360" s="3">
        <v>-137.86000000000001</v>
      </c>
      <c r="H1360" s="3">
        <v>-0.18</v>
      </c>
      <c r="I1360" s="3">
        <v>-24.63</v>
      </c>
      <c r="J1360" s="3">
        <v>8.7100000000000009</v>
      </c>
    </row>
    <row r="1361" spans="1:10" ht="14.4" x14ac:dyDescent="0.3">
      <c r="A1361" s="3"/>
      <c r="E1361" s="3">
        <v>275.3</v>
      </c>
      <c r="F1361" s="3">
        <v>-36.71</v>
      </c>
      <c r="G1361" s="3">
        <v>-137.28</v>
      </c>
      <c r="H1361" s="3">
        <v>-0.22</v>
      </c>
      <c r="I1361" s="3">
        <v>-24.49</v>
      </c>
      <c r="J1361" s="3">
        <v>7.58</v>
      </c>
    </row>
    <row r="1362" spans="1:10" ht="14.4" x14ac:dyDescent="0.3">
      <c r="A1362" s="3"/>
      <c r="E1362" s="3">
        <v>271.41000000000003</v>
      </c>
      <c r="F1362" s="3">
        <v>-32.090000000000003</v>
      </c>
      <c r="G1362" s="3">
        <v>-134.69</v>
      </c>
      <c r="H1362" s="3">
        <v>-0.24</v>
      </c>
      <c r="I1362" s="3">
        <v>-23.65</v>
      </c>
      <c r="J1362" s="3">
        <v>7.84</v>
      </c>
    </row>
    <row r="1363" spans="1:10" ht="14.4" x14ac:dyDescent="0.3">
      <c r="A1363" s="3"/>
      <c r="E1363" s="3">
        <v>272.20999999999998</v>
      </c>
      <c r="F1363" s="3">
        <v>-31.56</v>
      </c>
      <c r="G1363" s="3">
        <v>-136.76</v>
      </c>
      <c r="H1363" s="3">
        <v>-0.23</v>
      </c>
      <c r="I1363" s="3">
        <v>-24.36</v>
      </c>
      <c r="J1363" s="3">
        <v>8.75</v>
      </c>
    </row>
    <row r="1364" spans="1:10" ht="14.4" x14ac:dyDescent="0.3">
      <c r="A1364" s="3"/>
      <c r="E1364" s="3">
        <v>267.83999999999997</v>
      </c>
      <c r="F1364" s="3">
        <v>-28.25</v>
      </c>
      <c r="G1364" s="3">
        <v>-132.38999999999999</v>
      </c>
      <c r="H1364" s="3">
        <v>-0.26</v>
      </c>
      <c r="I1364" s="3">
        <v>-22.85</v>
      </c>
      <c r="J1364" s="3">
        <v>7.93</v>
      </c>
    </row>
    <row r="1365" spans="1:10" ht="14.4" x14ac:dyDescent="0.3">
      <c r="A1365" s="3"/>
      <c r="E1365" s="3">
        <v>444.48</v>
      </c>
      <c r="F1365" s="3">
        <v>-60.02</v>
      </c>
      <c r="G1365" s="3">
        <v>-225.98</v>
      </c>
      <c r="H1365" s="3">
        <v>-0.38</v>
      </c>
      <c r="I1365" s="3">
        <v>-53.36</v>
      </c>
      <c r="J1365" s="3">
        <v>12.35</v>
      </c>
    </row>
    <row r="1366" spans="1:10" ht="14.4" x14ac:dyDescent="0.3">
      <c r="A1366" s="3"/>
      <c r="E1366" s="3">
        <v>442.42</v>
      </c>
      <c r="F1366" s="3">
        <v>-55.59</v>
      </c>
      <c r="G1366" s="3">
        <v>-225.08</v>
      </c>
      <c r="H1366" s="3">
        <v>-0.45</v>
      </c>
      <c r="I1366" s="3">
        <v>-53.24</v>
      </c>
      <c r="J1366" s="3">
        <v>11.84</v>
      </c>
    </row>
    <row r="1367" spans="1:10" ht="14.4" x14ac:dyDescent="0.3">
      <c r="A1367" s="3"/>
      <c r="E1367" s="3">
        <v>447.31</v>
      </c>
      <c r="F1367" s="3">
        <v>-61.07</v>
      </c>
      <c r="G1367" s="3">
        <v>-228.75</v>
      </c>
      <c r="H1367" s="3">
        <v>-0.41</v>
      </c>
      <c r="I1367" s="3">
        <v>-54.64</v>
      </c>
      <c r="J1367" s="3">
        <v>12.7</v>
      </c>
    </row>
    <row r="1368" spans="1:10" ht="14.4" x14ac:dyDescent="0.3">
      <c r="A1368" s="3"/>
      <c r="E1368" s="3">
        <v>449.39</v>
      </c>
      <c r="F1368" s="3">
        <v>-63.97</v>
      </c>
      <c r="G1368" s="3">
        <v>-229.86</v>
      </c>
      <c r="H1368" s="3">
        <v>-0.39</v>
      </c>
      <c r="I1368" s="3">
        <v>-54.95</v>
      </c>
      <c r="J1368" s="3">
        <v>12.72</v>
      </c>
    </row>
    <row r="1369" spans="1:10" ht="14.4" x14ac:dyDescent="0.3">
      <c r="A1369" s="3"/>
      <c r="E1369" s="3">
        <v>448.85</v>
      </c>
      <c r="F1369" s="3">
        <v>-62.63</v>
      </c>
      <c r="G1369" s="3">
        <v>-230.44</v>
      </c>
      <c r="H1369" s="3">
        <v>-0.35</v>
      </c>
      <c r="I1369" s="3">
        <v>-55.1</v>
      </c>
      <c r="J1369" s="3">
        <v>13.86</v>
      </c>
    </row>
    <row r="1370" spans="1:10" ht="14.4" x14ac:dyDescent="0.3">
      <c r="A1370" s="3"/>
      <c r="E1370" s="3">
        <v>452.74</v>
      </c>
      <c r="F1370" s="3">
        <v>-67.25</v>
      </c>
      <c r="G1370" s="3">
        <v>-233.03</v>
      </c>
      <c r="H1370" s="3">
        <v>-0.33</v>
      </c>
      <c r="I1370" s="3">
        <v>-55.94</v>
      </c>
      <c r="J1370" s="3">
        <v>13.59</v>
      </c>
    </row>
    <row r="1371" spans="1:10" ht="14.4" x14ac:dyDescent="0.3">
      <c r="A1371" s="3"/>
      <c r="E1371" s="3">
        <v>451.94</v>
      </c>
      <c r="F1371" s="3">
        <v>-67.78</v>
      </c>
      <c r="G1371" s="3">
        <v>-230.97</v>
      </c>
      <c r="H1371" s="3">
        <v>-0.34</v>
      </c>
      <c r="I1371" s="3">
        <v>-55.23</v>
      </c>
      <c r="J1371" s="3">
        <v>12.68</v>
      </c>
    </row>
    <row r="1372" spans="1:10" ht="14.4" x14ac:dyDescent="0.3">
      <c r="A1372" s="3"/>
      <c r="E1372" s="3">
        <v>456.31</v>
      </c>
      <c r="F1372" s="3">
        <v>-71.08</v>
      </c>
      <c r="G1372" s="3">
        <v>-235.34</v>
      </c>
      <c r="H1372" s="3">
        <v>-0.31</v>
      </c>
      <c r="I1372" s="3">
        <v>-56.73</v>
      </c>
      <c r="J1372" s="3">
        <v>13.5</v>
      </c>
    </row>
    <row r="1373" spans="1:10" ht="14.4" x14ac:dyDescent="0.3">
      <c r="A1373" s="3"/>
      <c r="E1373" s="3">
        <v>453.13</v>
      </c>
      <c r="F1373" s="3">
        <v>-66.48</v>
      </c>
      <c r="G1373" s="3">
        <v>-232.83</v>
      </c>
      <c r="H1373" s="3">
        <v>-0.38</v>
      </c>
      <c r="I1373" s="3">
        <v>-56.09</v>
      </c>
      <c r="J1373" s="3">
        <v>12.61</v>
      </c>
    </row>
    <row r="1374" spans="1:10" ht="14.4" x14ac:dyDescent="0.3">
      <c r="A1374" s="3"/>
      <c r="E1374" s="3">
        <v>455.2</v>
      </c>
      <c r="F1374" s="3">
        <v>-70.900000000000006</v>
      </c>
      <c r="G1374" s="3">
        <v>-233.74</v>
      </c>
      <c r="H1374" s="3">
        <v>-0.32</v>
      </c>
      <c r="I1374" s="3">
        <v>-56.21</v>
      </c>
      <c r="J1374" s="3">
        <v>13.12</v>
      </c>
    </row>
    <row r="1375" spans="1:10" ht="14.4" x14ac:dyDescent="0.3">
      <c r="A1375" s="3"/>
      <c r="E1375" s="3">
        <v>450.3</v>
      </c>
      <c r="F1375" s="3">
        <v>-65.42</v>
      </c>
      <c r="G1375" s="3">
        <v>-230.07</v>
      </c>
      <c r="H1375" s="3">
        <v>-0.35</v>
      </c>
      <c r="I1375" s="3">
        <v>-54.81</v>
      </c>
      <c r="J1375" s="3">
        <v>12.26</v>
      </c>
    </row>
    <row r="1376" spans="1:10" ht="14.4" x14ac:dyDescent="0.3">
      <c r="A1376" s="3"/>
      <c r="E1376" s="3">
        <v>448.23</v>
      </c>
      <c r="F1376" s="3">
        <v>-62.52</v>
      </c>
      <c r="G1376" s="3">
        <v>-228.96</v>
      </c>
      <c r="H1376" s="3">
        <v>-0.38</v>
      </c>
      <c r="I1376" s="3">
        <v>-54.5</v>
      </c>
      <c r="J1376" s="3">
        <v>12.24</v>
      </c>
    </row>
    <row r="1377" spans="1:10" ht="14.4" x14ac:dyDescent="0.3">
      <c r="A1377" s="3"/>
      <c r="E1377" s="3">
        <v>448.77</v>
      </c>
      <c r="F1377" s="3">
        <v>-63.87</v>
      </c>
      <c r="G1377" s="3">
        <v>-228.37</v>
      </c>
      <c r="H1377" s="3">
        <v>-0.42</v>
      </c>
      <c r="I1377" s="3">
        <v>-54.35</v>
      </c>
      <c r="J1377" s="3">
        <v>11.1</v>
      </c>
    </row>
    <row r="1378" spans="1:10" ht="14.4" x14ac:dyDescent="0.3">
      <c r="A1378" s="3"/>
      <c r="E1378" s="3">
        <v>444.88</v>
      </c>
      <c r="F1378" s="3">
        <v>-59.24</v>
      </c>
      <c r="G1378" s="3">
        <v>-225.79</v>
      </c>
      <c r="H1378" s="3">
        <v>-0.44</v>
      </c>
      <c r="I1378" s="3">
        <v>-53.52</v>
      </c>
      <c r="J1378" s="3">
        <v>11.37</v>
      </c>
    </row>
    <row r="1379" spans="1:10" ht="14.4" x14ac:dyDescent="0.3">
      <c r="A1379" s="3"/>
      <c r="E1379" s="3">
        <v>445.68</v>
      </c>
      <c r="F1379" s="3">
        <v>-58.71</v>
      </c>
      <c r="G1379" s="3">
        <v>-227.85</v>
      </c>
      <c r="H1379" s="3">
        <v>-0.43</v>
      </c>
      <c r="I1379" s="3">
        <v>-54.23</v>
      </c>
      <c r="J1379" s="3">
        <v>12.27</v>
      </c>
    </row>
    <row r="1380" spans="1:10" ht="14.4" x14ac:dyDescent="0.3">
      <c r="A1380" s="3"/>
      <c r="E1380" s="3">
        <v>441.31</v>
      </c>
      <c r="F1380" s="3">
        <v>-55.41</v>
      </c>
      <c r="G1380" s="3">
        <v>-223.48</v>
      </c>
      <c r="H1380" s="3">
        <v>-0.45</v>
      </c>
      <c r="I1380" s="3">
        <v>-52.72</v>
      </c>
      <c r="J1380" s="3">
        <v>11.45</v>
      </c>
    </row>
    <row r="1381" spans="1:10" ht="14.4" x14ac:dyDescent="0.3">
      <c r="A1381" s="3"/>
      <c r="E1381" s="3">
        <v>270.62</v>
      </c>
      <c r="F1381" s="3">
        <v>-31.34</v>
      </c>
      <c r="G1381" s="3">
        <v>-127.97</v>
      </c>
      <c r="H1381" s="3">
        <v>-0.1</v>
      </c>
      <c r="I1381" s="3">
        <v>-20.65</v>
      </c>
      <c r="J1381" s="3">
        <v>9.66</v>
      </c>
    </row>
    <row r="1382" spans="1:10" ht="14.4" x14ac:dyDescent="0.3">
      <c r="A1382" s="3"/>
      <c r="E1382" s="3">
        <v>266.49</v>
      </c>
      <c r="F1382" s="3">
        <v>-22.5</v>
      </c>
      <c r="G1382" s="3">
        <v>-126.16</v>
      </c>
      <c r="H1382" s="3">
        <v>-0.24</v>
      </c>
      <c r="I1382" s="3">
        <v>-20.420000000000002</v>
      </c>
      <c r="J1382" s="3">
        <v>8.64</v>
      </c>
    </row>
    <row r="1383" spans="1:10" ht="14.4" x14ac:dyDescent="0.3">
      <c r="A1383" s="3"/>
      <c r="E1383" s="3">
        <v>276.27999999999997</v>
      </c>
      <c r="F1383" s="3">
        <v>-33.450000000000003</v>
      </c>
      <c r="G1383" s="3">
        <v>-133.5</v>
      </c>
      <c r="H1383" s="3">
        <v>-0.17</v>
      </c>
      <c r="I1383" s="3">
        <v>-23.22</v>
      </c>
      <c r="J1383" s="3">
        <v>10.36</v>
      </c>
    </row>
    <row r="1384" spans="1:10" ht="14.4" x14ac:dyDescent="0.3">
      <c r="A1384" s="3"/>
      <c r="E1384" s="3">
        <v>280.43</v>
      </c>
      <c r="F1384" s="3">
        <v>-39.25</v>
      </c>
      <c r="G1384" s="3">
        <v>-135.72</v>
      </c>
      <c r="H1384" s="3">
        <v>-0.12</v>
      </c>
      <c r="I1384" s="3">
        <v>-23.84</v>
      </c>
      <c r="J1384" s="3">
        <v>10.41</v>
      </c>
    </row>
    <row r="1385" spans="1:10" ht="14.4" x14ac:dyDescent="0.3">
      <c r="A1385" s="3"/>
      <c r="E1385" s="3">
        <v>279.35000000000002</v>
      </c>
      <c r="F1385" s="3">
        <v>-36.56</v>
      </c>
      <c r="G1385" s="3">
        <v>-136.88999999999999</v>
      </c>
      <c r="H1385" s="3">
        <v>-0.04</v>
      </c>
      <c r="I1385" s="3">
        <v>-24.13</v>
      </c>
      <c r="J1385" s="3">
        <v>12.68</v>
      </c>
    </row>
    <row r="1386" spans="1:10" ht="14.4" x14ac:dyDescent="0.3">
      <c r="A1386" s="3"/>
      <c r="E1386" s="3">
        <v>287.13</v>
      </c>
      <c r="F1386" s="3">
        <v>-45.81</v>
      </c>
      <c r="G1386" s="3">
        <v>-142.06</v>
      </c>
      <c r="H1386" s="3">
        <v>0</v>
      </c>
      <c r="I1386" s="3">
        <v>-25.8</v>
      </c>
      <c r="J1386" s="3">
        <v>12.14</v>
      </c>
    </row>
    <row r="1387" spans="1:10" ht="14.4" x14ac:dyDescent="0.3">
      <c r="A1387" s="3"/>
      <c r="E1387" s="3">
        <v>285.54000000000002</v>
      </c>
      <c r="F1387" s="3">
        <v>-46.87</v>
      </c>
      <c r="G1387" s="3">
        <v>-137.94</v>
      </c>
      <c r="H1387" s="3">
        <v>-0.02</v>
      </c>
      <c r="I1387" s="3">
        <v>-24.39</v>
      </c>
      <c r="J1387" s="3">
        <v>10.33</v>
      </c>
    </row>
    <row r="1388" spans="1:10" ht="14.4" x14ac:dyDescent="0.3">
      <c r="A1388" s="3"/>
      <c r="E1388" s="3">
        <v>294.27</v>
      </c>
      <c r="F1388" s="3">
        <v>-53.48</v>
      </c>
      <c r="G1388" s="3">
        <v>-146.68</v>
      </c>
      <c r="H1388" s="3">
        <v>0.03</v>
      </c>
      <c r="I1388" s="3">
        <v>-27.4</v>
      </c>
      <c r="J1388" s="3">
        <v>11.97</v>
      </c>
    </row>
    <row r="1389" spans="1:10" ht="14.4" x14ac:dyDescent="0.3">
      <c r="A1389" s="3"/>
      <c r="E1389" s="3">
        <v>287.92</v>
      </c>
      <c r="F1389" s="3">
        <v>-44.26</v>
      </c>
      <c r="G1389" s="3">
        <v>-141.66999999999999</v>
      </c>
      <c r="H1389" s="3">
        <v>-0.12</v>
      </c>
      <c r="I1389" s="3">
        <v>-26.12</v>
      </c>
      <c r="J1389" s="3">
        <v>10.18</v>
      </c>
    </row>
    <row r="1390" spans="1:10" ht="14.4" x14ac:dyDescent="0.3">
      <c r="A1390" s="3"/>
      <c r="E1390" s="3">
        <v>292.05</v>
      </c>
      <c r="F1390" s="3">
        <v>-53.11</v>
      </c>
      <c r="G1390" s="3">
        <v>-143.47999999999999</v>
      </c>
      <c r="H1390" s="3">
        <v>0.02</v>
      </c>
      <c r="I1390" s="3">
        <v>-26.36</v>
      </c>
      <c r="J1390" s="3">
        <v>11.2</v>
      </c>
    </row>
    <row r="1391" spans="1:10" ht="14.4" x14ac:dyDescent="0.3">
      <c r="A1391" s="3"/>
      <c r="E1391" s="3">
        <v>282.26</v>
      </c>
      <c r="F1391" s="3">
        <v>-42.16</v>
      </c>
      <c r="G1391" s="3">
        <v>-136.13999999999999</v>
      </c>
      <c r="H1391" s="3">
        <v>-0.05</v>
      </c>
      <c r="I1391" s="3">
        <v>-23.55</v>
      </c>
      <c r="J1391" s="3">
        <v>9.48</v>
      </c>
    </row>
    <row r="1392" spans="1:10" ht="14.4" x14ac:dyDescent="0.3">
      <c r="A1392" s="3"/>
      <c r="E1392" s="3">
        <v>278.11</v>
      </c>
      <c r="F1392" s="3">
        <v>-36.35</v>
      </c>
      <c r="G1392" s="3">
        <v>-133.91999999999999</v>
      </c>
      <c r="H1392" s="3">
        <v>-0.1</v>
      </c>
      <c r="I1392" s="3">
        <v>-22.94</v>
      </c>
      <c r="J1392" s="3">
        <v>9.43</v>
      </c>
    </row>
    <row r="1393" spans="1:10" ht="14.4" x14ac:dyDescent="0.3">
      <c r="A1393" s="3"/>
      <c r="E1393" s="3">
        <v>279.2</v>
      </c>
      <c r="F1393" s="3">
        <v>-39.04</v>
      </c>
      <c r="G1393" s="3">
        <v>-132.75</v>
      </c>
      <c r="H1393" s="3">
        <v>-0.18</v>
      </c>
      <c r="I1393" s="3">
        <v>-22.64</v>
      </c>
      <c r="J1393" s="3">
        <v>7.16</v>
      </c>
    </row>
    <row r="1394" spans="1:10" ht="14.4" x14ac:dyDescent="0.3">
      <c r="A1394" s="3"/>
      <c r="E1394" s="3">
        <v>271.42</v>
      </c>
      <c r="F1394" s="3">
        <v>-29.8</v>
      </c>
      <c r="G1394" s="3">
        <v>-127.58</v>
      </c>
      <c r="H1394" s="3">
        <v>-0.22</v>
      </c>
      <c r="I1394" s="3">
        <v>-20.97</v>
      </c>
      <c r="J1394" s="3">
        <v>7.7</v>
      </c>
    </row>
    <row r="1395" spans="1:10" ht="14.4" x14ac:dyDescent="0.3">
      <c r="A1395" s="3"/>
      <c r="E1395" s="3">
        <v>273.01</v>
      </c>
      <c r="F1395" s="3">
        <v>-28.73</v>
      </c>
      <c r="G1395" s="3">
        <v>-131.69999999999999</v>
      </c>
      <c r="H1395" s="3">
        <v>-0.2</v>
      </c>
      <c r="I1395" s="3">
        <v>-22.39</v>
      </c>
      <c r="J1395" s="3">
        <v>9.51</v>
      </c>
    </row>
    <row r="1396" spans="1:10" ht="14.4" x14ac:dyDescent="0.3">
      <c r="A1396" s="3"/>
      <c r="E1396" s="3">
        <v>259.77</v>
      </c>
      <c r="F1396" s="3">
        <v>-22</v>
      </c>
      <c r="G1396" s="3">
        <v>-124.46</v>
      </c>
      <c r="H1396" s="3">
        <v>-0.27</v>
      </c>
      <c r="I1396" s="3">
        <v>-20.47</v>
      </c>
      <c r="J1396" s="3">
        <v>7.6</v>
      </c>
    </row>
    <row r="1397" spans="1:10" ht="14.4" x14ac:dyDescent="0.3">
      <c r="A1397" s="3"/>
      <c r="E1397" s="3">
        <v>270.62</v>
      </c>
      <c r="F1397" s="3">
        <v>-31.34</v>
      </c>
      <c r="G1397" s="3">
        <v>-127.97</v>
      </c>
      <c r="H1397" s="3">
        <v>-0.1</v>
      </c>
      <c r="I1397" s="3">
        <v>-20.65</v>
      </c>
      <c r="J1397" s="3">
        <v>9.66</v>
      </c>
    </row>
    <row r="1398" spans="1:10" ht="14.4" x14ac:dyDescent="0.3">
      <c r="A1398" s="3"/>
      <c r="E1398" s="3">
        <v>266.49</v>
      </c>
      <c r="F1398" s="3">
        <v>-22.5</v>
      </c>
      <c r="G1398" s="3">
        <v>-126.16</v>
      </c>
      <c r="H1398" s="3">
        <v>-0.24</v>
      </c>
      <c r="I1398" s="3">
        <v>-20.420000000000002</v>
      </c>
      <c r="J1398" s="3">
        <v>8.64</v>
      </c>
    </row>
    <row r="1399" spans="1:10" ht="14.4" x14ac:dyDescent="0.3">
      <c r="A1399" s="3"/>
      <c r="E1399" s="3">
        <v>276.27999999999997</v>
      </c>
      <c r="F1399" s="3">
        <v>-33.450000000000003</v>
      </c>
      <c r="G1399" s="3">
        <v>-133.5</v>
      </c>
      <c r="H1399" s="3">
        <v>-0.17</v>
      </c>
      <c r="I1399" s="3">
        <v>-23.22</v>
      </c>
      <c r="J1399" s="3">
        <v>10.36</v>
      </c>
    </row>
    <row r="1400" spans="1:10" ht="14.4" x14ac:dyDescent="0.3">
      <c r="A1400" s="3"/>
      <c r="E1400" s="3">
        <v>280.43</v>
      </c>
      <c r="F1400" s="3">
        <v>-39.25</v>
      </c>
      <c r="G1400" s="3">
        <v>-135.72</v>
      </c>
      <c r="H1400" s="3">
        <v>-0.12</v>
      </c>
      <c r="I1400" s="3">
        <v>-23.84</v>
      </c>
      <c r="J1400" s="3">
        <v>10.41</v>
      </c>
    </row>
    <row r="1401" spans="1:10" ht="14.4" x14ac:dyDescent="0.3">
      <c r="A1401" s="3"/>
      <c r="E1401" s="3">
        <v>279.35000000000002</v>
      </c>
      <c r="F1401" s="3">
        <v>-36.56</v>
      </c>
      <c r="G1401" s="3">
        <v>-136.88999999999999</v>
      </c>
      <c r="H1401" s="3">
        <v>-0.04</v>
      </c>
      <c r="I1401" s="3">
        <v>-24.13</v>
      </c>
      <c r="J1401" s="3">
        <v>12.68</v>
      </c>
    </row>
    <row r="1402" spans="1:10" ht="14.4" x14ac:dyDescent="0.3">
      <c r="A1402" s="3"/>
      <c r="E1402" s="3">
        <v>287.13</v>
      </c>
      <c r="F1402" s="3">
        <v>-45.81</v>
      </c>
      <c r="G1402" s="3">
        <v>-142.06</v>
      </c>
      <c r="H1402" s="3">
        <v>0</v>
      </c>
      <c r="I1402" s="3">
        <v>-25.8</v>
      </c>
      <c r="J1402" s="3">
        <v>12.14</v>
      </c>
    </row>
    <row r="1403" spans="1:10" ht="14.4" x14ac:dyDescent="0.3">
      <c r="A1403" s="3"/>
      <c r="E1403" s="3">
        <v>285.54000000000002</v>
      </c>
      <c r="F1403" s="3">
        <v>-46.87</v>
      </c>
      <c r="G1403" s="3">
        <v>-137.94</v>
      </c>
      <c r="H1403" s="3">
        <v>-0.02</v>
      </c>
      <c r="I1403" s="3">
        <v>-24.39</v>
      </c>
      <c r="J1403" s="3">
        <v>10.33</v>
      </c>
    </row>
    <row r="1404" spans="1:10" ht="14.4" x14ac:dyDescent="0.3">
      <c r="A1404" s="3"/>
      <c r="E1404" s="3">
        <v>294.27</v>
      </c>
      <c r="F1404" s="3">
        <v>-53.48</v>
      </c>
      <c r="G1404" s="3">
        <v>-146.68</v>
      </c>
      <c r="H1404" s="3">
        <v>0.03</v>
      </c>
      <c r="I1404" s="3">
        <v>-27.4</v>
      </c>
      <c r="J1404" s="3">
        <v>11.97</v>
      </c>
    </row>
    <row r="1405" spans="1:10" ht="14.4" x14ac:dyDescent="0.3">
      <c r="A1405" s="3"/>
      <c r="E1405" s="3">
        <v>287.92</v>
      </c>
      <c r="F1405" s="3">
        <v>-44.26</v>
      </c>
      <c r="G1405" s="3">
        <v>-141.66999999999999</v>
      </c>
      <c r="H1405" s="3">
        <v>-0.12</v>
      </c>
      <c r="I1405" s="3">
        <v>-26.12</v>
      </c>
      <c r="J1405" s="3">
        <v>10.18</v>
      </c>
    </row>
    <row r="1406" spans="1:10" ht="14.4" x14ac:dyDescent="0.3">
      <c r="A1406" s="3"/>
      <c r="E1406" s="3">
        <v>292.05</v>
      </c>
      <c r="F1406" s="3">
        <v>-53.11</v>
      </c>
      <c r="G1406" s="3">
        <v>-143.47999999999999</v>
      </c>
      <c r="H1406" s="3">
        <v>0.02</v>
      </c>
      <c r="I1406" s="3">
        <v>-26.36</v>
      </c>
      <c r="J1406" s="3">
        <v>11.2</v>
      </c>
    </row>
    <row r="1407" spans="1:10" ht="14.4" x14ac:dyDescent="0.3">
      <c r="A1407" s="3"/>
      <c r="E1407" s="3">
        <v>282.26</v>
      </c>
      <c r="F1407" s="3">
        <v>-42.16</v>
      </c>
      <c r="G1407" s="3">
        <v>-136.13999999999999</v>
      </c>
      <c r="H1407" s="3">
        <v>-0.05</v>
      </c>
      <c r="I1407" s="3">
        <v>-23.55</v>
      </c>
      <c r="J1407" s="3">
        <v>9.48</v>
      </c>
    </row>
    <row r="1408" spans="1:10" ht="14.4" x14ac:dyDescent="0.3">
      <c r="A1408" s="3"/>
      <c r="E1408" s="3">
        <v>278.11</v>
      </c>
      <c r="F1408" s="3">
        <v>-36.35</v>
      </c>
      <c r="G1408" s="3">
        <v>-133.91999999999999</v>
      </c>
      <c r="H1408" s="3">
        <v>-0.1</v>
      </c>
      <c r="I1408" s="3">
        <v>-22.94</v>
      </c>
      <c r="J1408" s="3">
        <v>9.43</v>
      </c>
    </row>
    <row r="1409" spans="1:10" ht="14.4" x14ac:dyDescent="0.3">
      <c r="A1409" s="3"/>
      <c r="E1409" s="3">
        <v>279.2</v>
      </c>
      <c r="F1409" s="3">
        <v>-39.04</v>
      </c>
      <c r="G1409" s="3">
        <v>-132.75</v>
      </c>
      <c r="H1409" s="3">
        <v>-0.18</v>
      </c>
      <c r="I1409" s="3">
        <v>-22.64</v>
      </c>
      <c r="J1409" s="3">
        <v>7.16</v>
      </c>
    </row>
    <row r="1410" spans="1:10" ht="14.4" x14ac:dyDescent="0.3">
      <c r="A1410" s="3"/>
      <c r="E1410" s="3">
        <v>271.42</v>
      </c>
      <c r="F1410" s="3">
        <v>-29.8</v>
      </c>
      <c r="G1410" s="3">
        <v>-127.58</v>
      </c>
      <c r="H1410" s="3">
        <v>-0.22</v>
      </c>
      <c r="I1410" s="3">
        <v>-20.97</v>
      </c>
      <c r="J1410" s="3">
        <v>7.7</v>
      </c>
    </row>
    <row r="1411" spans="1:10" ht="14.4" x14ac:dyDescent="0.3">
      <c r="A1411" s="3"/>
      <c r="E1411" s="3">
        <v>273.01</v>
      </c>
      <c r="F1411" s="3">
        <v>-28.73</v>
      </c>
      <c r="G1411" s="3">
        <v>-131.69999999999999</v>
      </c>
      <c r="H1411" s="3">
        <v>-0.2</v>
      </c>
      <c r="I1411" s="3">
        <v>-22.39</v>
      </c>
      <c r="J1411" s="3">
        <v>9.51</v>
      </c>
    </row>
    <row r="1412" spans="1:10" ht="14.4" x14ac:dyDescent="0.3">
      <c r="A1412" s="3"/>
      <c r="E1412" s="3">
        <v>273.01</v>
      </c>
      <c r="F1412" s="3">
        <v>-28.73</v>
      </c>
      <c r="G1412" s="3">
        <v>-131.69999999999999</v>
      </c>
      <c r="H1412" s="3">
        <v>-0.2</v>
      </c>
      <c r="I1412" s="3">
        <v>-22.39</v>
      </c>
      <c r="J1412" s="3">
        <v>9.51</v>
      </c>
    </row>
    <row r="1413" spans="1:10" ht="14.4" x14ac:dyDescent="0.3">
      <c r="A1413" s="3"/>
      <c r="E1413" s="3">
        <v>197.1</v>
      </c>
      <c r="F1413" s="3">
        <v>-19.66</v>
      </c>
      <c r="G1413" s="3">
        <v>-96.6</v>
      </c>
      <c r="H1413" s="3">
        <v>-0.14000000000000001</v>
      </c>
      <c r="I1413" s="3">
        <v>-15.82</v>
      </c>
      <c r="J1413" s="3">
        <v>6.52</v>
      </c>
    </row>
    <row r="1414" spans="1:10" ht="14.4" x14ac:dyDescent="0.3">
      <c r="A1414" s="3"/>
      <c r="E1414" s="3">
        <v>192.97</v>
      </c>
      <c r="F1414" s="3">
        <v>-10.82</v>
      </c>
      <c r="G1414" s="3">
        <v>-94.79</v>
      </c>
      <c r="H1414" s="3">
        <v>-0.28000000000000003</v>
      </c>
      <c r="I1414" s="3">
        <v>-15.59</v>
      </c>
      <c r="J1414" s="3">
        <v>5.5</v>
      </c>
    </row>
    <row r="1415" spans="1:10" ht="14.4" x14ac:dyDescent="0.3">
      <c r="A1415" s="3"/>
      <c r="E1415" s="3">
        <v>202.76</v>
      </c>
      <c r="F1415" s="3">
        <v>-21.76</v>
      </c>
      <c r="G1415" s="3">
        <v>-102.13</v>
      </c>
      <c r="H1415" s="3">
        <v>-0.21</v>
      </c>
      <c r="I1415" s="3">
        <v>-18.39</v>
      </c>
      <c r="J1415" s="3">
        <v>7.22</v>
      </c>
    </row>
    <row r="1416" spans="1:10" ht="14.4" x14ac:dyDescent="0.3">
      <c r="A1416" s="3"/>
      <c r="E1416" s="3">
        <v>206.91</v>
      </c>
      <c r="F1416" s="3">
        <v>-27.57</v>
      </c>
      <c r="G1416" s="3">
        <v>-104.35</v>
      </c>
      <c r="H1416" s="3">
        <v>-0.16</v>
      </c>
      <c r="I1416" s="3">
        <v>-19.010000000000002</v>
      </c>
      <c r="J1416" s="3">
        <v>7.26</v>
      </c>
    </row>
    <row r="1417" spans="1:10" ht="14.4" x14ac:dyDescent="0.3">
      <c r="A1417" s="3"/>
      <c r="E1417" s="3">
        <v>205.83</v>
      </c>
      <c r="F1417" s="3">
        <v>-24.88</v>
      </c>
      <c r="G1417" s="3">
        <v>-105.52</v>
      </c>
      <c r="H1417" s="3">
        <v>-0.08</v>
      </c>
      <c r="I1417" s="3">
        <v>-19.3</v>
      </c>
      <c r="J1417" s="3">
        <v>9.5399999999999991</v>
      </c>
    </row>
    <row r="1418" spans="1:10" ht="14.4" x14ac:dyDescent="0.3">
      <c r="A1418" s="3"/>
      <c r="E1418" s="3">
        <v>213.61</v>
      </c>
      <c r="F1418" s="3">
        <v>-34.119999999999997</v>
      </c>
      <c r="G1418" s="3">
        <v>-110.69</v>
      </c>
      <c r="H1418" s="3">
        <v>-0.04</v>
      </c>
      <c r="I1418" s="3">
        <v>-20.97</v>
      </c>
      <c r="J1418" s="3">
        <v>9</v>
      </c>
    </row>
    <row r="1419" spans="1:10" ht="14.4" x14ac:dyDescent="0.3">
      <c r="A1419" s="3"/>
      <c r="E1419" s="3">
        <v>212.02</v>
      </c>
      <c r="F1419" s="3">
        <v>-35.19</v>
      </c>
      <c r="G1419" s="3">
        <v>-106.57</v>
      </c>
      <c r="H1419" s="3">
        <v>-0.06</v>
      </c>
      <c r="I1419" s="3">
        <v>-19.559999999999999</v>
      </c>
      <c r="J1419" s="3">
        <v>7.19</v>
      </c>
    </row>
    <row r="1420" spans="1:10" ht="14.4" x14ac:dyDescent="0.3">
      <c r="A1420" s="3"/>
      <c r="E1420" s="3">
        <v>220.75</v>
      </c>
      <c r="F1420" s="3">
        <v>-41.8</v>
      </c>
      <c r="G1420" s="3">
        <v>-115.3</v>
      </c>
      <c r="H1420" s="3">
        <v>-0.01</v>
      </c>
      <c r="I1420" s="3">
        <v>-22.57</v>
      </c>
      <c r="J1420" s="3">
        <v>8.83</v>
      </c>
    </row>
    <row r="1421" spans="1:10" ht="14.4" x14ac:dyDescent="0.3">
      <c r="A1421" s="3"/>
      <c r="E1421" s="3">
        <v>214.4</v>
      </c>
      <c r="F1421" s="3">
        <v>-32.58</v>
      </c>
      <c r="G1421" s="3">
        <v>-110.3</v>
      </c>
      <c r="H1421" s="3">
        <v>-0.16</v>
      </c>
      <c r="I1421" s="3">
        <v>-21.29</v>
      </c>
      <c r="J1421" s="3">
        <v>7.04</v>
      </c>
    </row>
    <row r="1422" spans="1:10" ht="14.4" x14ac:dyDescent="0.3">
      <c r="A1422" s="3"/>
      <c r="E1422" s="3">
        <v>218.53</v>
      </c>
      <c r="F1422" s="3">
        <v>-41.42</v>
      </c>
      <c r="G1422" s="3">
        <v>-112.11</v>
      </c>
      <c r="H1422" s="3">
        <v>-0.02</v>
      </c>
      <c r="I1422" s="3">
        <v>-21.53</v>
      </c>
      <c r="J1422" s="3">
        <v>8.06</v>
      </c>
    </row>
    <row r="1423" spans="1:10" ht="14.4" x14ac:dyDescent="0.3">
      <c r="A1423" s="3"/>
      <c r="E1423" s="3">
        <v>208.74</v>
      </c>
      <c r="F1423" s="3">
        <v>-30.48</v>
      </c>
      <c r="G1423" s="3">
        <v>-104.77</v>
      </c>
      <c r="H1423" s="3">
        <v>-0.09</v>
      </c>
      <c r="I1423" s="3">
        <v>-18.72</v>
      </c>
      <c r="J1423" s="3">
        <v>6.34</v>
      </c>
    </row>
    <row r="1424" spans="1:10" ht="14.4" x14ac:dyDescent="0.3">
      <c r="A1424" s="3"/>
      <c r="E1424" s="3">
        <v>204.59</v>
      </c>
      <c r="F1424" s="3">
        <v>-24.67</v>
      </c>
      <c r="G1424" s="3">
        <v>-102.55</v>
      </c>
      <c r="H1424" s="3">
        <v>-0.14000000000000001</v>
      </c>
      <c r="I1424" s="3">
        <v>-18.11</v>
      </c>
      <c r="J1424" s="3">
        <v>6.29</v>
      </c>
    </row>
    <row r="1425" spans="1:10" ht="14.4" x14ac:dyDescent="0.3">
      <c r="A1425" s="3"/>
      <c r="E1425" s="3">
        <v>205.68</v>
      </c>
      <c r="F1425" s="3">
        <v>-27.36</v>
      </c>
      <c r="G1425" s="3">
        <v>-101.38</v>
      </c>
      <c r="H1425" s="3">
        <v>-0.22</v>
      </c>
      <c r="I1425" s="3">
        <v>-17.809999999999999</v>
      </c>
      <c r="J1425" s="3">
        <v>4.0199999999999996</v>
      </c>
    </row>
    <row r="1426" spans="1:10" ht="14.4" x14ac:dyDescent="0.3">
      <c r="A1426" s="3"/>
      <c r="E1426" s="3">
        <v>197.9</v>
      </c>
      <c r="F1426" s="3">
        <v>-18.12</v>
      </c>
      <c r="G1426" s="3">
        <v>-96.21</v>
      </c>
      <c r="H1426" s="3">
        <v>-0.26</v>
      </c>
      <c r="I1426" s="3">
        <v>-16.14</v>
      </c>
      <c r="J1426" s="3">
        <v>4.5599999999999996</v>
      </c>
    </row>
    <row r="1427" spans="1:10" ht="14.4" x14ac:dyDescent="0.3">
      <c r="A1427" s="3"/>
      <c r="E1427" s="3">
        <v>199.49</v>
      </c>
      <c r="F1427" s="3">
        <v>-17.05</v>
      </c>
      <c r="G1427" s="3">
        <v>-100.33</v>
      </c>
      <c r="H1427" s="3">
        <v>-0.24</v>
      </c>
      <c r="I1427" s="3">
        <v>-17.55</v>
      </c>
      <c r="J1427" s="3">
        <v>6.37</v>
      </c>
    </row>
    <row r="1428" spans="1:10" ht="14.4" x14ac:dyDescent="0.3">
      <c r="A1428" s="3"/>
      <c r="E1428" s="3">
        <v>190.76</v>
      </c>
      <c r="F1428" s="3">
        <v>-10.44</v>
      </c>
      <c r="G1428" s="3">
        <v>-91.59</v>
      </c>
      <c r="H1428" s="3">
        <v>-0.28999999999999998</v>
      </c>
      <c r="I1428" s="3">
        <v>-14.55</v>
      </c>
      <c r="J1428" s="3">
        <v>4.7300000000000004</v>
      </c>
    </row>
    <row r="1429" spans="1:10" ht="14.4" x14ac:dyDescent="0.3">
      <c r="A1429" s="3"/>
      <c r="E1429" s="3">
        <v>269.11</v>
      </c>
      <c r="F1429" s="3">
        <v>13.78</v>
      </c>
      <c r="G1429" s="3">
        <v>-82.33</v>
      </c>
      <c r="H1429" s="3">
        <v>-1.72</v>
      </c>
      <c r="I1429" s="3">
        <v>-5.41</v>
      </c>
      <c r="J1429" s="3">
        <v>-40.26</v>
      </c>
    </row>
    <row r="1430" spans="1:10" ht="14.4" x14ac:dyDescent="0.3">
      <c r="A1430" s="3"/>
      <c r="E1430" s="3">
        <v>240.05</v>
      </c>
      <c r="F1430" s="3">
        <v>-31.69</v>
      </c>
      <c r="G1430" s="3">
        <v>-157.53</v>
      </c>
      <c r="H1430" s="3">
        <v>0.91</v>
      </c>
      <c r="I1430" s="3">
        <v>-32.090000000000003</v>
      </c>
      <c r="J1430" s="3">
        <v>59.36</v>
      </c>
    </row>
    <row r="1431" spans="1:10" ht="14.4" x14ac:dyDescent="0.3">
      <c r="A1431" s="3"/>
      <c r="E1431" s="3">
        <v>317.87</v>
      </c>
      <c r="F1431" s="3">
        <v>-43.12</v>
      </c>
      <c r="G1431" s="3">
        <v>-111.88</v>
      </c>
      <c r="H1431" s="3">
        <v>-1.1299999999999999</v>
      </c>
      <c r="I1431" s="3">
        <v>-14.61</v>
      </c>
      <c r="J1431" s="3">
        <v>-39.47</v>
      </c>
    </row>
    <row r="1432" spans="1:10" ht="14.4" x14ac:dyDescent="0.3">
      <c r="A1432" s="3"/>
      <c r="E1432" s="3">
        <v>288.81</v>
      </c>
      <c r="F1432" s="3">
        <v>-88.6</v>
      </c>
      <c r="G1432" s="3">
        <v>-187.08</v>
      </c>
      <c r="H1432" s="3">
        <v>1.49</v>
      </c>
      <c r="I1432" s="3">
        <v>-41.29</v>
      </c>
      <c r="J1432" s="3">
        <v>60.15</v>
      </c>
    </row>
    <row r="1433" spans="1:10" ht="14.4" x14ac:dyDescent="0.3">
      <c r="A1433" s="3"/>
      <c r="E1433" s="3">
        <v>269.11</v>
      </c>
      <c r="F1433" s="3">
        <v>13.78</v>
      </c>
      <c r="G1433" s="3">
        <v>-82.33</v>
      </c>
      <c r="H1433" s="3">
        <v>-1.72</v>
      </c>
      <c r="I1433" s="3">
        <v>-5.41</v>
      </c>
      <c r="J1433" s="3">
        <v>-40.26</v>
      </c>
    </row>
    <row r="1434" spans="1:10" ht="14.4" x14ac:dyDescent="0.3">
      <c r="A1434" s="3"/>
      <c r="E1434" s="3">
        <v>240.05</v>
      </c>
      <c r="F1434" s="3">
        <v>-31.69</v>
      </c>
      <c r="G1434" s="3">
        <v>-157.53</v>
      </c>
      <c r="H1434" s="3">
        <v>0.91</v>
      </c>
      <c r="I1434" s="3">
        <v>-32.090000000000003</v>
      </c>
      <c r="J1434" s="3">
        <v>59.36</v>
      </c>
    </row>
    <row r="1435" spans="1:10" ht="14.4" x14ac:dyDescent="0.3">
      <c r="A1435" s="3"/>
      <c r="E1435" s="3">
        <v>317.87</v>
      </c>
      <c r="F1435" s="3">
        <v>-43.12</v>
      </c>
      <c r="G1435" s="3">
        <v>-111.88</v>
      </c>
      <c r="H1435" s="3">
        <v>-1.1299999999999999</v>
      </c>
      <c r="I1435" s="3">
        <v>-14.61</v>
      </c>
      <c r="J1435" s="3">
        <v>-39.47</v>
      </c>
    </row>
    <row r="1436" spans="1:10" ht="14.4" x14ac:dyDescent="0.3">
      <c r="A1436" s="3"/>
      <c r="E1436" s="3">
        <v>288.81</v>
      </c>
      <c r="F1436" s="3">
        <v>-88.6</v>
      </c>
      <c r="G1436" s="3">
        <v>-187.08</v>
      </c>
      <c r="H1436" s="3">
        <v>1.49</v>
      </c>
      <c r="I1436" s="3">
        <v>-41.29</v>
      </c>
      <c r="J1436" s="3">
        <v>60.15</v>
      </c>
    </row>
    <row r="1437" spans="1:10" ht="14.4" x14ac:dyDescent="0.3">
      <c r="A1437" s="3"/>
      <c r="E1437" s="3">
        <v>235</v>
      </c>
      <c r="F1437" s="3">
        <v>59.05</v>
      </c>
      <c r="G1437" s="3">
        <v>-90.67</v>
      </c>
      <c r="H1437" s="3">
        <v>-1.49</v>
      </c>
      <c r="I1437" s="3">
        <v>-7.03</v>
      </c>
      <c r="J1437" s="3">
        <v>-5.44</v>
      </c>
    </row>
    <row r="1438" spans="1:10" ht="14.4" x14ac:dyDescent="0.3">
      <c r="A1438" s="3"/>
      <c r="E1438" s="3">
        <v>303.95</v>
      </c>
      <c r="F1438" s="3">
        <v>-116.52</v>
      </c>
      <c r="G1438" s="3">
        <v>-141.9</v>
      </c>
      <c r="H1438" s="3">
        <v>0.49</v>
      </c>
      <c r="I1438" s="3">
        <v>-29.05</v>
      </c>
      <c r="J1438" s="3">
        <v>-5.87</v>
      </c>
    </row>
    <row r="1439" spans="1:10" ht="14.4" x14ac:dyDescent="0.3">
      <c r="A1439" s="3"/>
      <c r="E1439" s="3">
        <v>253.96</v>
      </c>
      <c r="F1439" s="3">
        <v>41.7</v>
      </c>
      <c r="G1439" s="3">
        <v>-127.51</v>
      </c>
      <c r="H1439" s="3">
        <v>-0.71</v>
      </c>
      <c r="I1439" s="3">
        <v>-17.649999999999999</v>
      </c>
      <c r="J1439" s="3">
        <v>25.76</v>
      </c>
    </row>
    <row r="1440" spans="1:10" ht="14.4" x14ac:dyDescent="0.3">
      <c r="A1440" s="3"/>
      <c r="E1440" s="3">
        <v>322.92</v>
      </c>
      <c r="F1440" s="3">
        <v>-133.87</v>
      </c>
      <c r="G1440" s="3">
        <v>-178.73</v>
      </c>
      <c r="H1440" s="3">
        <v>1.26</v>
      </c>
      <c r="I1440" s="3">
        <v>-39.67</v>
      </c>
      <c r="J1440" s="3">
        <v>25.33</v>
      </c>
    </row>
    <row r="1441" spans="1:10" ht="14.4" x14ac:dyDescent="0.3">
      <c r="A1441" s="3"/>
      <c r="E1441" s="3">
        <v>235</v>
      </c>
      <c r="F1441" s="3">
        <v>59.05</v>
      </c>
      <c r="G1441" s="3">
        <v>-90.67</v>
      </c>
      <c r="H1441" s="3">
        <v>-1.49</v>
      </c>
      <c r="I1441" s="3">
        <v>-7.03</v>
      </c>
      <c r="J1441" s="3">
        <v>-5.44</v>
      </c>
    </row>
    <row r="1442" spans="1:10" ht="14.4" x14ac:dyDescent="0.3">
      <c r="A1442" s="3"/>
      <c r="E1442" s="3">
        <v>303.95</v>
      </c>
      <c r="F1442" s="3">
        <v>-116.52</v>
      </c>
      <c r="G1442" s="3">
        <v>-141.9</v>
      </c>
      <c r="H1442" s="3">
        <v>0.49</v>
      </c>
      <c r="I1442" s="3">
        <v>-29.05</v>
      </c>
      <c r="J1442" s="3">
        <v>-5.87</v>
      </c>
    </row>
    <row r="1443" spans="1:10" ht="14.4" x14ac:dyDescent="0.3">
      <c r="A1443" s="3"/>
      <c r="E1443" s="3">
        <v>253.96</v>
      </c>
      <c r="F1443" s="3">
        <v>41.7</v>
      </c>
      <c r="G1443" s="3">
        <v>-127.51</v>
      </c>
      <c r="H1443" s="3">
        <v>-0.71</v>
      </c>
      <c r="I1443" s="3">
        <v>-17.649999999999999</v>
      </c>
      <c r="J1443" s="3">
        <v>25.76</v>
      </c>
    </row>
    <row r="1444" spans="1:10" ht="14.4" x14ac:dyDescent="0.3">
      <c r="A1444" s="3"/>
      <c r="E1444" s="3">
        <v>322.92</v>
      </c>
      <c r="F1444" s="3">
        <v>-133.87</v>
      </c>
      <c r="G1444" s="3">
        <v>-178.73</v>
      </c>
      <c r="H1444" s="3">
        <v>1.26</v>
      </c>
      <c r="I1444" s="3">
        <v>-39.67</v>
      </c>
      <c r="J1444" s="3">
        <v>25.33</v>
      </c>
    </row>
    <row r="1445" spans="1:10" ht="14.4" x14ac:dyDescent="0.3">
      <c r="A1445" s="3"/>
      <c r="E1445" s="3">
        <v>405.71</v>
      </c>
      <c r="F1445" s="3">
        <v>42.63</v>
      </c>
      <c r="G1445" s="3">
        <v>-69.17</v>
      </c>
      <c r="H1445" s="3">
        <v>1.47</v>
      </c>
      <c r="I1445" s="3">
        <v>-54.49</v>
      </c>
      <c r="J1445" s="3">
        <v>64.03</v>
      </c>
    </row>
    <row r="1446" spans="1:10" ht="14.4" x14ac:dyDescent="0.3">
      <c r="A1446" s="3"/>
      <c r="E1446" s="3">
        <v>213.26</v>
      </c>
      <c r="F1446" s="3">
        <v>-47</v>
      </c>
      <c r="G1446" s="3">
        <v>-162.87</v>
      </c>
      <c r="H1446" s="3">
        <v>-1.0900000000000001</v>
      </c>
      <c r="I1446" s="3">
        <v>-3.85</v>
      </c>
      <c r="J1446" s="3">
        <v>-39.880000000000003</v>
      </c>
    </row>
    <row r="1447" spans="1:10" ht="14.4" x14ac:dyDescent="0.3">
      <c r="A1447" s="3"/>
      <c r="E1447" s="3">
        <v>344.65</v>
      </c>
      <c r="F1447" s="3">
        <v>-27.82</v>
      </c>
      <c r="G1447" s="3">
        <v>-106.54</v>
      </c>
      <c r="H1447" s="3">
        <v>0.86</v>
      </c>
      <c r="I1447" s="3">
        <v>-42.85</v>
      </c>
      <c r="J1447" s="3">
        <v>59.77</v>
      </c>
    </row>
    <row r="1448" spans="1:10" ht="14.4" x14ac:dyDescent="0.3">
      <c r="A1448" s="3"/>
      <c r="E1448" s="3">
        <v>152.19999999999999</v>
      </c>
      <c r="F1448" s="3">
        <v>-117.44</v>
      </c>
      <c r="G1448" s="3">
        <v>-200.24</v>
      </c>
      <c r="H1448" s="3">
        <v>-1.7</v>
      </c>
      <c r="I1448" s="3">
        <v>7.79</v>
      </c>
      <c r="J1448" s="3">
        <v>-44.14</v>
      </c>
    </row>
    <row r="1449" spans="1:10" ht="14.4" x14ac:dyDescent="0.3">
      <c r="A1449" s="3"/>
      <c r="E1449" s="3">
        <v>440.47</v>
      </c>
      <c r="F1449" s="3">
        <v>88.04</v>
      </c>
      <c r="G1449" s="3">
        <v>-75</v>
      </c>
      <c r="H1449" s="3">
        <v>1.26</v>
      </c>
      <c r="I1449" s="3">
        <v>-53.05</v>
      </c>
      <c r="J1449" s="3">
        <v>33.78</v>
      </c>
    </row>
    <row r="1450" spans="1:10" ht="14.4" x14ac:dyDescent="0.3">
      <c r="A1450" s="3"/>
      <c r="E1450" s="3">
        <v>148.16</v>
      </c>
      <c r="F1450" s="3">
        <v>-132.08000000000001</v>
      </c>
      <c r="G1450" s="3">
        <v>-151.94999999999999</v>
      </c>
      <c r="H1450" s="3">
        <v>-0.68</v>
      </c>
      <c r="I1450" s="3">
        <v>-6.53</v>
      </c>
      <c r="J1450" s="3">
        <v>16.78</v>
      </c>
    </row>
    <row r="1451" spans="1:10" ht="14.4" x14ac:dyDescent="0.3">
      <c r="A1451" s="3"/>
      <c r="E1451" s="3">
        <v>409.76</v>
      </c>
      <c r="F1451" s="3">
        <v>57.26</v>
      </c>
      <c r="G1451" s="3">
        <v>-117.46</v>
      </c>
      <c r="H1451" s="3">
        <v>0.46</v>
      </c>
      <c r="I1451" s="3">
        <v>-40.17</v>
      </c>
      <c r="J1451" s="3">
        <v>3.11</v>
      </c>
    </row>
    <row r="1452" spans="1:10" ht="14.4" x14ac:dyDescent="0.3">
      <c r="A1452" s="3"/>
      <c r="E1452" s="3">
        <v>117.45</v>
      </c>
      <c r="F1452" s="3">
        <v>-162.85</v>
      </c>
      <c r="G1452" s="3">
        <v>-194.41</v>
      </c>
      <c r="H1452" s="3">
        <v>-1.48</v>
      </c>
      <c r="I1452" s="3">
        <v>6.35</v>
      </c>
      <c r="J1452" s="3">
        <v>-13.89</v>
      </c>
    </row>
    <row r="1453" spans="1:10" ht="14.4" x14ac:dyDescent="0.3">
      <c r="A1453" s="3"/>
      <c r="E1453" s="3">
        <v>205.09</v>
      </c>
      <c r="F1453" s="3">
        <v>21.91</v>
      </c>
      <c r="G1453" s="3">
        <v>-50.14</v>
      </c>
      <c r="H1453" s="3">
        <v>-1.67</v>
      </c>
      <c r="I1453" s="3">
        <v>0.36</v>
      </c>
      <c r="J1453" s="3">
        <v>-42.37</v>
      </c>
    </row>
    <row r="1454" spans="1:10" ht="14.4" x14ac:dyDescent="0.3">
      <c r="A1454" s="3"/>
      <c r="E1454" s="3">
        <v>166.89</v>
      </c>
      <c r="F1454" s="3">
        <v>-22.41</v>
      </c>
      <c r="G1454" s="3">
        <v>-120.75</v>
      </c>
      <c r="H1454" s="3">
        <v>0.96</v>
      </c>
      <c r="I1454" s="3">
        <v>-25.49</v>
      </c>
      <c r="J1454" s="3">
        <v>56.95</v>
      </c>
    </row>
    <row r="1455" spans="1:10" ht="14.4" x14ac:dyDescent="0.3">
      <c r="A1455" s="3"/>
      <c r="E1455" s="3">
        <v>253.86</v>
      </c>
      <c r="F1455" s="3">
        <v>-35</v>
      </c>
      <c r="G1455" s="3">
        <v>-79.69</v>
      </c>
      <c r="H1455" s="3">
        <v>-1.0900000000000001</v>
      </c>
      <c r="I1455" s="3">
        <v>-8.84</v>
      </c>
      <c r="J1455" s="3">
        <v>-41.58</v>
      </c>
    </row>
    <row r="1456" spans="1:10" ht="14.4" x14ac:dyDescent="0.3">
      <c r="A1456" s="3"/>
      <c r="E1456" s="3">
        <v>215.66</v>
      </c>
      <c r="F1456" s="3">
        <v>-79.31</v>
      </c>
      <c r="G1456" s="3">
        <v>-150.29</v>
      </c>
      <c r="H1456" s="3">
        <v>1.54</v>
      </c>
      <c r="I1456" s="3">
        <v>-34.69</v>
      </c>
      <c r="J1456" s="3">
        <v>57.74</v>
      </c>
    </row>
    <row r="1457" spans="1:10" ht="14.4" x14ac:dyDescent="0.3">
      <c r="A1457" s="3"/>
      <c r="E1457" s="3">
        <v>205.09</v>
      </c>
      <c r="F1457" s="3">
        <v>21.91</v>
      </c>
      <c r="G1457" s="3">
        <v>-50.14</v>
      </c>
      <c r="H1457" s="3">
        <v>-1.67</v>
      </c>
      <c r="I1457" s="3">
        <v>0.36</v>
      </c>
      <c r="J1457" s="3">
        <v>-42.37</v>
      </c>
    </row>
    <row r="1458" spans="1:10" ht="14.4" x14ac:dyDescent="0.3">
      <c r="A1458" s="3"/>
      <c r="E1458" s="3">
        <v>166.89</v>
      </c>
      <c r="F1458" s="3">
        <v>-22.41</v>
      </c>
      <c r="G1458" s="3">
        <v>-120.75</v>
      </c>
      <c r="H1458" s="3">
        <v>0.96</v>
      </c>
      <c r="I1458" s="3">
        <v>-25.49</v>
      </c>
      <c r="J1458" s="3">
        <v>56.95</v>
      </c>
    </row>
    <row r="1459" spans="1:10" ht="14.4" x14ac:dyDescent="0.3">
      <c r="A1459" s="3"/>
      <c r="E1459" s="3">
        <v>253.86</v>
      </c>
      <c r="F1459" s="3">
        <v>-35</v>
      </c>
      <c r="G1459" s="3">
        <v>-79.69</v>
      </c>
      <c r="H1459" s="3">
        <v>-1.0900000000000001</v>
      </c>
      <c r="I1459" s="3">
        <v>-8.84</v>
      </c>
      <c r="J1459" s="3">
        <v>-41.58</v>
      </c>
    </row>
    <row r="1460" spans="1:10" ht="14.4" x14ac:dyDescent="0.3">
      <c r="A1460" s="3"/>
      <c r="E1460" s="3">
        <v>215.66</v>
      </c>
      <c r="F1460" s="3">
        <v>-79.31</v>
      </c>
      <c r="G1460" s="3">
        <v>-150.29</v>
      </c>
      <c r="H1460" s="3">
        <v>1.54</v>
      </c>
      <c r="I1460" s="3">
        <v>-34.69</v>
      </c>
      <c r="J1460" s="3">
        <v>57.74</v>
      </c>
    </row>
    <row r="1461" spans="1:10" ht="14.4" x14ac:dyDescent="0.3">
      <c r="A1461" s="3"/>
      <c r="E1461" s="3">
        <v>170.98</v>
      </c>
      <c r="F1461" s="3">
        <v>67.180000000000007</v>
      </c>
      <c r="G1461" s="3">
        <v>-58.49</v>
      </c>
      <c r="H1461" s="3">
        <v>-1.44</v>
      </c>
      <c r="I1461" s="3">
        <v>-1.26</v>
      </c>
      <c r="J1461" s="3">
        <v>-7.55</v>
      </c>
    </row>
    <row r="1462" spans="1:10" ht="14.4" x14ac:dyDescent="0.3">
      <c r="A1462" s="3"/>
      <c r="E1462" s="3">
        <v>230.8</v>
      </c>
      <c r="F1462" s="3">
        <v>-107.23</v>
      </c>
      <c r="G1462" s="3">
        <v>-105.11</v>
      </c>
      <c r="H1462" s="3">
        <v>0.54</v>
      </c>
      <c r="I1462" s="3">
        <v>-22.45</v>
      </c>
      <c r="J1462" s="3">
        <v>-8.2799999999999994</v>
      </c>
    </row>
    <row r="1463" spans="1:10" ht="14.4" x14ac:dyDescent="0.3">
      <c r="A1463" s="3"/>
      <c r="E1463" s="3">
        <v>189.95</v>
      </c>
      <c r="F1463" s="3">
        <v>49.83</v>
      </c>
      <c r="G1463" s="3">
        <v>-95.32</v>
      </c>
      <c r="H1463" s="3">
        <v>-0.67</v>
      </c>
      <c r="I1463" s="3">
        <v>-11.88</v>
      </c>
      <c r="J1463" s="3">
        <v>23.65</v>
      </c>
    </row>
    <row r="1464" spans="1:10" ht="14.4" x14ac:dyDescent="0.3">
      <c r="A1464" s="3"/>
      <c r="E1464" s="3">
        <v>249.76</v>
      </c>
      <c r="F1464" s="3">
        <v>-124.58</v>
      </c>
      <c r="G1464" s="3">
        <v>-141.94999999999999</v>
      </c>
      <c r="H1464" s="3">
        <v>1.32</v>
      </c>
      <c r="I1464" s="3">
        <v>-33.07</v>
      </c>
      <c r="J1464" s="3">
        <v>22.92</v>
      </c>
    </row>
    <row r="1465" spans="1:10" ht="14.4" x14ac:dyDescent="0.3">
      <c r="A1465" s="3"/>
      <c r="E1465" s="3">
        <v>170.98</v>
      </c>
      <c r="F1465" s="3">
        <v>67.180000000000007</v>
      </c>
      <c r="G1465" s="3">
        <v>-58.49</v>
      </c>
      <c r="H1465" s="3">
        <v>-1.44</v>
      </c>
      <c r="I1465" s="3">
        <v>-1.26</v>
      </c>
      <c r="J1465" s="3">
        <v>-7.55</v>
      </c>
    </row>
    <row r="1466" spans="1:10" ht="14.4" x14ac:dyDescent="0.3">
      <c r="A1466" s="3"/>
      <c r="E1466" s="3">
        <v>230.8</v>
      </c>
      <c r="F1466" s="3">
        <v>-107.23</v>
      </c>
      <c r="G1466" s="3">
        <v>-105.11</v>
      </c>
      <c r="H1466" s="3">
        <v>0.54</v>
      </c>
      <c r="I1466" s="3">
        <v>-22.45</v>
      </c>
      <c r="J1466" s="3">
        <v>-8.2799999999999994</v>
      </c>
    </row>
    <row r="1467" spans="1:10" ht="14.4" x14ac:dyDescent="0.3">
      <c r="A1467" s="3"/>
      <c r="E1467" s="3">
        <v>189.95</v>
      </c>
      <c r="F1467" s="3">
        <v>49.83</v>
      </c>
      <c r="G1467" s="3">
        <v>-95.32</v>
      </c>
      <c r="H1467" s="3">
        <v>-0.67</v>
      </c>
      <c r="I1467" s="3">
        <v>-11.88</v>
      </c>
      <c r="J1467" s="3">
        <v>23.65</v>
      </c>
    </row>
    <row r="1468" spans="1:10" ht="14.4" x14ac:dyDescent="0.3">
      <c r="A1468" s="3"/>
      <c r="E1468" s="3">
        <v>249.76</v>
      </c>
      <c r="F1468" s="3">
        <v>-124.58</v>
      </c>
      <c r="G1468" s="3">
        <v>-141.94999999999999</v>
      </c>
      <c r="H1468" s="3">
        <v>1.32</v>
      </c>
      <c r="I1468" s="3">
        <v>-33.07</v>
      </c>
      <c r="J1468" s="3">
        <v>22.92</v>
      </c>
    </row>
    <row r="1469" spans="1:10" ht="14.4" x14ac:dyDescent="0.3">
      <c r="A1469" s="3"/>
      <c r="E1469" s="3">
        <v>341.7</v>
      </c>
      <c r="F1469" s="3">
        <v>50.75</v>
      </c>
      <c r="G1469" s="3">
        <v>-36.979999999999997</v>
      </c>
      <c r="H1469" s="3">
        <v>1.52</v>
      </c>
      <c r="I1469" s="3">
        <v>-48.71</v>
      </c>
      <c r="J1469" s="3">
        <v>61.92</v>
      </c>
    </row>
    <row r="1470" spans="1:10" ht="14.4" x14ac:dyDescent="0.3">
      <c r="A1470" s="3"/>
      <c r="E1470" s="3">
        <v>140.11000000000001</v>
      </c>
      <c r="F1470" s="3">
        <v>-37.71</v>
      </c>
      <c r="G1470" s="3">
        <v>-126.09</v>
      </c>
      <c r="H1470" s="3">
        <v>-1.04</v>
      </c>
      <c r="I1470" s="3">
        <v>2.75</v>
      </c>
      <c r="J1470" s="3">
        <v>-42.29</v>
      </c>
    </row>
    <row r="1471" spans="1:10" ht="14.4" x14ac:dyDescent="0.3">
      <c r="A1471" s="3"/>
      <c r="E1471" s="3">
        <v>280.64</v>
      </c>
      <c r="F1471" s="3">
        <v>-19.690000000000001</v>
      </c>
      <c r="G1471" s="3">
        <v>-74.349999999999994</v>
      </c>
      <c r="H1471" s="3">
        <v>0.91</v>
      </c>
      <c r="I1471" s="3">
        <v>-37.08</v>
      </c>
      <c r="J1471" s="3">
        <v>57.66</v>
      </c>
    </row>
    <row r="1472" spans="1:10" ht="14.4" x14ac:dyDescent="0.3">
      <c r="A1472" s="3"/>
      <c r="E1472" s="3">
        <v>79.05</v>
      </c>
      <c r="F1472" s="3">
        <v>-108.16</v>
      </c>
      <c r="G1472" s="3">
        <v>-163.46</v>
      </c>
      <c r="H1472" s="3">
        <v>-1.65</v>
      </c>
      <c r="I1472" s="3">
        <v>14.39</v>
      </c>
      <c r="J1472" s="3">
        <v>-46.55</v>
      </c>
    </row>
    <row r="1473" spans="1:10" ht="14.4" x14ac:dyDescent="0.3">
      <c r="A1473" s="3"/>
      <c r="E1473" s="3">
        <v>376.45</v>
      </c>
      <c r="F1473" s="3">
        <v>96.16</v>
      </c>
      <c r="G1473" s="3">
        <v>-42.81</v>
      </c>
      <c r="H1473" s="3">
        <v>1.3</v>
      </c>
      <c r="I1473" s="3">
        <v>-47.28</v>
      </c>
      <c r="J1473" s="3">
        <v>31.68</v>
      </c>
    </row>
    <row r="1474" spans="1:10" ht="14.4" x14ac:dyDescent="0.3">
      <c r="A1474" s="3"/>
      <c r="E1474" s="3">
        <v>75</v>
      </c>
      <c r="F1474" s="3">
        <v>-122.79</v>
      </c>
      <c r="G1474" s="3">
        <v>-115.16</v>
      </c>
      <c r="H1474" s="3">
        <v>-0.63</v>
      </c>
      <c r="I1474" s="3">
        <v>0.06</v>
      </c>
      <c r="J1474" s="3">
        <v>14.37</v>
      </c>
    </row>
    <row r="1475" spans="1:10" ht="14.4" x14ac:dyDescent="0.3">
      <c r="A1475" s="3"/>
      <c r="E1475" s="3">
        <v>345.75</v>
      </c>
      <c r="F1475" s="3">
        <v>65.39</v>
      </c>
      <c r="G1475" s="3">
        <v>-85.27</v>
      </c>
      <c r="H1475" s="3">
        <v>0.5</v>
      </c>
      <c r="I1475" s="3">
        <v>-34.39</v>
      </c>
      <c r="J1475" s="3">
        <v>1</v>
      </c>
    </row>
    <row r="1476" spans="1:10" ht="14.4" x14ac:dyDescent="0.3">
      <c r="A1476" s="3"/>
      <c r="E1476" s="3">
        <v>245.16</v>
      </c>
      <c r="F1476" s="3">
        <v>78.16</v>
      </c>
      <c r="G1476" s="3">
        <v>-34.700000000000003</v>
      </c>
      <c r="H1476" s="3">
        <v>0.57999999999999996</v>
      </c>
      <c r="I1476" s="3">
        <v>-25.32</v>
      </c>
      <c r="J1476" s="3">
        <v>-2.31</v>
      </c>
    </row>
    <row r="1477" spans="1:10" ht="14.4" x14ac:dyDescent="0.3">
      <c r="A1477" s="3"/>
      <c r="E1477" s="3">
        <v>209.08</v>
      </c>
      <c r="F1477" s="3">
        <v>26.52</v>
      </c>
      <c r="G1477" s="3">
        <v>1.01</v>
      </c>
      <c r="H1477" s="3">
        <v>-2.98</v>
      </c>
      <c r="I1477" s="3">
        <v>15.76</v>
      </c>
      <c r="J1477" s="3">
        <v>-105</v>
      </c>
    </row>
    <row r="1478" spans="1:10" ht="14.4" x14ac:dyDescent="0.3">
      <c r="A1478" s="3"/>
      <c r="E1478" s="3">
        <v>348.84</v>
      </c>
      <c r="F1478" s="3">
        <v>-101.34</v>
      </c>
      <c r="G1478" s="3">
        <v>-270.42</v>
      </c>
      <c r="H1478" s="3">
        <v>2.75</v>
      </c>
      <c r="I1478" s="3">
        <v>-62.46</v>
      </c>
      <c r="J1478" s="3">
        <v>124.89</v>
      </c>
    </row>
    <row r="1479" spans="1:10" ht="14.4" x14ac:dyDescent="0.3">
      <c r="A1479" s="3"/>
      <c r="E1479" s="3">
        <v>99.31</v>
      </c>
      <c r="F1479" s="3">
        <v>172.23</v>
      </c>
      <c r="G1479" s="3">
        <v>-25.84</v>
      </c>
      <c r="H1479" s="3">
        <v>-2.25</v>
      </c>
      <c r="I1479" s="3">
        <v>10.55</v>
      </c>
      <c r="J1479" s="3">
        <v>7.06</v>
      </c>
    </row>
    <row r="1480" spans="1:10" ht="14.4" x14ac:dyDescent="0.3">
      <c r="A1480" s="3"/>
      <c r="E1480" s="3">
        <v>458.61</v>
      </c>
      <c r="F1480" s="3">
        <v>-247.05</v>
      </c>
      <c r="G1480" s="3">
        <v>-243.57</v>
      </c>
      <c r="H1480" s="3">
        <v>2.0299999999999998</v>
      </c>
      <c r="I1480" s="3">
        <v>-57.25</v>
      </c>
      <c r="J1480" s="3">
        <v>12.84</v>
      </c>
    </row>
    <row r="1481" spans="1:10" ht="14.4" x14ac:dyDescent="0.3">
      <c r="A1481" s="3"/>
      <c r="E1481" s="3">
        <v>209.08</v>
      </c>
      <c r="F1481" s="3">
        <v>26.52</v>
      </c>
      <c r="G1481" s="3">
        <v>1.01</v>
      </c>
      <c r="H1481" s="3">
        <v>-2.98</v>
      </c>
      <c r="I1481" s="3">
        <v>15.76</v>
      </c>
      <c r="J1481" s="3">
        <v>-105</v>
      </c>
    </row>
    <row r="1482" spans="1:10" ht="14.4" x14ac:dyDescent="0.3">
      <c r="A1482" s="3"/>
      <c r="E1482" s="3">
        <v>348.84</v>
      </c>
      <c r="F1482" s="3">
        <v>-101.34</v>
      </c>
      <c r="G1482" s="3">
        <v>-270.42</v>
      </c>
      <c r="H1482" s="3">
        <v>2.75</v>
      </c>
      <c r="I1482" s="3">
        <v>-62.46</v>
      </c>
      <c r="J1482" s="3">
        <v>124.89</v>
      </c>
    </row>
    <row r="1483" spans="1:10" ht="14.4" x14ac:dyDescent="0.3">
      <c r="A1483" s="3"/>
      <c r="E1483" s="3">
        <v>99.31</v>
      </c>
      <c r="F1483" s="3">
        <v>172.23</v>
      </c>
      <c r="G1483" s="3">
        <v>-25.84</v>
      </c>
      <c r="H1483" s="3">
        <v>-2.25</v>
      </c>
      <c r="I1483" s="3">
        <v>10.55</v>
      </c>
      <c r="J1483" s="3">
        <v>7.06</v>
      </c>
    </row>
    <row r="1484" spans="1:10" ht="14.4" x14ac:dyDescent="0.3">
      <c r="A1484" s="3"/>
      <c r="E1484" s="3">
        <v>458.61</v>
      </c>
      <c r="F1484" s="3">
        <v>-247.05</v>
      </c>
      <c r="G1484" s="3">
        <v>-243.57</v>
      </c>
      <c r="H1484" s="3">
        <v>2.0299999999999998</v>
      </c>
      <c r="I1484" s="3">
        <v>-57.25</v>
      </c>
      <c r="J1484" s="3">
        <v>12.84</v>
      </c>
    </row>
    <row r="1485" spans="1:10" ht="14.4" x14ac:dyDescent="0.3">
      <c r="A1485" s="3"/>
      <c r="E1485" s="3">
        <v>135.88</v>
      </c>
      <c r="F1485" s="3">
        <v>37.81</v>
      </c>
      <c r="G1485" s="3">
        <v>32.270000000000003</v>
      </c>
      <c r="H1485" s="3">
        <v>-3.01</v>
      </c>
      <c r="I1485" s="3">
        <v>20.56</v>
      </c>
      <c r="J1485" s="3">
        <v>-108.17</v>
      </c>
    </row>
    <row r="1486" spans="1:10" ht="14.4" x14ac:dyDescent="0.3">
      <c r="A1486" s="3"/>
      <c r="E1486" s="3">
        <v>275.63</v>
      </c>
      <c r="F1486" s="3">
        <v>-90.05</v>
      </c>
      <c r="G1486" s="3">
        <v>-239.16</v>
      </c>
      <c r="H1486" s="3">
        <v>2.71</v>
      </c>
      <c r="I1486" s="3">
        <v>-57.67</v>
      </c>
      <c r="J1486" s="3">
        <v>121.73</v>
      </c>
    </row>
    <row r="1487" spans="1:10" ht="14.4" x14ac:dyDescent="0.3">
      <c r="A1487" s="3"/>
      <c r="E1487" s="3">
        <v>26.1</v>
      </c>
      <c r="F1487" s="3">
        <v>183.52</v>
      </c>
      <c r="G1487" s="3">
        <v>5.42</v>
      </c>
      <c r="H1487" s="3">
        <v>-2.29</v>
      </c>
      <c r="I1487" s="3">
        <v>15.34</v>
      </c>
      <c r="J1487" s="3">
        <v>3.89</v>
      </c>
    </row>
    <row r="1488" spans="1:10" ht="14.4" x14ac:dyDescent="0.3">
      <c r="A1488" s="3"/>
      <c r="E1488" s="3">
        <v>385.4</v>
      </c>
      <c r="F1488" s="3">
        <v>-235.76</v>
      </c>
      <c r="G1488" s="3">
        <v>-212.31</v>
      </c>
      <c r="H1488" s="3">
        <v>1.99</v>
      </c>
      <c r="I1488" s="3">
        <v>-52.45</v>
      </c>
      <c r="J1488" s="3">
        <v>9.67</v>
      </c>
    </row>
    <row r="1489" spans="1:10" ht="14.4" x14ac:dyDescent="0.3">
      <c r="A1489" s="3"/>
      <c r="E1489" s="3">
        <v>135.88</v>
      </c>
      <c r="F1489" s="3">
        <v>37.81</v>
      </c>
      <c r="G1489" s="3">
        <v>32.270000000000003</v>
      </c>
      <c r="H1489" s="3">
        <v>-3.01</v>
      </c>
      <c r="I1489" s="3">
        <v>20.56</v>
      </c>
      <c r="J1489" s="3">
        <v>-108.17</v>
      </c>
    </row>
    <row r="1490" spans="1:10" ht="14.4" x14ac:dyDescent="0.3">
      <c r="A1490" s="3"/>
      <c r="E1490" s="3">
        <v>275.63</v>
      </c>
      <c r="F1490" s="3">
        <v>-90.05</v>
      </c>
      <c r="G1490" s="3">
        <v>-239.16</v>
      </c>
      <c r="H1490" s="3">
        <v>2.71</v>
      </c>
      <c r="I1490" s="3">
        <v>-57.67</v>
      </c>
      <c r="J1490" s="3">
        <v>121.73</v>
      </c>
    </row>
    <row r="1491" spans="1:10" ht="14.4" x14ac:dyDescent="0.3">
      <c r="A1491" s="3"/>
      <c r="E1491" s="3">
        <v>26.1</v>
      </c>
      <c r="F1491" s="3">
        <v>183.52</v>
      </c>
      <c r="G1491" s="3">
        <v>5.42</v>
      </c>
      <c r="H1491" s="3">
        <v>-2.29</v>
      </c>
      <c r="I1491" s="3">
        <v>15.34</v>
      </c>
      <c r="J1491" s="3">
        <v>3.89</v>
      </c>
    </row>
    <row r="1492" spans="1:10" ht="14.4" x14ac:dyDescent="0.3">
      <c r="A1492" s="3"/>
      <c r="E1492" s="3">
        <v>385.4</v>
      </c>
      <c r="F1492" s="3">
        <v>-235.76</v>
      </c>
      <c r="G1492" s="3">
        <v>-212.31</v>
      </c>
      <c r="H1492" s="3">
        <v>1.99</v>
      </c>
      <c r="I1492" s="3">
        <v>-52.45</v>
      </c>
      <c r="J1492" s="3">
        <v>9.67</v>
      </c>
    </row>
    <row r="1493" spans="1:10" ht="14.4" x14ac:dyDescent="0.3">
      <c r="A1493" s="3"/>
      <c r="E1493" s="3">
        <v>388.74</v>
      </c>
      <c r="F1493" s="3">
        <v>3.91</v>
      </c>
      <c r="G1493" s="3">
        <v>-11.83</v>
      </c>
      <c r="H1493" s="3">
        <v>-2.11</v>
      </c>
      <c r="I1493" s="3">
        <v>26.17</v>
      </c>
      <c r="J1493" s="3">
        <v>10.85</v>
      </c>
    </row>
    <row r="1494" spans="1:10" ht="14.4" x14ac:dyDescent="0.3">
      <c r="A1494" s="3"/>
      <c r="E1494" s="3">
        <v>357.53</v>
      </c>
      <c r="F1494" s="3">
        <v>2.98</v>
      </c>
      <c r="G1494" s="3">
        <v>-11.58</v>
      </c>
      <c r="H1494" s="3">
        <v>-2.17</v>
      </c>
      <c r="I1494" s="3">
        <v>26.35</v>
      </c>
      <c r="J1494" s="3">
        <v>10.74</v>
      </c>
    </row>
    <row r="1495" spans="1:10" ht="14.4" x14ac:dyDescent="0.3">
      <c r="A1495" s="3"/>
      <c r="E1495" s="3">
        <v>433.14</v>
      </c>
      <c r="F1495" s="3">
        <v>2.25</v>
      </c>
      <c r="G1495" s="3">
        <v>-14.38</v>
      </c>
      <c r="H1495" s="3">
        <v>-2.77</v>
      </c>
      <c r="I1495" s="3">
        <v>33.08</v>
      </c>
      <c r="J1495" s="3">
        <v>11.98</v>
      </c>
    </row>
    <row r="1496" spans="1:10" ht="14.4" x14ac:dyDescent="0.3">
      <c r="A1496" s="3"/>
      <c r="E1496" s="3">
        <v>340.88</v>
      </c>
      <c r="F1496" s="3">
        <v>3.03</v>
      </c>
      <c r="G1496" s="3">
        <v>-10.86</v>
      </c>
      <c r="H1496" s="3">
        <v>-1.96</v>
      </c>
      <c r="I1496" s="3">
        <v>24.34</v>
      </c>
      <c r="J1496" s="3">
        <v>9.94</v>
      </c>
    </row>
    <row r="1497" spans="1:10" ht="14.4" x14ac:dyDescent="0.3">
      <c r="A1497" s="3"/>
      <c r="E1497" s="3">
        <v>582.82000000000005</v>
      </c>
      <c r="F1497" s="3">
        <v>0.71</v>
      </c>
      <c r="G1497" s="3">
        <v>-19.809999999999999</v>
      </c>
      <c r="H1497" s="3">
        <v>-3.87</v>
      </c>
      <c r="I1497" s="3">
        <v>45.88</v>
      </c>
      <c r="J1497" s="3">
        <v>13.91</v>
      </c>
    </row>
    <row r="1498" spans="1:10" ht="14.4" x14ac:dyDescent="0.3">
      <c r="A1498" s="3"/>
      <c r="E1498" s="3">
        <v>328.36</v>
      </c>
      <c r="F1498" s="3">
        <v>4.55</v>
      </c>
      <c r="G1498" s="3">
        <v>-10.62</v>
      </c>
      <c r="H1498" s="3">
        <v>-1.63</v>
      </c>
      <c r="I1498" s="3">
        <v>21.48</v>
      </c>
      <c r="J1498" s="3">
        <v>9.32</v>
      </c>
    </row>
    <row r="1499" spans="1:10" ht="14.4" x14ac:dyDescent="0.3">
      <c r="A1499" s="3"/>
      <c r="E1499" s="3">
        <v>326.5</v>
      </c>
      <c r="F1499" s="3">
        <v>4.9400000000000004</v>
      </c>
      <c r="G1499" s="3">
        <v>-9.99</v>
      </c>
      <c r="H1499" s="3">
        <v>-1.46</v>
      </c>
      <c r="I1499" s="3">
        <v>21.2</v>
      </c>
      <c r="J1499" s="3">
        <v>9.5299999999999994</v>
      </c>
    </row>
    <row r="1500" spans="1:10" ht="14.4" x14ac:dyDescent="0.3">
      <c r="A1500" s="3"/>
      <c r="E1500" s="3">
        <v>332.8</v>
      </c>
      <c r="F1500" s="3">
        <v>3.46</v>
      </c>
      <c r="G1500" s="3">
        <v>-9.7100000000000009</v>
      </c>
      <c r="H1500" s="3">
        <v>-1.83</v>
      </c>
      <c r="I1500" s="3">
        <v>22.69</v>
      </c>
      <c r="J1500" s="3">
        <v>9.61</v>
      </c>
    </row>
    <row r="1501" spans="1:10" ht="14.4" x14ac:dyDescent="0.3">
      <c r="A1501" s="3"/>
      <c r="E1501" s="3">
        <v>335.33</v>
      </c>
      <c r="F1501" s="3">
        <v>2.76</v>
      </c>
      <c r="G1501" s="3">
        <v>-10.18</v>
      </c>
      <c r="H1501" s="3">
        <v>-1.93</v>
      </c>
      <c r="I1501" s="3">
        <v>22.96</v>
      </c>
      <c r="J1501" s="3">
        <v>9.17</v>
      </c>
    </row>
    <row r="1502" spans="1:10" ht="14.4" x14ac:dyDescent="0.3">
      <c r="A1502" s="3"/>
      <c r="E1502" s="3">
        <v>335.24</v>
      </c>
      <c r="F1502" s="3">
        <v>4.3</v>
      </c>
      <c r="G1502" s="3">
        <v>-10.46</v>
      </c>
      <c r="H1502" s="3">
        <v>-1.86</v>
      </c>
      <c r="I1502" s="3">
        <v>23.97</v>
      </c>
      <c r="J1502" s="3">
        <v>10.83</v>
      </c>
    </row>
    <row r="1503" spans="1:10" ht="14.4" x14ac:dyDescent="0.3">
      <c r="A1503" s="3"/>
      <c r="E1503" s="3">
        <v>339.86</v>
      </c>
      <c r="F1503" s="3">
        <v>2.57</v>
      </c>
      <c r="G1503" s="3">
        <v>-10.92</v>
      </c>
      <c r="H1503" s="3">
        <v>-2.0299999999999998</v>
      </c>
      <c r="I1503" s="3">
        <v>24.45</v>
      </c>
      <c r="J1503" s="3">
        <v>9.69</v>
      </c>
    </row>
    <row r="1504" spans="1:10" ht="14.4" x14ac:dyDescent="0.3">
      <c r="A1504" s="3"/>
      <c r="E1504" s="3">
        <v>337.85</v>
      </c>
      <c r="F1504" s="3">
        <v>1.85</v>
      </c>
      <c r="G1504" s="3">
        <v>-10.36</v>
      </c>
      <c r="H1504" s="3">
        <v>-2.06</v>
      </c>
      <c r="I1504" s="3">
        <v>22.91</v>
      </c>
      <c r="J1504" s="3">
        <v>8.49</v>
      </c>
    </row>
    <row r="1505" spans="1:10" ht="14.4" x14ac:dyDescent="0.3">
      <c r="A1505" s="3"/>
      <c r="E1505" s="3">
        <v>344.26</v>
      </c>
      <c r="F1505" s="3">
        <v>1.17</v>
      </c>
      <c r="G1505" s="3">
        <v>-11.07</v>
      </c>
      <c r="H1505" s="3">
        <v>-2.2200000000000002</v>
      </c>
      <c r="I1505" s="3">
        <v>24.92</v>
      </c>
      <c r="J1505" s="3">
        <v>8.9700000000000006</v>
      </c>
    </row>
    <row r="1506" spans="1:10" ht="14.4" x14ac:dyDescent="0.3">
      <c r="A1506" s="3"/>
      <c r="E1506" s="3">
        <v>340.62</v>
      </c>
      <c r="F1506" s="3">
        <v>1.1000000000000001</v>
      </c>
      <c r="G1506" s="3">
        <v>-9.93</v>
      </c>
      <c r="H1506" s="3">
        <v>-2.06</v>
      </c>
      <c r="I1506" s="3">
        <v>23.96</v>
      </c>
      <c r="J1506" s="3">
        <v>8.69</v>
      </c>
    </row>
    <row r="1507" spans="1:10" ht="14.4" x14ac:dyDescent="0.3">
      <c r="A1507" s="3"/>
      <c r="E1507" s="3">
        <v>342.47</v>
      </c>
      <c r="F1507" s="3">
        <v>0.72</v>
      </c>
      <c r="G1507" s="3">
        <v>-10.57</v>
      </c>
      <c r="H1507" s="3">
        <v>-2.23</v>
      </c>
      <c r="I1507" s="3">
        <v>24.24</v>
      </c>
      <c r="J1507" s="3">
        <v>8.49</v>
      </c>
    </row>
    <row r="1508" spans="1:10" ht="14.4" x14ac:dyDescent="0.3">
      <c r="A1508" s="3"/>
      <c r="E1508" s="3">
        <v>336.18</v>
      </c>
      <c r="F1508" s="3">
        <v>2.19</v>
      </c>
      <c r="G1508" s="3">
        <v>-10.85</v>
      </c>
      <c r="H1508" s="3">
        <v>-1.86</v>
      </c>
      <c r="I1508" s="3">
        <v>22.75</v>
      </c>
      <c r="J1508" s="3">
        <v>8.4</v>
      </c>
    </row>
    <row r="1509" spans="1:10" ht="14.4" x14ac:dyDescent="0.3">
      <c r="A1509" s="3"/>
      <c r="E1509" s="3">
        <v>333.65</v>
      </c>
      <c r="F1509" s="3">
        <v>2.9</v>
      </c>
      <c r="G1509" s="3">
        <v>-10.38</v>
      </c>
      <c r="H1509" s="3">
        <v>-1.76</v>
      </c>
      <c r="I1509" s="3">
        <v>22.48</v>
      </c>
      <c r="J1509" s="3">
        <v>8.84</v>
      </c>
    </row>
    <row r="1510" spans="1:10" ht="14.4" x14ac:dyDescent="0.3">
      <c r="A1510" s="3"/>
      <c r="E1510" s="3">
        <v>333.74</v>
      </c>
      <c r="F1510" s="3">
        <v>1.36</v>
      </c>
      <c r="G1510" s="3">
        <v>-10.1</v>
      </c>
      <c r="H1510" s="3">
        <v>-1.83</v>
      </c>
      <c r="I1510" s="3">
        <v>21.47</v>
      </c>
      <c r="J1510" s="3">
        <v>7.18</v>
      </c>
    </row>
    <row r="1511" spans="1:10" ht="14.4" x14ac:dyDescent="0.3">
      <c r="A1511" s="3"/>
      <c r="E1511" s="3">
        <v>329.12</v>
      </c>
      <c r="F1511" s="3">
        <v>3.09</v>
      </c>
      <c r="G1511" s="3">
        <v>-9.64</v>
      </c>
      <c r="H1511" s="3">
        <v>-1.66</v>
      </c>
      <c r="I1511" s="3">
        <v>20.99</v>
      </c>
      <c r="J1511" s="3">
        <v>8.32</v>
      </c>
    </row>
    <row r="1512" spans="1:10" ht="14.4" x14ac:dyDescent="0.3">
      <c r="A1512" s="3"/>
      <c r="E1512" s="3">
        <v>331.13</v>
      </c>
      <c r="F1512" s="3">
        <v>3.81</v>
      </c>
      <c r="G1512" s="3">
        <v>-10.199999999999999</v>
      </c>
      <c r="H1512" s="3">
        <v>-1.63</v>
      </c>
      <c r="I1512" s="3">
        <v>22.53</v>
      </c>
      <c r="J1512" s="3">
        <v>9.52</v>
      </c>
    </row>
    <row r="1513" spans="1:10" ht="14.4" x14ac:dyDescent="0.3">
      <c r="A1513" s="3"/>
      <c r="E1513" s="3">
        <v>324.72000000000003</v>
      </c>
      <c r="F1513" s="3">
        <v>4.49</v>
      </c>
      <c r="G1513" s="3">
        <v>-9.49</v>
      </c>
      <c r="H1513" s="3">
        <v>-1.47</v>
      </c>
      <c r="I1513" s="3">
        <v>20.52</v>
      </c>
      <c r="J1513" s="3">
        <v>9.0399999999999991</v>
      </c>
    </row>
    <row r="1514" spans="1:10" ht="14.4" x14ac:dyDescent="0.3">
      <c r="A1514" s="3"/>
      <c r="E1514" s="3">
        <v>570.29999999999995</v>
      </c>
      <c r="F1514" s="3">
        <v>2.23</v>
      </c>
      <c r="G1514" s="3">
        <v>-19.57</v>
      </c>
      <c r="H1514" s="3">
        <v>-3.54</v>
      </c>
      <c r="I1514" s="3">
        <v>43.02</v>
      </c>
      <c r="J1514" s="3">
        <v>13.29</v>
      </c>
    </row>
    <row r="1515" spans="1:10" ht="14.4" x14ac:dyDescent="0.3">
      <c r="A1515" s="3"/>
      <c r="E1515" s="3">
        <v>568.45000000000005</v>
      </c>
      <c r="F1515" s="3">
        <v>2.62</v>
      </c>
      <c r="G1515" s="3">
        <v>-18.940000000000001</v>
      </c>
      <c r="H1515" s="3">
        <v>-3.37</v>
      </c>
      <c r="I1515" s="3">
        <v>42.74</v>
      </c>
      <c r="J1515" s="3">
        <v>13.5</v>
      </c>
    </row>
    <row r="1516" spans="1:10" ht="14.4" x14ac:dyDescent="0.3">
      <c r="A1516" s="3"/>
      <c r="E1516" s="3">
        <v>574.75</v>
      </c>
      <c r="F1516" s="3">
        <v>1.1499999999999999</v>
      </c>
      <c r="G1516" s="3">
        <v>-18.66</v>
      </c>
      <c r="H1516" s="3">
        <v>-3.74</v>
      </c>
      <c r="I1516" s="3">
        <v>44.23</v>
      </c>
      <c r="J1516" s="3">
        <v>13.58</v>
      </c>
    </row>
    <row r="1517" spans="1:10" ht="14.4" x14ac:dyDescent="0.3">
      <c r="A1517" s="3"/>
      <c r="E1517" s="3">
        <v>577.28</v>
      </c>
      <c r="F1517" s="3">
        <v>0.44</v>
      </c>
      <c r="G1517" s="3">
        <v>-19.13</v>
      </c>
      <c r="H1517" s="3">
        <v>-3.85</v>
      </c>
      <c r="I1517" s="3">
        <v>44.5</v>
      </c>
      <c r="J1517" s="3">
        <v>13.14</v>
      </c>
    </row>
    <row r="1518" spans="1:10" ht="14.4" x14ac:dyDescent="0.3">
      <c r="A1518" s="3"/>
      <c r="E1518" s="3">
        <v>577.19000000000005</v>
      </c>
      <c r="F1518" s="3">
        <v>1.98</v>
      </c>
      <c r="G1518" s="3">
        <v>-19.41</v>
      </c>
      <c r="H1518" s="3">
        <v>-3.78</v>
      </c>
      <c r="I1518" s="3">
        <v>45.51</v>
      </c>
      <c r="J1518" s="3">
        <v>14.8</v>
      </c>
    </row>
    <row r="1519" spans="1:10" ht="14.4" x14ac:dyDescent="0.3">
      <c r="A1519" s="3"/>
      <c r="E1519" s="3">
        <v>581.79999999999995</v>
      </c>
      <c r="F1519" s="3">
        <v>0.25</v>
      </c>
      <c r="G1519" s="3">
        <v>-19.87</v>
      </c>
      <c r="H1519" s="3">
        <v>-3.94</v>
      </c>
      <c r="I1519" s="3">
        <v>45.99</v>
      </c>
      <c r="J1519" s="3">
        <v>13.66</v>
      </c>
    </row>
    <row r="1520" spans="1:10" ht="14.4" x14ac:dyDescent="0.3">
      <c r="A1520" s="3"/>
      <c r="E1520" s="3">
        <v>579.79</v>
      </c>
      <c r="F1520" s="3">
        <v>-0.47</v>
      </c>
      <c r="G1520" s="3">
        <v>-19.309999999999999</v>
      </c>
      <c r="H1520" s="3">
        <v>-3.97</v>
      </c>
      <c r="I1520" s="3">
        <v>44.45</v>
      </c>
      <c r="J1520" s="3">
        <v>12.46</v>
      </c>
    </row>
    <row r="1521" spans="1:10" ht="14.4" x14ac:dyDescent="0.3">
      <c r="A1521" s="3"/>
      <c r="E1521" s="3">
        <v>586.20000000000005</v>
      </c>
      <c r="F1521" s="3">
        <v>-1.1499999999999999</v>
      </c>
      <c r="G1521" s="3">
        <v>-20.02</v>
      </c>
      <c r="H1521" s="3">
        <v>-4.13</v>
      </c>
      <c r="I1521" s="3">
        <v>46.46</v>
      </c>
      <c r="J1521" s="3">
        <v>12.94</v>
      </c>
    </row>
    <row r="1522" spans="1:10" ht="14.4" x14ac:dyDescent="0.3">
      <c r="A1522" s="3"/>
      <c r="E1522" s="3">
        <v>582.57000000000005</v>
      </c>
      <c r="F1522" s="3">
        <v>-1.21</v>
      </c>
      <c r="G1522" s="3">
        <v>-18.88</v>
      </c>
      <c r="H1522" s="3">
        <v>-3.97</v>
      </c>
      <c r="I1522" s="3">
        <v>45.5</v>
      </c>
      <c r="J1522" s="3">
        <v>12.66</v>
      </c>
    </row>
    <row r="1523" spans="1:10" ht="14.4" x14ac:dyDescent="0.3">
      <c r="A1523" s="3"/>
      <c r="E1523" s="3">
        <v>584.41999999999996</v>
      </c>
      <c r="F1523" s="3">
        <v>-1.6</v>
      </c>
      <c r="G1523" s="3">
        <v>-19.52</v>
      </c>
      <c r="H1523" s="3">
        <v>-4.1399999999999997</v>
      </c>
      <c r="I1523" s="3">
        <v>45.78</v>
      </c>
      <c r="J1523" s="3">
        <v>12.46</v>
      </c>
    </row>
    <row r="1524" spans="1:10" ht="14.4" x14ac:dyDescent="0.3">
      <c r="A1524" s="3"/>
      <c r="E1524" s="3">
        <v>578.12</v>
      </c>
      <c r="F1524" s="3">
        <v>-0.13</v>
      </c>
      <c r="G1524" s="3">
        <v>-19.8</v>
      </c>
      <c r="H1524" s="3">
        <v>-3.77</v>
      </c>
      <c r="I1524" s="3">
        <v>44.29</v>
      </c>
      <c r="J1524" s="3">
        <v>12.37</v>
      </c>
    </row>
    <row r="1525" spans="1:10" ht="14.4" x14ac:dyDescent="0.3">
      <c r="A1525" s="3"/>
      <c r="E1525" s="3">
        <v>575.59</v>
      </c>
      <c r="F1525" s="3">
        <v>0.57999999999999996</v>
      </c>
      <c r="G1525" s="3">
        <v>-19.329999999999998</v>
      </c>
      <c r="H1525" s="3">
        <v>-3.67</v>
      </c>
      <c r="I1525" s="3">
        <v>44.02</v>
      </c>
      <c r="J1525" s="3">
        <v>12.81</v>
      </c>
    </row>
    <row r="1526" spans="1:10" ht="14.4" x14ac:dyDescent="0.3">
      <c r="A1526" s="3"/>
      <c r="E1526" s="3">
        <v>575.67999999999995</v>
      </c>
      <c r="F1526" s="3">
        <v>-0.96</v>
      </c>
      <c r="G1526" s="3">
        <v>-19.05</v>
      </c>
      <c r="H1526" s="3">
        <v>-3.74</v>
      </c>
      <c r="I1526" s="3">
        <v>43.01</v>
      </c>
      <c r="J1526" s="3">
        <v>11.15</v>
      </c>
    </row>
    <row r="1527" spans="1:10" ht="14.4" x14ac:dyDescent="0.3">
      <c r="A1527" s="3"/>
      <c r="E1527" s="3">
        <v>571.07000000000005</v>
      </c>
      <c r="F1527" s="3">
        <v>0.77</v>
      </c>
      <c r="G1527" s="3">
        <v>-18.59</v>
      </c>
      <c r="H1527" s="3">
        <v>-3.58</v>
      </c>
      <c r="I1527" s="3">
        <v>42.53</v>
      </c>
      <c r="J1527" s="3">
        <v>12.29</v>
      </c>
    </row>
    <row r="1528" spans="1:10" ht="14.4" x14ac:dyDescent="0.3">
      <c r="A1528" s="3"/>
      <c r="E1528" s="3">
        <v>573.08000000000004</v>
      </c>
      <c r="F1528" s="3">
        <v>1.49</v>
      </c>
      <c r="G1528" s="3">
        <v>-19.149999999999999</v>
      </c>
      <c r="H1528" s="3">
        <v>-3.55</v>
      </c>
      <c r="I1528" s="3">
        <v>44.07</v>
      </c>
      <c r="J1528" s="3">
        <v>13.49</v>
      </c>
    </row>
    <row r="1529" spans="1:10" ht="14.4" x14ac:dyDescent="0.3">
      <c r="A1529" s="3"/>
      <c r="E1529" s="3">
        <v>566.66</v>
      </c>
      <c r="F1529" s="3">
        <v>2.17</v>
      </c>
      <c r="G1529" s="3">
        <v>-18.440000000000001</v>
      </c>
      <c r="H1529" s="3">
        <v>-3.39</v>
      </c>
      <c r="I1529" s="3">
        <v>42.06</v>
      </c>
      <c r="J1529" s="3">
        <v>13.01</v>
      </c>
    </row>
    <row r="1530" spans="1:10" ht="14.4" x14ac:dyDescent="0.3">
      <c r="A1530" s="3"/>
      <c r="E1530" s="3">
        <v>327.73</v>
      </c>
      <c r="F1530" s="3">
        <v>6.83</v>
      </c>
      <c r="G1530" s="3">
        <v>-11.46</v>
      </c>
      <c r="H1530" s="3">
        <v>-1.51</v>
      </c>
      <c r="I1530" s="3">
        <v>21.66</v>
      </c>
      <c r="J1530" s="3">
        <v>10.77</v>
      </c>
    </row>
    <row r="1531" spans="1:10" ht="14.4" x14ac:dyDescent="0.3">
      <c r="A1531" s="3"/>
      <c r="E1531" s="3">
        <v>324.02</v>
      </c>
      <c r="F1531" s="3">
        <v>7.6</v>
      </c>
      <c r="G1531" s="3">
        <v>-10.18</v>
      </c>
      <c r="H1531" s="3">
        <v>-1.1599999999999999</v>
      </c>
      <c r="I1531" s="3">
        <v>21.11</v>
      </c>
      <c r="J1531" s="3">
        <v>11.18</v>
      </c>
    </row>
    <row r="1532" spans="1:10" ht="14.4" x14ac:dyDescent="0.3">
      <c r="A1532" s="3"/>
      <c r="E1532" s="3">
        <v>336.62</v>
      </c>
      <c r="F1532" s="3">
        <v>4.66</v>
      </c>
      <c r="G1532" s="3">
        <v>-9.6300000000000008</v>
      </c>
      <c r="H1532" s="3">
        <v>-1.91</v>
      </c>
      <c r="I1532" s="3">
        <v>24.08</v>
      </c>
      <c r="J1532" s="3">
        <v>11.34</v>
      </c>
    </row>
    <row r="1533" spans="1:10" ht="14.4" x14ac:dyDescent="0.3">
      <c r="A1533" s="3"/>
      <c r="E1533" s="3">
        <v>341.68</v>
      </c>
      <c r="F1533" s="3">
        <v>3.25</v>
      </c>
      <c r="G1533" s="3">
        <v>-10.56</v>
      </c>
      <c r="H1533" s="3">
        <v>-2.12</v>
      </c>
      <c r="I1533" s="3">
        <v>24.62</v>
      </c>
      <c r="J1533" s="3">
        <v>10.47</v>
      </c>
    </row>
    <row r="1534" spans="1:10" ht="14.4" x14ac:dyDescent="0.3">
      <c r="A1534" s="3"/>
      <c r="E1534" s="3">
        <v>341.5</v>
      </c>
      <c r="F1534" s="3">
        <v>6.33</v>
      </c>
      <c r="G1534" s="3">
        <v>-11.12</v>
      </c>
      <c r="H1534" s="3">
        <v>-1.97</v>
      </c>
      <c r="I1534" s="3">
        <v>26.64</v>
      </c>
      <c r="J1534" s="3">
        <v>13.79</v>
      </c>
    </row>
    <row r="1535" spans="1:10" ht="14.4" x14ac:dyDescent="0.3">
      <c r="A1535" s="3"/>
      <c r="E1535" s="3">
        <v>350.73</v>
      </c>
      <c r="F1535" s="3">
        <v>2.87</v>
      </c>
      <c r="G1535" s="3">
        <v>-12.04</v>
      </c>
      <c r="H1535" s="3">
        <v>-2.2999999999999998</v>
      </c>
      <c r="I1535" s="3">
        <v>27.6</v>
      </c>
      <c r="J1535" s="3">
        <v>11.5</v>
      </c>
    </row>
    <row r="1536" spans="1:10" ht="14.4" x14ac:dyDescent="0.3">
      <c r="A1536" s="3"/>
      <c r="E1536" s="3">
        <v>346.71</v>
      </c>
      <c r="F1536" s="3">
        <v>1.43</v>
      </c>
      <c r="G1536" s="3">
        <v>-10.93</v>
      </c>
      <c r="H1536" s="3">
        <v>-2.36</v>
      </c>
      <c r="I1536" s="3">
        <v>24.52</v>
      </c>
      <c r="J1536" s="3">
        <v>9.11</v>
      </c>
    </row>
    <row r="1537" spans="1:10" ht="14.4" x14ac:dyDescent="0.3">
      <c r="A1537" s="3"/>
      <c r="E1537" s="3">
        <v>359.53</v>
      </c>
      <c r="F1537" s="3">
        <v>0.06</v>
      </c>
      <c r="G1537" s="3">
        <v>-12.35</v>
      </c>
      <c r="H1537" s="3">
        <v>-2.68</v>
      </c>
      <c r="I1537" s="3">
        <v>28.54</v>
      </c>
      <c r="J1537" s="3">
        <v>10.07</v>
      </c>
    </row>
    <row r="1538" spans="1:10" ht="14.4" x14ac:dyDescent="0.3">
      <c r="A1538" s="3"/>
      <c r="E1538" s="3">
        <v>352.26</v>
      </c>
      <c r="F1538" s="3">
        <v>-0.06</v>
      </c>
      <c r="G1538" s="3">
        <v>-10.07</v>
      </c>
      <c r="H1538" s="3">
        <v>-2.37</v>
      </c>
      <c r="I1538" s="3">
        <v>26.62</v>
      </c>
      <c r="J1538" s="3">
        <v>9.51</v>
      </c>
    </row>
    <row r="1539" spans="1:10" ht="14.4" x14ac:dyDescent="0.3">
      <c r="A1539" s="3"/>
      <c r="E1539" s="3">
        <v>355.96</v>
      </c>
      <c r="F1539" s="3">
        <v>-0.83</v>
      </c>
      <c r="G1539" s="3">
        <v>-11.34</v>
      </c>
      <c r="H1539" s="3">
        <v>-2.71</v>
      </c>
      <c r="I1539" s="3">
        <v>27.17</v>
      </c>
      <c r="J1539" s="3">
        <v>9.1</v>
      </c>
    </row>
    <row r="1540" spans="1:10" ht="14.4" x14ac:dyDescent="0.3">
      <c r="A1540" s="3"/>
      <c r="E1540" s="3">
        <v>343.37</v>
      </c>
      <c r="F1540" s="3">
        <v>2.11</v>
      </c>
      <c r="G1540" s="3">
        <v>-11.9</v>
      </c>
      <c r="H1540" s="3">
        <v>-1.97</v>
      </c>
      <c r="I1540" s="3">
        <v>24.2</v>
      </c>
      <c r="J1540" s="3">
        <v>8.94</v>
      </c>
    </row>
    <row r="1541" spans="1:10" ht="14.4" x14ac:dyDescent="0.3">
      <c r="A1541" s="3"/>
      <c r="E1541" s="3">
        <v>338.3</v>
      </c>
      <c r="F1541" s="3">
        <v>3.52</v>
      </c>
      <c r="G1541" s="3">
        <v>-10.97</v>
      </c>
      <c r="H1541" s="3">
        <v>-1.76</v>
      </c>
      <c r="I1541" s="3">
        <v>23.66</v>
      </c>
      <c r="J1541" s="3">
        <v>9.81</v>
      </c>
    </row>
    <row r="1542" spans="1:10" ht="14.4" x14ac:dyDescent="0.3">
      <c r="A1542" s="3"/>
      <c r="E1542" s="3">
        <v>338.48</v>
      </c>
      <c r="F1542" s="3">
        <v>0.45</v>
      </c>
      <c r="G1542" s="3">
        <v>-10.41</v>
      </c>
      <c r="H1542" s="3">
        <v>-1.9</v>
      </c>
      <c r="I1542" s="3">
        <v>21.64</v>
      </c>
      <c r="J1542" s="3">
        <v>6.49</v>
      </c>
    </row>
    <row r="1543" spans="1:10" ht="14.4" x14ac:dyDescent="0.3">
      <c r="A1543" s="3"/>
      <c r="E1543" s="3">
        <v>329.26</v>
      </c>
      <c r="F1543" s="3">
        <v>3.9</v>
      </c>
      <c r="G1543" s="3">
        <v>-9.49</v>
      </c>
      <c r="H1543" s="3">
        <v>-1.57</v>
      </c>
      <c r="I1543" s="3">
        <v>20.69</v>
      </c>
      <c r="J1543" s="3">
        <v>8.7799999999999994</v>
      </c>
    </row>
    <row r="1544" spans="1:10" ht="14.4" x14ac:dyDescent="0.3">
      <c r="A1544" s="3"/>
      <c r="E1544" s="3">
        <v>333.28</v>
      </c>
      <c r="F1544" s="3">
        <v>5.35</v>
      </c>
      <c r="G1544" s="3">
        <v>-10.6</v>
      </c>
      <c r="H1544" s="3">
        <v>-1.51</v>
      </c>
      <c r="I1544" s="3">
        <v>23.77</v>
      </c>
      <c r="J1544" s="3">
        <v>11.18</v>
      </c>
    </row>
    <row r="1545" spans="1:10" ht="14.4" x14ac:dyDescent="0.3">
      <c r="A1545" s="3"/>
      <c r="E1545" s="3">
        <v>316.16000000000003</v>
      </c>
      <c r="F1545" s="3">
        <v>6.19</v>
      </c>
      <c r="G1545" s="3">
        <v>-8.82</v>
      </c>
      <c r="H1545" s="3">
        <v>-1.22</v>
      </c>
      <c r="I1545" s="3">
        <v>19.07</v>
      </c>
      <c r="J1545" s="3">
        <v>9.93</v>
      </c>
    </row>
    <row r="1546" spans="1:10" ht="14.4" x14ac:dyDescent="0.3">
      <c r="A1546" s="3"/>
      <c r="E1546" s="3">
        <v>327.73</v>
      </c>
      <c r="F1546" s="3">
        <v>6.83</v>
      </c>
      <c r="G1546" s="3">
        <v>-11.46</v>
      </c>
      <c r="H1546" s="3">
        <v>-1.51</v>
      </c>
      <c r="I1546" s="3">
        <v>21.66</v>
      </c>
      <c r="J1546" s="3">
        <v>10.77</v>
      </c>
    </row>
    <row r="1547" spans="1:10" ht="14.4" x14ac:dyDescent="0.3">
      <c r="A1547" s="3"/>
      <c r="E1547" s="3">
        <v>324.02</v>
      </c>
      <c r="F1547" s="3">
        <v>7.6</v>
      </c>
      <c r="G1547" s="3">
        <v>-10.18</v>
      </c>
      <c r="H1547" s="3">
        <v>-1.1599999999999999</v>
      </c>
      <c r="I1547" s="3">
        <v>21.11</v>
      </c>
      <c r="J1547" s="3">
        <v>11.18</v>
      </c>
    </row>
    <row r="1548" spans="1:10" ht="14.4" x14ac:dyDescent="0.3">
      <c r="A1548" s="3"/>
      <c r="E1548" s="3">
        <v>336.62</v>
      </c>
      <c r="F1548" s="3">
        <v>4.66</v>
      </c>
      <c r="G1548" s="3">
        <v>-9.6300000000000008</v>
      </c>
      <c r="H1548" s="3">
        <v>-1.91</v>
      </c>
      <c r="I1548" s="3">
        <v>24.08</v>
      </c>
      <c r="J1548" s="3">
        <v>11.34</v>
      </c>
    </row>
    <row r="1549" spans="1:10" ht="14.4" x14ac:dyDescent="0.3">
      <c r="A1549" s="3"/>
      <c r="E1549" s="3">
        <v>341.68</v>
      </c>
      <c r="F1549" s="3">
        <v>3.25</v>
      </c>
      <c r="G1549" s="3">
        <v>-10.56</v>
      </c>
      <c r="H1549" s="3">
        <v>-2.12</v>
      </c>
      <c r="I1549" s="3">
        <v>24.62</v>
      </c>
      <c r="J1549" s="3">
        <v>10.47</v>
      </c>
    </row>
    <row r="1550" spans="1:10" ht="14.4" x14ac:dyDescent="0.3">
      <c r="A1550" s="3"/>
      <c r="E1550" s="3">
        <v>341.5</v>
      </c>
      <c r="F1550" s="3">
        <v>6.33</v>
      </c>
      <c r="G1550" s="3">
        <v>-11.12</v>
      </c>
      <c r="H1550" s="3">
        <v>-1.97</v>
      </c>
      <c r="I1550" s="3">
        <v>26.64</v>
      </c>
      <c r="J1550" s="3">
        <v>13.79</v>
      </c>
    </row>
    <row r="1551" spans="1:10" ht="14.4" x14ac:dyDescent="0.3">
      <c r="A1551" s="3"/>
      <c r="E1551" s="3">
        <v>350.73</v>
      </c>
      <c r="F1551" s="3">
        <v>2.87</v>
      </c>
      <c r="G1551" s="3">
        <v>-12.04</v>
      </c>
      <c r="H1551" s="3">
        <v>-2.2999999999999998</v>
      </c>
      <c r="I1551" s="3">
        <v>27.6</v>
      </c>
      <c r="J1551" s="3">
        <v>11.5</v>
      </c>
    </row>
    <row r="1552" spans="1:10" ht="14.4" x14ac:dyDescent="0.3">
      <c r="A1552" s="3"/>
      <c r="E1552" s="3">
        <v>346.71</v>
      </c>
      <c r="F1552" s="3">
        <v>1.43</v>
      </c>
      <c r="G1552" s="3">
        <v>-10.93</v>
      </c>
      <c r="H1552" s="3">
        <v>-2.36</v>
      </c>
      <c r="I1552" s="3">
        <v>24.52</v>
      </c>
      <c r="J1552" s="3">
        <v>9.11</v>
      </c>
    </row>
    <row r="1553" spans="1:10" ht="14.4" x14ac:dyDescent="0.3">
      <c r="A1553" s="3"/>
      <c r="E1553" s="3">
        <v>359.53</v>
      </c>
      <c r="F1553" s="3">
        <v>0.06</v>
      </c>
      <c r="G1553" s="3">
        <v>-12.35</v>
      </c>
      <c r="H1553" s="3">
        <v>-2.68</v>
      </c>
      <c r="I1553" s="3">
        <v>28.54</v>
      </c>
      <c r="J1553" s="3">
        <v>10.07</v>
      </c>
    </row>
    <row r="1554" spans="1:10" ht="14.4" x14ac:dyDescent="0.3">
      <c r="A1554" s="3"/>
      <c r="E1554" s="3">
        <v>352.26</v>
      </c>
      <c r="F1554" s="3">
        <v>-0.06</v>
      </c>
      <c r="G1554" s="3">
        <v>-10.07</v>
      </c>
      <c r="H1554" s="3">
        <v>-2.37</v>
      </c>
      <c r="I1554" s="3">
        <v>26.62</v>
      </c>
      <c r="J1554" s="3">
        <v>9.51</v>
      </c>
    </row>
    <row r="1555" spans="1:10" ht="14.4" x14ac:dyDescent="0.3">
      <c r="A1555" s="3"/>
      <c r="E1555" s="3">
        <v>355.96</v>
      </c>
      <c r="F1555" s="3">
        <v>-0.83</v>
      </c>
      <c r="G1555" s="3">
        <v>-11.34</v>
      </c>
      <c r="H1555" s="3">
        <v>-2.71</v>
      </c>
      <c r="I1555" s="3">
        <v>27.17</v>
      </c>
      <c r="J1555" s="3">
        <v>9.1</v>
      </c>
    </row>
    <row r="1556" spans="1:10" ht="14.4" x14ac:dyDescent="0.3">
      <c r="A1556" s="3"/>
      <c r="E1556" s="3">
        <v>343.37</v>
      </c>
      <c r="F1556" s="3">
        <v>2.11</v>
      </c>
      <c r="G1556" s="3">
        <v>-11.9</v>
      </c>
      <c r="H1556" s="3">
        <v>-1.97</v>
      </c>
      <c r="I1556" s="3">
        <v>24.2</v>
      </c>
      <c r="J1556" s="3">
        <v>8.94</v>
      </c>
    </row>
    <row r="1557" spans="1:10" ht="14.4" x14ac:dyDescent="0.3">
      <c r="A1557" s="3"/>
      <c r="E1557" s="3">
        <v>338.3</v>
      </c>
      <c r="F1557" s="3">
        <v>3.52</v>
      </c>
      <c r="G1557" s="3">
        <v>-10.97</v>
      </c>
      <c r="H1557" s="3">
        <v>-1.76</v>
      </c>
      <c r="I1557" s="3">
        <v>23.66</v>
      </c>
      <c r="J1557" s="3">
        <v>9.81</v>
      </c>
    </row>
    <row r="1558" spans="1:10" ht="14.4" x14ac:dyDescent="0.3">
      <c r="A1558" s="3"/>
      <c r="E1558" s="3">
        <v>338.48</v>
      </c>
      <c r="F1558" s="3">
        <v>0.45</v>
      </c>
      <c r="G1558" s="3">
        <v>-10.41</v>
      </c>
      <c r="H1558" s="3">
        <v>-1.9</v>
      </c>
      <c r="I1558" s="3">
        <v>21.64</v>
      </c>
      <c r="J1558" s="3">
        <v>6.49</v>
      </c>
    </row>
    <row r="1559" spans="1:10" ht="14.4" x14ac:dyDescent="0.3">
      <c r="A1559" s="3"/>
      <c r="E1559" s="3">
        <v>329.26</v>
      </c>
      <c r="F1559" s="3">
        <v>3.9</v>
      </c>
      <c r="G1559" s="3">
        <v>-9.49</v>
      </c>
      <c r="H1559" s="3">
        <v>-1.57</v>
      </c>
      <c r="I1559" s="3">
        <v>20.69</v>
      </c>
      <c r="J1559" s="3">
        <v>8.7799999999999994</v>
      </c>
    </row>
    <row r="1560" spans="1:10" ht="14.4" x14ac:dyDescent="0.3">
      <c r="A1560" s="3"/>
      <c r="E1560" s="3">
        <v>333.28</v>
      </c>
      <c r="F1560" s="3">
        <v>5.35</v>
      </c>
      <c r="G1560" s="3">
        <v>-10.6</v>
      </c>
      <c r="H1560" s="3">
        <v>-1.51</v>
      </c>
      <c r="I1560" s="3">
        <v>23.77</v>
      </c>
      <c r="J1560" s="3">
        <v>11.18</v>
      </c>
    </row>
    <row r="1561" spans="1:10" ht="14.4" x14ac:dyDescent="0.3">
      <c r="A1561" s="3"/>
      <c r="E1561" s="3">
        <v>333.28</v>
      </c>
      <c r="F1561" s="3">
        <v>5.35</v>
      </c>
      <c r="G1561" s="3">
        <v>-10.6</v>
      </c>
      <c r="H1561" s="3">
        <v>-1.51</v>
      </c>
      <c r="I1561" s="3">
        <v>23.77</v>
      </c>
      <c r="J1561" s="3">
        <v>11.18</v>
      </c>
    </row>
    <row r="1562" spans="1:10" ht="14.4" x14ac:dyDescent="0.3">
      <c r="A1562" s="3"/>
      <c r="E1562" s="3">
        <v>237.64</v>
      </c>
      <c r="F1562" s="3">
        <v>5.96</v>
      </c>
      <c r="G1562" s="3">
        <v>-8.3000000000000007</v>
      </c>
      <c r="H1562" s="3">
        <v>-0.93</v>
      </c>
      <c r="I1562" s="3">
        <v>14.34</v>
      </c>
      <c r="J1562" s="3">
        <v>7.61</v>
      </c>
    </row>
    <row r="1563" spans="1:10" ht="14.4" x14ac:dyDescent="0.3">
      <c r="A1563" s="3"/>
      <c r="E1563" s="3">
        <v>233.93</v>
      </c>
      <c r="F1563" s="3">
        <v>6.73</v>
      </c>
      <c r="G1563" s="3">
        <v>-7.03</v>
      </c>
      <c r="H1563" s="3">
        <v>-0.59</v>
      </c>
      <c r="I1563" s="3">
        <v>13.79</v>
      </c>
      <c r="J1563" s="3">
        <v>8.02</v>
      </c>
    </row>
    <row r="1564" spans="1:10" ht="14.4" x14ac:dyDescent="0.3">
      <c r="A1564" s="3"/>
      <c r="E1564" s="3">
        <v>246.53</v>
      </c>
      <c r="F1564" s="3">
        <v>3.78</v>
      </c>
      <c r="G1564" s="3">
        <v>-6.47</v>
      </c>
      <c r="H1564" s="3">
        <v>-1.33</v>
      </c>
      <c r="I1564" s="3">
        <v>16.760000000000002</v>
      </c>
      <c r="J1564" s="3">
        <v>8.18</v>
      </c>
    </row>
    <row r="1565" spans="1:10" ht="14.4" x14ac:dyDescent="0.3">
      <c r="A1565" s="3"/>
      <c r="E1565" s="3">
        <v>251.59</v>
      </c>
      <c r="F1565" s="3">
        <v>2.37</v>
      </c>
      <c r="G1565" s="3">
        <v>-7.4</v>
      </c>
      <c r="H1565" s="3">
        <v>-1.54</v>
      </c>
      <c r="I1565" s="3">
        <v>17.3</v>
      </c>
      <c r="J1565" s="3">
        <v>7.31</v>
      </c>
    </row>
    <row r="1566" spans="1:10" ht="14.4" x14ac:dyDescent="0.3">
      <c r="A1566" s="3"/>
      <c r="E1566" s="3">
        <v>251.41</v>
      </c>
      <c r="F1566" s="3">
        <v>5.45</v>
      </c>
      <c r="G1566" s="3">
        <v>-7.96</v>
      </c>
      <c r="H1566" s="3">
        <v>-1.39</v>
      </c>
      <c r="I1566" s="3">
        <v>19.329999999999998</v>
      </c>
      <c r="J1566" s="3">
        <v>10.63</v>
      </c>
    </row>
    <row r="1567" spans="1:10" ht="14.4" x14ac:dyDescent="0.3">
      <c r="A1567" s="3"/>
      <c r="E1567" s="3">
        <v>260.64</v>
      </c>
      <c r="F1567" s="3">
        <v>2</v>
      </c>
      <c r="G1567" s="3">
        <v>-8.8800000000000008</v>
      </c>
      <c r="H1567" s="3">
        <v>-1.72</v>
      </c>
      <c r="I1567" s="3">
        <v>20.28</v>
      </c>
      <c r="J1567" s="3">
        <v>8.34</v>
      </c>
    </row>
    <row r="1568" spans="1:10" ht="14.4" x14ac:dyDescent="0.3">
      <c r="A1568" s="3"/>
      <c r="E1568" s="3">
        <v>256.62</v>
      </c>
      <c r="F1568" s="3">
        <v>0.55000000000000004</v>
      </c>
      <c r="G1568" s="3">
        <v>-7.77</v>
      </c>
      <c r="H1568" s="3">
        <v>-1.78</v>
      </c>
      <c r="I1568" s="3">
        <v>17.2</v>
      </c>
      <c r="J1568" s="3">
        <v>5.94</v>
      </c>
    </row>
    <row r="1569" spans="1:10" ht="14.4" x14ac:dyDescent="0.3">
      <c r="A1569" s="3"/>
      <c r="E1569" s="3">
        <v>269.44</v>
      </c>
      <c r="F1569" s="3">
        <v>-0.81</v>
      </c>
      <c r="G1569" s="3">
        <v>-9.19</v>
      </c>
      <c r="H1569" s="3">
        <v>-2.1</v>
      </c>
      <c r="I1569" s="3">
        <v>21.22</v>
      </c>
      <c r="J1569" s="3">
        <v>6.91</v>
      </c>
    </row>
    <row r="1570" spans="1:10" ht="14.4" x14ac:dyDescent="0.3">
      <c r="A1570" s="3"/>
      <c r="E1570" s="3">
        <v>262.17</v>
      </c>
      <c r="F1570" s="3">
        <v>-0.94</v>
      </c>
      <c r="G1570" s="3">
        <v>-6.91</v>
      </c>
      <c r="H1570" s="3">
        <v>-1.79</v>
      </c>
      <c r="I1570" s="3">
        <v>19.309999999999999</v>
      </c>
      <c r="J1570" s="3">
        <v>6.35</v>
      </c>
    </row>
    <row r="1571" spans="1:10" ht="14.4" x14ac:dyDescent="0.3">
      <c r="A1571" s="3"/>
      <c r="E1571" s="3">
        <v>265.87</v>
      </c>
      <c r="F1571" s="3">
        <v>-1.7</v>
      </c>
      <c r="G1571" s="3">
        <v>-8.19</v>
      </c>
      <c r="H1571" s="3">
        <v>-2.13</v>
      </c>
      <c r="I1571" s="3">
        <v>19.86</v>
      </c>
      <c r="J1571" s="3">
        <v>5.94</v>
      </c>
    </row>
    <row r="1572" spans="1:10" ht="14.4" x14ac:dyDescent="0.3">
      <c r="A1572" s="3"/>
      <c r="E1572" s="3">
        <v>253.28</v>
      </c>
      <c r="F1572" s="3">
        <v>1.24</v>
      </c>
      <c r="G1572" s="3">
        <v>-8.74</v>
      </c>
      <c r="H1572" s="3">
        <v>-1.39</v>
      </c>
      <c r="I1572" s="3">
        <v>16.89</v>
      </c>
      <c r="J1572" s="3">
        <v>5.78</v>
      </c>
    </row>
    <row r="1573" spans="1:10" ht="14.4" x14ac:dyDescent="0.3">
      <c r="A1573" s="3"/>
      <c r="E1573" s="3">
        <v>248.21</v>
      </c>
      <c r="F1573" s="3">
        <v>2.65</v>
      </c>
      <c r="G1573" s="3">
        <v>-7.81</v>
      </c>
      <c r="H1573" s="3">
        <v>-1.18</v>
      </c>
      <c r="I1573" s="3">
        <v>16.350000000000001</v>
      </c>
      <c r="J1573" s="3">
        <v>6.65</v>
      </c>
    </row>
    <row r="1574" spans="1:10" ht="14.4" x14ac:dyDescent="0.3">
      <c r="A1574" s="3"/>
      <c r="E1574" s="3">
        <v>248.39</v>
      </c>
      <c r="F1574" s="3">
        <v>-0.43</v>
      </c>
      <c r="G1574" s="3">
        <v>-7.25</v>
      </c>
      <c r="H1574" s="3">
        <v>-1.32</v>
      </c>
      <c r="I1574" s="3">
        <v>14.32</v>
      </c>
      <c r="J1574" s="3">
        <v>3.33</v>
      </c>
    </row>
    <row r="1575" spans="1:10" ht="14.4" x14ac:dyDescent="0.3">
      <c r="A1575" s="3"/>
      <c r="E1575" s="3">
        <v>239.17</v>
      </c>
      <c r="F1575" s="3">
        <v>3.03</v>
      </c>
      <c r="G1575" s="3">
        <v>-6.33</v>
      </c>
      <c r="H1575" s="3">
        <v>-0.99</v>
      </c>
      <c r="I1575" s="3">
        <v>13.37</v>
      </c>
      <c r="J1575" s="3">
        <v>5.62</v>
      </c>
    </row>
    <row r="1576" spans="1:10" ht="14.4" x14ac:dyDescent="0.3">
      <c r="A1576" s="3"/>
      <c r="E1576" s="3">
        <v>243.19</v>
      </c>
      <c r="F1576" s="3">
        <v>4.47</v>
      </c>
      <c r="G1576" s="3">
        <v>-7.44</v>
      </c>
      <c r="H1576" s="3">
        <v>-0.94</v>
      </c>
      <c r="I1576" s="3">
        <v>16.45</v>
      </c>
      <c r="J1576" s="3">
        <v>8.01</v>
      </c>
    </row>
    <row r="1577" spans="1:10" ht="14.4" x14ac:dyDescent="0.3">
      <c r="A1577" s="3"/>
      <c r="E1577" s="3">
        <v>230.36</v>
      </c>
      <c r="F1577" s="3">
        <v>5.84</v>
      </c>
      <c r="G1577" s="3">
        <v>-6.02</v>
      </c>
      <c r="H1577" s="3">
        <v>-0.61</v>
      </c>
      <c r="I1577" s="3">
        <v>12.43</v>
      </c>
      <c r="J1577" s="3">
        <v>7.05</v>
      </c>
    </row>
    <row r="1578" spans="1:10" ht="14.4" x14ac:dyDescent="0.3">
      <c r="A1578" s="3"/>
      <c r="E1578" s="3">
        <v>306.7</v>
      </c>
      <c r="F1578" s="3">
        <v>-29.82</v>
      </c>
      <c r="G1578" s="3">
        <v>11.94</v>
      </c>
      <c r="H1578" s="3">
        <v>1.0900000000000001</v>
      </c>
      <c r="I1578" s="3">
        <v>-27.3</v>
      </c>
      <c r="J1578" s="3">
        <v>-40.1</v>
      </c>
    </row>
    <row r="1579" spans="1:10" ht="14.4" x14ac:dyDescent="0.3">
      <c r="A1579" s="3"/>
      <c r="E1579" s="3">
        <v>312.06</v>
      </c>
      <c r="F1579" s="3">
        <v>52.59</v>
      </c>
      <c r="G1579" s="3">
        <v>-28.11</v>
      </c>
      <c r="H1579" s="3">
        <v>-2.62</v>
      </c>
      <c r="I1579" s="3">
        <v>66.25</v>
      </c>
      <c r="J1579" s="3">
        <v>68.349999999999994</v>
      </c>
    </row>
    <row r="1580" spans="1:10" ht="14.4" x14ac:dyDescent="0.3">
      <c r="A1580" s="3"/>
      <c r="E1580" s="3">
        <v>367.12</v>
      </c>
      <c r="F1580" s="3">
        <v>-45.5</v>
      </c>
      <c r="G1580" s="3">
        <v>6.67</v>
      </c>
      <c r="H1580" s="3">
        <v>-1.23</v>
      </c>
      <c r="I1580" s="3">
        <v>-18.149999999999999</v>
      </c>
      <c r="J1580" s="3">
        <v>-47.87</v>
      </c>
    </row>
    <row r="1581" spans="1:10" ht="14.4" x14ac:dyDescent="0.3">
      <c r="A1581" s="3"/>
      <c r="E1581" s="3">
        <v>372.48</v>
      </c>
      <c r="F1581" s="3">
        <v>36.92</v>
      </c>
      <c r="G1581" s="3">
        <v>-33.380000000000003</v>
      </c>
      <c r="H1581" s="3">
        <v>-4.9400000000000004</v>
      </c>
      <c r="I1581" s="3">
        <v>75.400000000000006</v>
      </c>
      <c r="J1581" s="3">
        <v>60.57</v>
      </c>
    </row>
    <row r="1582" spans="1:10" ht="14.4" x14ac:dyDescent="0.3">
      <c r="A1582" s="3"/>
      <c r="E1582" s="3">
        <v>306.7</v>
      </c>
      <c r="F1582" s="3">
        <v>-29.82</v>
      </c>
      <c r="G1582" s="3">
        <v>11.94</v>
      </c>
      <c r="H1582" s="3">
        <v>1.0900000000000001</v>
      </c>
      <c r="I1582" s="3">
        <v>-27.3</v>
      </c>
      <c r="J1582" s="3">
        <v>-40.1</v>
      </c>
    </row>
    <row r="1583" spans="1:10" ht="14.4" x14ac:dyDescent="0.3">
      <c r="A1583" s="3"/>
      <c r="E1583" s="3">
        <v>312.06</v>
      </c>
      <c r="F1583" s="3">
        <v>52.59</v>
      </c>
      <c r="G1583" s="3">
        <v>-28.11</v>
      </c>
      <c r="H1583" s="3">
        <v>-2.62</v>
      </c>
      <c r="I1583" s="3">
        <v>66.25</v>
      </c>
      <c r="J1583" s="3">
        <v>68.349999999999994</v>
      </c>
    </row>
    <row r="1584" spans="1:10" ht="14.4" x14ac:dyDescent="0.3">
      <c r="A1584" s="3"/>
      <c r="E1584" s="3">
        <v>367.12</v>
      </c>
      <c r="F1584" s="3">
        <v>-45.5</v>
      </c>
      <c r="G1584" s="3">
        <v>6.67</v>
      </c>
      <c r="H1584" s="3">
        <v>-1.23</v>
      </c>
      <c r="I1584" s="3">
        <v>-18.149999999999999</v>
      </c>
      <c r="J1584" s="3">
        <v>-47.87</v>
      </c>
    </row>
    <row r="1585" spans="1:10" ht="14.4" x14ac:dyDescent="0.3">
      <c r="A1585" s="3"/>
      <c r="E1585" s="3">
        <v>372.48</v>
      </c>
      <c r="F1585" s="3">
        <v>36.92</v>
      </c>
      <c r="G1585" s="3">
        <v>-33.380000000000003</v>
      </c>
      <c r="H1585" s="3">
        <v>-4.9400000000000004</v>
      </c>
      <c r="I1585" s="3">
        <v>75.400000000000006</v>
      </c>
      <c r="J1585" s="3">
        <v>60.57</v>
      </c>
    </row>
    <row r="1586" spans="1:10" ht="14.4" x14ac:dyDescent="0.3">
      <c r="A1586" s="3"/>
      <c r="E1586" s="3">
        <v>278.04000000000002</v>
      </c>
      <c r="F1586" s="3">
        <v>17.190000000000001</v>
      </c>
      <c r="G1586" s="3">
        <v>2.86</v>
      </c>
      <c r="H1586" s="3">
        <v>2.2400000000000002</v>
      </c>
      <c r="I1586" s="3">
        <v>-2.62</v>
      </c>
      <c r="J1586" s="3">
        <v>7.61</v>
      </c>
    </row>
    <row r="1587" spans="1:10" ht="14.4" x14ac:dyDescent="0.3">
      <c r="A1587" s="3"/>
      <c r="E1587" s="3">
        <v>365.75</v>
      </c>
      <c r="F1587" s="3">
        <v>-35.49</v>
      </c>
      <c r="G1587" s="3">
        <v>-11.1</v>
      </c>
      <c r="H1587" s="3">
        <v>-4.78</v>
      </c>
      <c r="I1587" s="3">
        <v>20.010000000000002</v>
      </c>
      <c r="J1587" s="3">
        <v>-21.05</v>
      </c>
    </row>
    <row r="1588" spans="1:10" ht="14.4" x14ac:dyDescent="0.3">
      <c r="A1588" s="3"/>
      <c r="E1588" s="3">
        <v>313.43</v>
      </c>
      <c r="F1588" s="3">
        <v>42.59</v>
      </c>
      <c r="G1588" s="3">
        <v>-10.35</v>
      </c>
      <c r="H1588" s="3">
        <v>0.93</v>
      </c>
      <c r="I1588" s="3">
        <v>28.09</v>
      </c>
      <c r="J1588" s="3">
        <v>41.52</v>
      </c>
    </row>
    <row r="1589" spans="1:10" ht="14.4" x14ac:dyDescent="0.3">
      <c r="A1589" s="3"/>
      <c r="E1589" s="3">
        <v>401.14</v>
      </c>
      <c r="F1589" s="3">
        <v>-10.1</v>
      </c>
      <c r="G1589" s="3">
        <v>-24.3</v>
      </c>
      <c r="H1589" s="3">
        <v>-6.09</v>
      </c>
      <c r="I1589" s="3">
        <v>50.72</v>
      </c>
      <c r="J1589" s="3">
        <v>12.86</v>
      </c>
    </row>
    <row r="1590" spans="1:10" ht="14.4" x14ac:dyDescent="0.3">
      <c r="A1590" s="3"/>
      <c r="E1590" s="3">
        <v>278.04000000000002</v>
      </c>
      <c r="F1590" s="3">
        <v>17.190000000000001</v>
      </c>
      <c r="G1590" s="3">
        <v>2.86</v>
      </c>
      <c r="H1590" s="3">
        <v>2.2400000000000002</v>
      </c>
      <c r="I1590" s="3">
        <v>-2.62</v>
      </c>
      <c r="J1590" s="3">
        <v>7.61</v>
      </c>
    </row>
    <row r="1591" spans="1:10" ht="14.4" x14ac:dyDescent="0.3">
      <c r="A1591" s="3"/>
      <c r="E1591" s="3">
        <v>365.75</v>
      </c>
      <c r="F1591" s="3">
        <v>-35.49</v>
      </c>
      <c r="G1591" s="3">
        <v>-11.1</v>
      </c>
      <c r="H1591" s="3">
        <v>-4.78</v>
      </c>
      <c r="I1591" s="3">
        <v>20.010000000000002</v>
      </c>
      <c r="J1591" s="3">
        <v>-21.05</v>
      </c>
    </row>
    <row r="1592" spans="1:10" ht="14.4" x14ac:dyDescent="0.3">
      <c r="A1592" s="3"/>
      <c r="E1592" s="3">
        <v>313.43</v>
      </c>
      <c r="F1592" s="3">
        <v>42.59</v>
      </c>
      <c r="G1592" s="3">
        <v>-10.35</v>
      </c>
      <c r="H1592" s="3">
        <v>0.93</v>
      </c>
      <c r="I1592" s="3">
        <v>28.09</v>
      </c>
      <c r="J1592" s="3">
        <v>41.52</v>
      </c>
    </row>
    <row r="1593" spans="1:10" ht="14.4" x14ac:dyDescent="0.3">
      <c r="A1593" s="3"/>
      <c r="E1593" s="3">
        <v>401.14</v>
      </c>
      <c r="F1593" s="3">
        <v>-10.1</v>
      </c>
      <c r="G1593" s="3">
        <v>-24.3</v>
      </c>
      <c r="H1593" s="3">
        <v>-6.09</v>
      </c>
      <c r="I1593" s="3">
        <v>50.72</v>
      </c>
      <c r="J1593" s="3">
        <v>12.86</v>
      </c>
    </row>
    <row r="1594" spans="1:10" ht="14.4" x14ac:dyDescent="0.3">
      <c r="A1594" s="3"/>
      <c r="E1594" s="3">
        <v>511.68</v>
      </c>
      <c r="F1594" s="3">
        <v>52.75</v>
      </c>
      <c r="G1594" s="3">
        <v>13.31</v>
      </c>
      <c r="H1594" s="3">
        <v>2.52</v>
      </c>
      <c r="I1594" s="3">
        <v>-29.66</v>
      </c>
      <c r="J1594" s="3">
        <v>70.150000000000006</v>
      </c>
    </row>
    <row r="1595" spans="1:10" ht="14.4" x14ac:dyDescent="0.3">
      <c r="A1595" s="3"/>
      <c r="E1595" s="3">
        <v>243.33</v>
      </c>
      <c r="F1595" s="3">
        <v>-26.78</v>
      </c>
      <c r="G1595" s="3">
        <v>-28.07</v>
      </c>
      <c r="H1595" s="3">
        <v>-3.06</v>
      </c>
      <c r="I1595" s="3">
        <v>65.569999999999993</v>
      </c>
      <c r="J1595" s="3">
        <v>-40.28</v>
      </c>
    </row>
    <row r="1596" spans="1:10" ht="14.4" x14ac:dyDescent="0.3">
      <c r="A1596" s="3"/>
      <c r="E1596" s="3">
        <v>435.85</v>
      </c>
      <c r="F1596" s="3">
        <v>33.880000000000003</v>
      </c>
      <c r="G1596" s="3">
        <v>6.63</v>
      </c>
      <c r="H1596" s="3">
        <v>-0.79</v>
      </c>
      <c r="I1596" s="3">
        <v>-17.47</v>
      </c>
      <c r="J1596" s="3">
        <v>60.75</v>
      </c>
    </row>
    <row r="1597" spans="1:10" ht="14.4" x14ac:dyDescent="0.3">
      <c r="A1597" s="3"/>
      <c r="E1597" s="3">
        <v>167.5</v>
      </c>
      <c r="F1597" s="3">
        <v>-45.65</v>
      </c>
      <c r="G1597" s="3">
        <v>-34.75</v>
      </c>
      <c r="H1597" s="3">
        <v>-6.37</v>
      </c>
      <c r="I1597" s="3">
        <v>77.760000000000005</v>
      </c>
      <c r="J1597" s="3">
        <v>-49.68</v>
      </c>
    </row>
    <row r="1598" spans="1:10" ht="14.4" x14ac:dyDescent="0.3">
      <c r="A1598" s="3"/>
      <c r="E1598" s="3">
        <v>543.75</v>
      </c>
      <c r="F1598" s="3">
        <v>47.07</v>
      </c>
      <c r="G1598" s="3">
        <v>5.37</v>
      </c>
      <c r="H1598" s="3">
        <v>4.1500000000000004</v>
      </c>
      <c r="I1598" s="3">
        <v>-7.87</v>
      </c>
      <c r="J1598" s="3">
        <v>43.56</v>
      </c>
    </row>
    <row r="1599" spans="1:10" ht="14.4" x14ac:dyDescent="0.3">
      <c r="A1599" s="3"/>
      <c r="E1599" s="3">
        <v>183.24</v>
      </c>
      <c r="F1599" s="3">
        <v>-16.13</v>
      </c>
      <c r="G1599" s="3">
        <v>-13.21</v>
      </c>
      <c r="H1599" s="3">
        <v>-6.13</v>
      </c>
      <c r="I1599" s="3">
        <v>24.75</v>
      </c>
      <c r="J1599" s="3">
        <v>9.5399999999999991</v>
      </c>
    </row>
    <row r="1600" spans="1:10" ht="14.4" x14ac:dyDescent="0.3">
      <c r="A1600" s="3"/>
      <c r="E1600" s="3">
        <v>495.94</v>
      </c>
      <c r="F1600" s="3">
        <v>23.23</v>
      </c>
      <c r="G1600" s="3">
        <v>-8.24</v>
      </c>
      <c r="H1600" s="3">
        <v>2.27</v>
      </c>
      <c r="I1600" s="3">
        <v>23.36</v>
      </c>
      <c r="J1600" s="3">
        <v>10.93</v>
      </c>
    </row>
    <row r="1601" spans="1:10" ht="14.4" x14ac:dyDescent="0.3">
      <c r="A1601" s="3"/>
      <c r="E1601" s="3">
        <v>135.43</v>
      </c>
      <c r="F1601" s="3">
        <v>-39.97</v>
      </c>
      <c r="G1601" s="3">
        <v>-26.82</v>
      </c>
      <c r="H1601" s="3">
        <v>-8.01</v>
      </c>
      <c r="I1601" s="3">
        <v>55.97</v>
      </c>
      <c r="J1601" s="3">
        <v>-23.09</v>
      </c>
    </row>
    <row r="1602" spans="1:10" ht="14.4" x14ac:dyDescent="0.3">
      <c r="A1602" s="3"/>
      <c r="E1602" s="3">
        <v>228.95</v>
      </c>
      <c r="F1602" s="3">
        <v>-30.6</v>
      </c>
      <c r="G1602" s="3">
        <v>14.31</v>
      </c>
      <c r="H1602" s="3">
        <v>1.51</v>
      </c>
      <c r="I1602" s="3">
        <v>-32.53</v>
      </c>
      <c r="J1602" s="3">
        <v>-42.27</v>
      </c>
    </row>
    <row r="1603" spans="1:10" ht="14.4" x14ac:dyDescent="0.3">
      <c r="A1603" s="3"/>
      <c r="E1603" s="3">
        <v>223.2</v>
      </c>
      <c r="F1603" s="3">
        <v>51.7</v>
      </c>
      <c r="G1603" s="3">
        <v>-25.41</v>
      </c>
      <c r="H1603" s="3">
        <v>-2.14</v>
      </c>
      <c r="I1603" s="3">
        <v>60.27</v>
      </c>
      <c r="J1603" s="3">
        <v>65.86</v>
      </c>
    </row>
    <row r="1604" spans="1:10" ht="14.4" x14ac:dyDescent="0.3">
      <c r="A1604" s="3"/>
      <c r="E1604" s="3">
        <v>289.38</v>
      </c>
      <c r="F1604" s="3">
        <v>-46.28</v>
      </c>
      <c r="G1604" s="3">
        <v>9.0399999999999991</v>
      </c>
      <c r="H1604" s="3">
        <v>-0.81</v>
      </c>
      <c r="I1604" s="3">
        <v>-23.38</v>
      </c>
      <c r="J1604" s="3">
        <v>-50.04</v>
      </c>
    </row>
    <row r="1605" spans="1:10" ht="14.4" x14ac:dyDescent="0.3">
      <c r="A1605" s="3"/>
      <c r="E1605" s="3">
        <v>283.63</v>
      </c>
      <c r="F1605" s="3">
        <v>36.020000000000003</v>
      </c>
      <c r="G1605" s="3">
        <v>-30.68</v>
      </c>
      <c r="H1605" s="3">
        <v>-4.46</v>
      </c>
      <c r="I1605" s="3">
        <v>69.42</v>
      </c>
      <c r="J1605" s="3">
        <v>58.09</v>
      </c>
    </row>
    <row r="1606" spans="1:10" ht="14.4" x14ac:dyDescent="0.3">
      <c r="A1606" s="3"/>
      <c r="E1606" s="3">
        <v>228.95</v>
      </c>
      <c r="F1606" s="3">
        <v>-30.6</v>
      </c>
      <c r="G1606" s="3">
        <v>14.31</v>
      </c>
      <c r="H1606" s="3">
        <v>1.51</v>
      </c>
      <c r="I1606" s="3">
        <v>-32.53</v>
      </c>
      <c r="J1606" s="3">
        <v>-42.27</v>
      </c>
    </row>
    <row r="1607" spans="1:10" ht="14.4" x14ac:dyDescent="0.3">
      <c r="A1607" s="3"/>
      <c r="E1607" s="3">
        <v>223.2</v>
      </c>
      <c r="F1607" s="3">
        <v>51.7</v>
      </c>
      <c r="G1607" s="3">
        <v>-25.41</v>
      </c>
      <c r="H1607" s="3">
        <v>-2.14</v>
      </c>
      <c r="I1607" s="3">
        <v>60.27</v>
      </c>
      <c r="J1607" s="3">
        <v>65.86</v>
      </c>
    </row>
    <row r="1608" spans="1:10" ht="14.4" x14ac:dyDescent="0.3">
      <c r="A1608" s="3"/>
      <c r="E1608" s="3">
        <v>289.38</v>
      </c>
      <c r="F1608" s="3">
        <v>-46.28</v>
      </c>
      <c r="G1608" s="3">
        <v>9.0399999999999991</v>
      </c>
      <c r="H1608" s="3">
        <v>-0.81</v>
      </c>
      <c r="I1608" s="3">
        <v>-23.38</v>
      </c>
      <c r="J1608" s="3">
        <v>-50.04</v>
      </c>
    </row>
    <row r="1609" spans="1:10" ht="14.4" x14ac:dyDescent="0.3">
      <c r="A1609" s="3"/>
      <c r="E1609" s="3">
        <v>283.63</v>
      </c>
      <c r="F1609" s="3">
        <v>36.020000000000003</v>
      </c>
      <c r="G1609" s="3">
        <v>-30.68</v>
      </c>
      <c r="H1609" s="3">
        <v>-4.46</v>
      </c>
      <c r="I1609" s="3">
        <v>69.42</v>
      </c>
      <c r="J1609" s="3">
        <v>58.09</v>
      </c>
    </row>
    <row r="1610" spans="1:10" ht="14.4" x14ac:dyDescent="0.3">
      <c r="A1610" s="3"/>
      <c r="E1610" s="3">
        <v>200.29</v>
      </c>
      <c r="F1610" s="3">
        <v>16.41</v>
      </c>
      <c r="G1610" s="3">
        <v>5.22</v>
      </c>
      <c r="H1610" s="3">
        <v>2.66</v>
      </c>
      <c r="I1610" s="3">
        <v>-7.85</v>
      </c>
      <c r="J1610" s="3">
        <v>5.44</v>
      </c>
    </row>
    <row r="1611" spans="1:10" ht="14.4" x14ac:dyDescent="0.3">
      <c r="A1611" s="3"/>
      <c r="E1611" s="3">
        <v>276.89</v>
      </c>
      <c r="F1611" s="3">
        <v>-36.380000000000003</v>
      </c>
      <c r="G1611" s="3">
        <v>-8.39</v>
      </c>
      <c r="H1611" s="3">
        <v>-4.3</v>
      </c>
      <c r="I1611" s="3">
        <v>14.03</v>
      </c>
      <c r="J1611" s="3">
        <v>-23.53</v>
      </c>
    </row>
    <row r="1612" spans="1:10" ht="14.4" x14ac:dyDescent="0.3">
      <c r="A1612" s="3"/>
      <c r="E1612" s="3">
        <v>235.69</v>
      </c>
      <c r="F1612" s="3">
        <v>41.81</v>
      </c>
      <c r="G1612" s="3">
        <v>-7.98</v>
      </c>
      <c r="H1612" s="3">
        <v>1.35</v>
      </c>
      <c r="I1612" s="3">
        <v>22.86</v>
      </c>
      <c r="J1612" s="3">
        <v>39.35</v>
      </c>
    </row>
    <row r="1613" spans="1:10" ht="14.4" x14ac:dyDescent="0.3">
      <c r="A1613" s="3"/>
      <c r="E1613" s="3">
        <v>312.29000000000002</v>
      </c>
      <c r="F1613" s="3">
        <v>-10.99</v>
      </c>
      <c r="G1613" s="3">
        <v>-21.6</v>
      </c>
      <c r="H1613" s="3">
        <v>-5.61</v>
      </c>
      <c r="I1613" s="3">
        <v>44.74</v>
      </c>
      <c r="J1613" s="3">
        <v>10.38</v>
      </c>
    </row>
    <row r="1614" spans="1:10" ht="14.4" x14ac:dyDescent="0.3">
      <c r="A1614" s="3"/>
      <c r="E1614" s="3">
        <v>200.29</v>
      </c>
      <c r="F1614" s="3">
        <v>16.41</v>
      </c>
      <c r="G1614" s="3">
        <v>5.22</v>
      </c>
      <c r="H1614" s="3">
        <v>2.66</v>
      </c>
      <c r="I1614" s="3">
        <v>-7.85</v>
      </c>
      <c r="J1614" s="3">
        <v>5.44</v>
      </c>
    </row>
    <row r="1615" spans="1:10" ht="14.4" x14ac:dyDescent="0.3">
      <c r="A1615" s="3"/>
      <c r="E1615" s="3">
        <v>276.89</v>
      </c>
      <c r="F1615" s="3">
        <v>-36.380000000000003</v>
      </c>
      <c r="G1615" s="3">
        <v>-8.39</v>
      </c>
      <c r="H1615" s="3">
        <v>-4.3</v>
      </c>
      <c r="I1615" s="3">
        <v>14.03</v>
      </c>
      <c r="J1615" s="3">
        <v>-23.53</v>
      </c>
    </row>
    <row r="1616" spans="1:10" ht="14.4" x14ac:dyDescent="0.3">
      <c r="A1616" s="3"/>
      <c r="E1616" s="3">
        <v>235.69</v>
      </c>
      <c r="F1616" s="3">
        <v>41.81</v>
      </c>
      <c r="G1616" s="3">
        <v>-7.98</v>
      </c>
      <c r="H1616" s="3">
        <v>1.35</v>
      </c>
      <c r="I1616" s="3">
        <v>22.86</v>
      </c>
      <c r="J1616" s="3">
        <v>39.35</v>
      </c>
    </row>
    <row r="1617" spans="1:10" ht="14.4" x14ac:dyDescent="0.3">
      <c r="A1617" s="3"/>
      <c r="E1617" s="3">
        <v>312.29000000000002</v>
      </c>
      <c r="F1617" s="3">
        <v>-10.99</v>
      </c>
      <c r="G1617" s="3">
        <v>-21.6</v>
      </c>
      <c r="H1617" s="3">
        <v>-5.61</v>
      </c>
      <c r="I1617" s="3">
        <v>44.74</v>
      </c>
      <c r="J1617" s="3">
        <v>10.38</v>
      </c>
    </row>
    <row r="1618" spans="1:10" ht="14.4" x14ac:dyDescent="0.3">
      <c r="A1618" s="3"/>
      <c r="E1618" s="3">
        <v>433.93</v>
      </c>
      <c r="F1618" s="3">
        <v>51.97</v>
      </c>
      <c r="G1618" s="3">
        <v>15.67</v>
      </c>
      <c r="H1618" s="3">
        <v>2.94</v>
      </c>
      <c r="I1618" s="3">
        <v>-34.89</v>
      </c>
      <c r="J1618" s="3">
        <v>67.98</v>
      </c>
    </row>
    <row r="1619" spans="1:10" ht="14.4" x14ac:dyDescent="0.3">
      <c r="A1619" s="3"/>
      <c r="E1619" s="3">
        <v>154.47999999999999</v>
      </c>
      <c r="F1619" s="3">
        <v>-27.67</v>
      </c>
      <c r="G1619" s="3">
        <v>-25.37</v>
      </c>
      <c r="H1619" s="3">
        <v>-2.58</v>
      </c>
      <c r="I1619" s="3">
        <v>59.59</v>
      </c>
      <c r="J1619" s="3">
        <v>-42.76</v>
      </c>
    </row>
    <row r="1620" spans="1:10" ht="14.4" x14ac:dyDescent="0.3">
      <c r="A1620" s="3"/>
      <c r="E1620" s="3">
        <v>358.1</v>
      </c>
      <c r="F1620" s="3">
        <v>33.1</v>
      </c>
      <c r="G1620" s="3">
        <v>9</v>
      </c>
      <c r="H1620" s="3">
        <v>-0.37</v>
      </c>
      <c r="I1620" s="3">
        <v>-22.71</v>
      </c>
      <c r="J1620" s="3">
        <v>58.58</v>
      </c>
    </row>
    <row r="1621" spans="1:10" ht="14.4" x14ac:dyDescent="0.3">
      <c r="A1621" s="3"/>
      <c r="E1621" s="3">
        <v>78.650000000000006</v>
      </c>
      <c r="F1621" s="3">
        <v>-46.55</v>
      </c>
      <c r="G1621" s="3">
        <v>-32.049999999999997</v>
      </c>
      <c r="H1621" s="3">
        <v>-5.89</v>
      </c>
      <c r="I1621" s="3">
        <v>71.78</v>
      </c>
      <c r="J1621" s="3">
        <v>-52.16</v>
      </c>
    </row>
    <row r="1622" spans="1:10" ht="14.4" x14ac:dyDescent="0.3">
      <c r="A1622" s="3"/>
      <c r="E1622" s="3">
        <v>466</v>
      </c>
      <c r="F1622" s="3">
        <v>46.28</v>
      </c>
      <c r="G1622" s="3">
        <v>7.74</v>
      </c>
      <c r="H1622" s="3">
        <v>4.58</v>
      </c>
      <c r="I1622" s="3">
        <v>-13.1</v>
      </c>
      <c r="J1622" s="3">
        <v>41.39</v>
      </c>
    </row>
    <row r="1623" spans="1:10" ht="14.4" x14ac:dyDescent="0.3">
      <c r="A1623" s="3"/>
      <c r="E1623" s="3">
        <v>94.39</v>
      </c>
      <c r="F1623" s="3">
        <v>-17.02</v>
      </c>
      <c r="G1623" s="3">
        <v>-10.5</v>
      </c>
      <c r="H1623" s="3">
        <v>-5.64</v>
      </c>
      <c r="I1623" s="3">
        <v>18.77</v>
      </c>
      <c r="J1623" s="3">
        <v>7.06</v>
      </c>
    </row>
    <row r="1624" spans="1:10" ht="14.4" x14ac:dyDescent="0.3">
      <c r="A1624" s="3"/>
      <c r="E1624" s="3">
        <v>418.19</v>
      </c>
      <c r="F1624" s="3">
        <v>22.45</v>
      </c>
      <c r="G1624" s="3">
        <v>-5.87</v>
      </c>
      <c r="H1624" s="3">
        <v>2.7</v>
      </c>
      <c r="I1624" s="3">
        <v>18.12</v>
      </c>
      <c r="J1624" s="3">
        <v>8.76</v>
      </c>
    </row>
    <row r="1625" spans="1:10" ht="14.4" x14ac:dyDescent="0.3">
      <c r="A1625" s="3"/>
      <c r="E1625" s="3">
        <v>296.02</v>
      </c>
      <c r="F1625" s="3">
        <v>21.22</v>
      </c>
      <c r="G1625" s="3">
        <v>-2.15</v>
      </c>
      <c r="H1625" s="3">
        <v>3.36</v>
      </c>
      <c r="I1625" s="3">
        <v>9.9</v>
      </c>
      <c r="J1625" s="3">
        <v>5.35</v>
      </c>
    </row>
    <row r="1626" spans="1:10" ht="14.4" x14ac:dyDescent="0.3">
      <c r="A1626" s="3"/>
      <c r="E1626" s="3">
        <v>209.19</v>
      </c>
      <c r="F1626" s="3">
        <v>-90</v>
      </c>
      <c r="G1626" s="3">
        <v>37.93</v>
      </c>
      <c r="H1626" s="3">
        <v>2.9</v>
      </c>
      <c r="I1626" s="3">
        <v>-89.1</v>
      </c>
      <c r="J1626" s="3">
        <v>-114.7</v>
      </c>
    </row>
    <row r="1627" spans="1:10" ht="14.4" x14ac:dyDescent="0.3">
      <c r="A1627" s="3"/>
      <c r="E1627" s="3">
        <v>469.99</v>
      </c>
      <c r="F1627" s="3">
        <v>97.1</v>
      </c>
      <c r="G1627" s="3">
        <v>-59.37</v>
      </c>
      <c r="H1627" s="3">
        <v>-6.75</v>
      </c>
      <c r="I1627" s="3">
        <v>137.19999999999999</v>
      </c>
      <c r="J1627" s="3">
        <v>135.16999999999999</v>
      </c>
    </row>
    <row r="1628" spans="1:10" ht="14.4" x14ac:dyDescent="0.3">
      <c r="A1628" s="3"/>
      <c r="E1628" s="3">
        <v>116.96</v>
      </c>
      <c r="F1628" s="3">
        <v>61.3</v>
      </c>
      <c r="G1628" s="3">
        <v>8.69</v>
      </c>
      <c r="H1628" s="3">
        <v>6.62</v>
      </c>
      <c r="I1628" s="3">
        <v>-9.66</v>
      </c>
      <c r="J1628" s="3">
        <v>38.869999999999997</v>
      </c>
    </row>
    <row r="1629" spans="1:10" ht="14.4" x14ac:dyDescent="0.3">
      <c r="A1629" s="3"/>
      <c r="E1629" s="3">
        <v>562.22</v>
      </c>
      <c r="F1629" s="3">
        <v>-54.21</v>
      </c>
      <c r="G1629" s="3">
        <v>-30.14</v>
      </c>
      <c r="H1629" s="3">
        <v>-10.47</v>
      </c>
      <c r="I1629" s="3">
        <v>57.76</v>
      </c>
      <c r="J1629" s="3">
        <v>-18.399999999999999</v>
      </c>
    </row>
    <row r="1630" spans="1:10" ht="14.4" x14ac:dyDescent="0.3">
      <c r="A1630" s="3"/>
      <c r="E1630" s="3">
        <v>209.19</v>
      </c>
      <c r="F1630" s="3">
        <v>-90</v>
      </c>
      <c r="G1630" s="3">
        <v>37.93</v>
      </c>
      <c r="H1630" s="3">
        <v>2.9</v>
      </c>
      <c r="I1630" s="3">
        <v>-89.1</v>
      </c>
      <c r="J1630" s="3">
        <v>-114.7</v>
      </c>
    </row>
    <row r="1631" spans="1:10" ht="14.4" x14ac:dyDescent="0.3">
      <c r="A1631" s="3"/>
      <c r="E1631" s="3">
        <v>469.99</v>
      </c>
      <c r="F1631" s="3">
        <v>97.1</v>
      </c>
      <c r="G1631" s="3">
        <v>-59.37</v>
      </c>
      <c r="H1631" s="3">
        <v>-6.75</v>
      </c>
      <c r="I1631" s="3">
        <v>137.19999999999999</v>
      </c>
      <c r="J1631" s="3">
        <v>135.16999999999999</v>
      </c>
    </row>
    <row r="1632" spans="1:10" ht="14.4" x14ac:dyDescent="0.3">
      <c r="A1632" s="3"/>
      <c r="E1632" s="3">
        <v>116.96</v>
      </c>
      <c r="F1632" s="3">
        <v>61.3</v>
      </c>
      <c r="G1632" s="3">
        <v>8.69</v>
      </c>
      <c r="H1632" s="3">
        <v>6.62</v>
      </c>
      <c r="I1632" s="3">
        <v>-9.66</v>
      </c>
      <c r="J1632" s="3">
        <v>38.869999999999997</v>
      </c>
    </row>
    <row r="1633" spans="1:10" ht="14.4" x14ac:dyDescent="0.3">
      <c r="A1633" s="3"/>
      <c r="E1633" s="3">
        <v>562.22</v>
      </c>
      <c r="F1633" s="3">
        <v>-54.21</v>
      </c>
      <c r="G1633" s="3">
        <v>-30.14</v>
      </c>
      <c r="H1633" s="3">
        <v>-10.47</v>
      </c>
      <c r="I1633" s="3">
        <v>57.76</v>
      </c>
      <c r="J1633" s="3">
        <v>-18.399999999999999</v>
      </c>
    </row>
    <row r="1634" spans="1:10" ht="14.4" x14ac:dyDescent="0.3">
      <c r="A1634" s="3"/>
      <c r="E1634" s="3">
        <v>119.5</v>
      </c>
      <c r="F1634" s="3">
        <v>-91.04</v>
      </c>
      <c r="G1634" s="3">
        <v>41.04</v>
      </c>
      <c r="H1634" s="3">
        <v>3.47</v>
      </c>
      <c r="I1634" s="3">
        <v>-96.32</v>
      </c>
      <c r="J1634" s="3">
        <v>-117.96</v>
      </c>
    </row>
    <row r="1635" spans="1:10" ht="14.4" x14ac:dyDescent="0.3">
      <c r="A1635" s="3"/>
      <c r="E1635" s="3">
        <v>380.3</v>
      </c>
      <c r="F1635" s="3">
        <v>96.06</v>
      </c>
      <c r="G1635" s="3">
        <v>-56.26</v>
      </c>
      <c r="H1635" s="3">
        <v>-6.19</v>
      </c>
      <c r="I1635" s="3">
        <v>129.97</v>
      </c>
      <c r="J1635" s="3">
        <v>131.91</v>
      </c>
    </row>
    <row r="1636" spans="1:10" ht="14.4" x14ac:dyDescent="0.3">
      <c r="A1636" s="3"/>
      <c r="E1636" s="3">
        <v>27.28</v>
      </c>
      <c r="F1636" s="3">
        <v>60.26</v>
      </c>
      <c r="G1636" s="3">
        <v>11.81</v>
      </c>
      <c r="H1636" s="3">
        <v>7.19</v>
      </c>
      <c r="I1636" s="3">
        <v>-16.89</v>
      </c>
      <c r="J1636" s="3">
        <v>35.61</v>
      </c>
    </row>
    <row r="1637" spans="1:10" ht="14.4" x14ac:dyDescent="0.3">
      <c r="A1637" s="3"/>
      <c r="E1637" s="3">
        <v>472.53</v>
      </c>
      <c r="F1637" s="3">
        <v>-55.24</v>
      </c>
      <c r="G1637" s="3">
        <v>-27.02</v>
      </c>
      <c r="H1637" s="3">
        <v>-9.9</v>
      </c>
      <c r="I1637" s="3">
        <v>50.54</v>
      </c>
      <c r="J1637" s="3">
        <v>-21.66</v>
      </c>
    </row>
    <row r="1638" spans="1:10" ht="14.4" x14ac:dyDescent="0.3">
      <c r="A1638" s="3"/>
      <c r="E1638" s="3">
        <v>119.5</v>
      </c>
      <c r="F1638" s="3">
        <v>-91.04</v>
      </c>
      <c r="G1638" s="3">
        <v>41.04</v>
      </c>
      <c r="H1638" s="3">
        <v>3.47</v>
      </c>
      <c r="I1638" s="3">
        <v>-96.32</v>
      </c>
      <c r="J1638" s="3">
        <v>-117.96</v>
      </c>
    </row>
    <row r="1639" spans="1:10" ht="14.4" x14ac:dyDescent="0.3">
      <c r="A1639" s="3"/>
      <c r="E1639" s="3">
        <v>380.3</v>
      </c>
      <c r="F1639" s="3">
        <v>96.06</v>
      </c>
      <c r="G1639" s="3">
        <v>-56.26</v>
      </c>
      <c r="H1639" s="3">
        <v>-6.19</v>
      </c>
      <c r="I1639" s="3">
        <v>129.97</v>
      </c>
      <c r="J1639" s="3">
        <v>131.91</v>
      </c>
    </row>
    <row r="1640" spans="1:10" ht="14.4" x14ac:dyDescent="0.3">
      <c r="A1640" s="3"/>
      <c r="E1640" s="3">
        <v>27.28</v>
      </c>
      <c r="F1640" s="3">
        <v>60.26</v>
      </c>
      <c r="G1640" s="3">
        <v>11.81</v>
      </c>
      <c r="H1640" s="3">
        <v>7.19</v>
      </c>
      <c r="I1640" s="3">
        <v>-16.89</v>
      </c>
      <c r="J1640" s="3">
        <v>35.61</v>
      </c>
    </row>
    <row r="1641" spans="1:10" ht="14.4" x14ac:dyDescent="0.3">
      <c r="A1641" s="3"/>
      <c r="E1641" s="3">
        <v>472.53</v>
      </c>
      <c r="F1641" s="3">
        <v>-55.24</v>
      </c>
      <c r="G1641" s="3">
        <v>-27.02</v>
      </c>
      <c r="H1641" s="3">
        <v>-9.9</v>
      </c>
      <c r="I1641" s="3">
        <v>50.54</v>
      </c>
      <c r="J1641" s="3">
        <v>-21.66</v>
      </c>
    </row>
    <row r="1642" spans="1:10" ht="14.4" x14ac:dyDescent="0.3">
      <c r="A1642" s="3"/>
      <c r="E1642" s="3">
        <v>404.6</v>
      </c>
      <c r="F1642" s="3">
        <v>3.91</v>
      </c>
      <c r="G1642" s="3">
        <v>-11.83</v>
      </c>
      <c r="H1642" s="3">
        <v>-2.11</v>
      </c>
      <c r="I1642" s="3">
        <v>2.5099999999999998</v>
      </c>
      <c r="J1642" s="3">
        <v>3.04</v>
      </c>
    </row>
    <row r="1643" spans="1:10" ht="14.4" x14ac:dyDescent="0.3">
      <c r="A1643" s="3"/>
      <c r="E1643" s="3">
        <v>371.13</v>
      </c>
      <c r="F1643" s="3">
        <v>2.98</v>
      </c>
      <c r="G1643" s="3">
        <v>-11.58</v>
      </c>
      <c r="H1643" s="3">
        <v>-2.17</v>
      </c>
      <c r="I1643" s="3">
        <v>3.18</v>
      </c>
      <c r="J1643" s="3">
        <v>4.79</v>
      </c>
    </row>
    <row r="1644" spans="1:10" ht="14.4" x14ac:dyDescent="0.3">
      <c r="A1644" s="3"/>
      <c r="E1644" s="3">
        <v>452.4</v>
      </c>
      <c r="F1644" s="3">
        <v>2.25</v>
      </c>
      <c r="G1644" s="3">
        <v>-14.38</v>
      </c>
      <c r="H1644" s="3">
        <v>-2.77</v>
      </c>
      <c r="I1644" s="3">
        <v>4.32</v>
      </c>
      <c r="J1644" s="3">
        <v>7.48</v>
      </c>
    </row>
    <row r="1645" spans="1:10" ht="14.4" x14ac:dyDescent="0.3">
      <c r="A1645" s="3"/>
      <c r="E1645" s="3">
        <v>354.47</v>
      </c>
      <c r="F1645" s="3">
        <v>3.03</v>
      </c>
      <c r="G1645" s="3">
        <v>-10.86</v>
      </c>
      <c r="H1645" s="3">
        <v>-1.96</v>
      </c>
      <c r="I1645" s="3">
        <v>2.62</v>
      </c>
      <c r="J1645" s="3">
        <v>3.88</v>
      </c>
    </row>
    <row r="1646" spans="1:10" ht="14.4" x14ac:dyDescent="0.3">
      <c r="A1646" s="3"/>
      <c r="E1646" s="3">
        <v>614.54999999999995</v>
      </c>
      <c r="F1646" s="3">
        <v>0.71</v>
      </c>
      <c r="G1646" s="3">
        <v>-19.809999999999999</v>
      </c>
      <c r="H1646" s="3">
        <v>-3.87</v>
      </c>
      <c r="I1646" s="3">
        <v>6.27</v>
      </c>
      <c r="J1646" s="3">
        <v>12.49</v>
      </c>
    </row>
    <row r="1647" spans="1:10" ht="14.4" x14ac:dyDescent="0.3">
      <c r="A1647" s="3"/>
      <c r="E1647" s="3">
        <v>341.95</v>
      </c>
      <c r="F1647" s="3">
        <v>4.22</v>
      </c>
      <c r="G1647" s="3">
        <v>-9.3800000000000008</v>
      </c>
      <c r="H1647" s="3">
        <v>-1.63</v>
      </c>
      <c r="I1647" s="3">
        <v>1.48</v>
      </c>
      <c r="J1647" s="3">
        <v>0.55000000000000004</v>
      </c>
    </row>
    <row r="1648" spans="1:10" ht="14.4" x14ac:dyDescent="0.3">
      <c r="A1648" s="3"/>
      <c r="E1648" s="3">
        <v>340.1</v>
      </c>
      <c r="F1648" s="3">
        <v>4.82</v>
      </c>
      <c r="G1648" s="3">
        <v>-9.2799999999999994</v>
      </c>
      <c r="H1648" s="3">
        <v>-1.46</v>
      </c>
      <c r="I1648" s="3">
        <v>1.93</v>
      </c>
      <c r="J1648" s="3">
        <v>-0.23</v>
      </c>
    </row>
    <row r="1649" spans="1:10" ht="14.4" x14ac:dyDescent="0.3">
      <c r="A1649" s="3"/>
      <c r="E1649" s="3">
        <v>346.4</v>
      </c>
      <c r="F1649" s="3">
        <v>3.52</v>
      </c>
      <c r="G1649" s="3">
        <v>-10.41</v>
      </c>
      <c r="H1649" s="3">
        <v>-1.83</v>
      </c>
      <c r="I1649" s="3">
        <v>2.58</v>
      </c>
      <c r="J1649" s="3">
        <v>2.62</v>
      </c>
    </row>
    <row r="1650" spans="1:10" ht="14.4" x14ac:dyDescent="0.3">
      <c r="A1650" s="3"/>
      <c r="E1650" s="3">
        <v>348.93</v>
      </c>
      <c r="F1650" s="3">
        <v>2.79</v>
      </c>
      <c r="G1650" s="3">
        <v>-10.52</v>
      </c>
      <c r="H1650" s="3">
        <v>-1.93</v>
      </c>
      <c r="I1650" s="3">
        <v>2.27</v>
      </c>
      <c r="J1650" s="3">
        <v>3.62</v>
      </c>
    </row>
    <row r="1651" spans="1:10" ht="14.4" x14ac:dyDescent="0.3">
      <c r="A1651" s="3"/>
      <c r="E1651" s="3">
        <v>348.84</v>
      </c>
      <c r="F1651" s="3">
        <v>4.37</v>
      </c>
      <c r="G1651" s="3">
        <v>-10.94</v>
      </c>
      <c r="H1651" s="3">
        <v>-1.86</v>
      </c>
      <c r="I1651" s="3">
        <v>2.57</v>
      </c>
      <c r="J1651" s="3">
        <v>2.16</v>
      </c>
    </row>
    <row r="1652" spans="1:10" ht="14.4" x14ac:dyDescent="0.3">
      <c r="A1652" s="3"/>
      <c r="E1652" s="3">
        <v>353.45</v>
      </c>
      <c r="F1652" s="3">
        <v>2.62</v>
      </c>
      <c r="G1652" s="3">
        <v>-11.2</v>
      </c>
      <c r="H1652" s="3">
        <v>-2.0299999999999998</v>
      </c>
      <c r="I1652" s="3">
        <v>2.33</v>
      </c>
      <c r="J1652" s="3">
        <v>4.5</v>
      </c>
    </row>
    <row r="1653" spans="1:10" ht="14.4" x14ac:dyDescent="0.3">
      <c r="A1653" s="3"/>
      <c r="E1653" s="3">
        <v>351.45</v>
      </c>
      <c r="F1653" s="3">
        <v>1.72</v>
      </c>
      <c r="G1653" s="3">
        <v>-10.51</v>
      </c>
      <c r="H1653" s="3">
        <v>-2.06</v>
      </c>
      <c r="I1653" s="3">
        <v>2.04</v>
      </c>
      <c r="J1653" s="3">
        <v>4.92</v>
      </c>
    </row>
    <row r="1654" spans="1:10" ht="14.4" x14ac:dyDescent="0.3">
      <c r="A1654" s="3"/>
      <c r="E1654" s="3">
        <v>357.86</v>
      </c>
      <c r="F1654" s="3">
        <v>1.29</v>
      </c>
      <c r="G1654" s="3">
        <v>-11.53</v>
      </c>
      <c r="H1654" s="3">
        <v>-2.2200000000000002</v>
      </c>
      <c r="I1654" s="3">
        <v>2.3199999999999998</v>
      </c>
      <c r="J1654" s="3">
        <v>6.52</v>
      </c>
    </row>
    <row r="1655" spans="1:10" ht="14.4" x14ac:dyDescent="0.3">
      <c r="A1655" s="3"/>
      <c r="E1655" s="3">
        <v>354.22</v>
      </c>
      <c r="F1655" s="3">
        <v>1.44</v>
      </c>
      <c r="G1655" s="3">
        <v>-11.18</v>
      </c>
      <c r="H1655" s="3">
        <v>-2.06</v>
      </c>
      <c r="I1655" s="3">
        <v>2.85</v>
      </c>
      <c r="J1655" s="3">
        <v>6.15</v>
      </c>
    </row>
    <row r="1656" spans="1:10" ht="14.4" x14ac:dyDescent="0.3">
      <c r="A1656" s="3"/>
      <c r="E1656" s="3">
        <v>356.07</v>
      </c>
      <c r="F1656" s="3">
        <v>0.84</v>
      </c>
      <c r="G1656" s="3">
        <v>-11.27</v>
      </c>
      <c r="H1656" s="3">
        <v>-2.23</v>
      </c>
      <c r="I1656" s="3">
        <v>2.4</v>
      </c>
      <c r="J1656" s="3">
        <v>6.92</v>
      </c>
    </row>
    <row r="1657" spans="1:10" ht="14.4" x14ac:dyDescent="0.3">
      <c r="A1657" s="3"/>
      <c r="E1657" s="3">
        <v>349.78</v>
      </c>
      <c r="F1657" s="3">
        <v>2.14</v>
      </c>
      <c r="G1657" s="3">
        <v>-10.15</v>
      </c>
      <c r="H1657" s="3">
        <v>-1.86</v>
      </c>
      <c r="I1657" s="3">
        <v>1.75</v>
      </c>
      <c r="J1657" s="3">
        <v>4.07</v>
      </c>
    </row>
    <row r="1658" spans="1:10" ht="14.4" x14ac:dyDescent="0.3">
      <c r="A1658" s="3"/>
      <c r="E1658" s="3">
        <v>347.24</v>
      </c>
      <c r="F1658" s="3">
        <v>2.86</v>
      </c>
      <c r="G1658" s="3">
        <v>-10.039999999999999</v>
      </c>
      <c r="H1658" s="3">
        <v>-1.76</v>
      </c>
      <c r="I1658" s="3">
        <v>2.06</v>
      </c>
      <c r="J1658" s="3">
        <v>3.08</v>
      </c>
    </row>
    <row r="1659" spans="1:10" ht="14.4" x14ac:dyDescent="0.3">
      <c r="A1659" s="3"/>
      <c r="E1659" s="3">
        <v>347.33</v>
      </c>
      <c r="F1659" s="3">
        <v>1.29</v>
      </c>
      <c r="G1659" s="3">
        <v>-9.61</v>
      </c>
      <c r="H1659" s="3">
        <v>-1.83</v>
      </c>
      <c r="I1659" s="3">
        <v>1.76</v>
      </c>
      <c r="J1659" s="3">
        <v>4.54</v>
      </c>
    </row>
    <row r="1660" spans="1:10" ht="14.4" x14ac:dyDescent="0.3">
      <c r="A1660" s="3"/>
      <c r="E1660" s="3">
        <v>342.72</v>
      </c>
      <c r="F1660" s="3">
        <v>3.04</v>
      </c>
      <c r="G1660" s="3">
        <v>-9.36</v>
      </c>
      <c r="H1660" s="3">
        <v>-1.66</v>
      </c>
      <c r="I1660" s="3">
        <v>2</v>
      </c>
      <c r="J1660" s="3">
        <v>2.2000000000000002</v>
      </c>
    </row>
    <row r="1661" spans="1:10" ht="14.4" x14ac:dyDescent="0.3">
      <c r="A1661" s="3"/>
      <c r="E1661" s="3">
        <v>344.73</v>
      </c>
      <c r="F1661" s="3">
        <v>3.94</v>
      </c>
      <c r="G1661" s="3">
        <v>-10.050000000000001</v>
      </c>
      <c r="H1661" s="3">
        <v>-1.63</v>
      </c>
      <c r="I1661" s="3">
        <v>2.29</v>
      </c>
      <c r="J1661" s="3">
        <v>1.78</v>
      </c>
    </row>
    <row r="1662" spans="1:10" ht="14.4" x14ac:dyDescent="0.3">
      <c r="A1662" s="3"/>
      <c r="E1662" s="3">
        <v>338.32</v>
      </c>
      <c r="F1662" s="3">
        <v>4.37</v>
      </c>
      <c r="G1662" s="3">
        <v>-9.02</v>
      </c>
      <c r="H1662" s="3">
        <v>-1.47</v>
      </c>
      <c r="I1662" s="3">
        <v>2.0099999999999998</v>
      </c>
      <c r="J1662" s="3">
        <v>0.18</v>
      </c>
    </row>
    <row r="1663" spans="1:10" ht="14.4" x14ac:dyDescent="0.3">
      <c r="A1663" s="3"/>
      <c r="E1663" s="3">
        <v>602.03</v>
      </c>
      <c r="F1663" s="3">
        <v>1.9</v>
      </c>
      <c r="G1663" s="3">
        <v>-18.32</v>
      </c>
      <c r="H1663" s="3">
        <v>-3.54</v>
      </c>
      <c r="I1663" s="3">
        <v>5.12</v>
      </c>
      <c r="J1663" s="3">
        <v>9.16</v>
      </c>
    </row>
    <row r="1664" spans="1:10" ht="14.4" x14ac:dyDescent="0.3">
      <c r="A1664" s="3"/>
      <c r="E1664" s="3">
        <v>600.17999999999995</v>
      </c>
      <c r="F1664" s="3">
        <v>2.5</v>
      </c>
      <c r="G1664" s="3">
        <v>-18.23</v>
      </c>
      <c r="H1664" s="3">
        <v>-3.37</v>
      </c>
      <c r="I1664" s="3">
        <v>5.58</v>
      </c>
      <c r="J1664" s="3">
        <v>8.3800000000000008</v>
      </c>
    </row>
    <row r="1665" spans="1:10" ht="14.4" x14ac:dyDescent="0.3">
      <c r="A1665" s="3"/>
      <c r="E1665" s="3">
        <v>606.47</v>
      </c>
      <c r="F1665" s="3">
        <v>1.2</v>
      </c>
      <c r="G1665" s="3">
        <v>-19.350000000000001</v>
      </c>
      <c r="H1665" s="3">
        <v>-3.74</v>
      </c>
      <c r="I1665" s="3">
        <v>6.22</v>
      </c>
      <c r="J1665" s="3">
        <v>11.23</v>
      </c>
    </row>
    <row r="1666" spans="1:10" ht="14.4" x14ac:dyDescent="0.3">
      <c r="A1666" s="3"/>
      <c r="E1666" s="3">
        <v>609.01</v>
      </c>
      <c r="F1666" s="3">
        <v>0.47</v>
      </c>
      <c r="G1666" s="3">
        <v>-19.47</v>
      </c>
      <c r="H1666" s="3">
        <v>-3.85</v>
      </c>
      <c r="I1666" s="3">
        <v>5.91</v>
      </c>
      <c r="J1666" s="3">
        <v>12.23</v>
      </c>
    </row>
    <row r="1667" spans="1:10" ht="14.4" x14ac:dyDescent="0.3">
      <c r="A1667" s="3"/>
      <c r="E1667" s="3">
        <v>608.91999999999996</v>
      </c>
      <c r="F1667" s="3">
        <v>2.0499999999999998</v>
      </c>
      <c r="G1667" s="3">
        <v>-19.89</v>
      </c>
      <c r="H1667" s="3">
        <v>-3.78</v>
      </c>
      <c r="I1667" s="3">
        <v>6.21</v>
      </c>
      <c r="J1667" s="3">
        <v>10.77</v>
      </c>
    </row>
    <row r="1668" spans="1:10" ht="14.4" x14ac:dyDescent="0.3">
      <c r="A1668" s="3"/>
      <c r="E1668" s="3">
        <v>613.53</v>
      </c>
      <c r="F1668" s="3">
        <v>0.3</v>
      </c>
      <c r="G1668" s="3">
        <v>-20.149999999999999</v>
      </c>
      <c r="H1668" s="3">
        <v>-3.94</v>
      </c>
      <c r="I1668" s="3">
        <v>5.97</v>
      </c>
      <c r="J1668" s="3">
        <v>13.11</v>
      </c>
    </row>
    <row r="1669" spans="1:10" ht="14.4" x14ac:dyDescent="0.3">
      <c r="A1669" s="3"/>
      <c r="E1669" s="3">
        <v>611.52</v>
      </c>
      <c r="F1669" s="3">
        <v>-0.6</v>
      </c>
      <c r="G1669" s="3">
        <v>-19.46</v>
      </c>
      <c r="H1669" s="3">
        <v>-3.97</v>
      </c>
      <c r="I1669" s="3">
        <v>5.68</v>
      </c>
      <c r="J1669" s="3">
        <v>13.53</v>
      </c>
    </row>
    <row r="1670" spans="1:10" ht="14.4" x14ac:dyDescent="0.3">
      <c r="A1670" s="3"/>
      <c r="E1670" s="3">
        <v>617.92999999999995</v>
      </c>
      <c r="F1670" s="3">
        <v>-1.03</v>
      </c>
      <c r="G1670" s="3">
        <v>-20.48</v>
      </c>
      <c r="H1670" s="3">
        <v>-4.13</v>
      </c>
      <c r="I1670" s="3">
        <v>5.96</v>
      </c>
      <c r="J1670" s="3">
        <v>15.13</v>
      </c>
    </row>
    <row r="1671" spans="1:10" ht="14.4" x14ac:dyDescent="0.3">
      <c r="A1671" s="3"/>
      <c r="E1671" s="3">
        <v>614.29999999999995</v>
      </c>
      <c r="F1671" s="3">
        <v>-0.88</v>
      </c>
      <c r="G1671" s="3">
        <v>-20.13</v>
      </c>
      <c r="H1671" s="3">
        <v>-3.97</v>
      </c>
      <c r="I1671" s="3">
        <v>6.49</v>
      </c>
      <c r="J1671" s="3">
        <v>14.76</v>
      </c>
    </row>
    <row r="1672" spans="1:10" ht="14.4" x14ac:dyDescent="0.3">
      <c r="A1672" s="3"/>
      <c r="E1672" s="3">
        <v>616.15</v>
      </c>
      <c r="F1672" s="3">
        <v>-1.48</v>
      </c>
      <c r="G1672" s="3">
        <v>-20.22</v>
      </c>
      <c r="H1672" s="3">
        <v>-4.1399999999999997</v>
      </c>
      <c r="I1672" s="3">
        <v>6.04</v>
      </c>
      <c r="J1672" s="3">
        <v>15.53</v>
      </c>
    </row>
    <row r="1673" spans="1:10" ht="14.4" x14ac:dyDescent="0.3">
      <c r="A1673" s="3"/>
      <c r="E1673" s="3">
        <v>609.85</v>
      </c>
      <c r="F1673" s="3">
        <v>-0.18</v>
      </c>
      <c r="G1673" s="3">
        <v>-19.100000000000001</v>
      </c>
      <c r="H1673" s="3">
        <v>-3.77</v>
      </c>
      <c r="I1673" s="3">
        <v>5.39</v>
      </c>
      <c r="J1673" s="3">
        <v>12.68</v>
      </c>
    </row>
    <row r="1674" spans="1:10" ht="14.4" x14ac:dyDescent="0.3">
      <c r="A1674" s="3"/>
      <c r="E1674" s="3">
        <v>607.32000000000005</v>
      </c>
      <c r="F1674" s="3">
        <v>0.55000000000000004</v>
      </c>
      <c r="G1674" s="3">
        <v>-18.989999999999998</v>
      </c>
      <c r="H1674" s="3">
        <v>-3.67</v>
      </c>
      <c r="I1674" s="3">
        <v>5.71</v>
      </c>
      <c r="J1674" s="3">
        <v>11.69</v>
      </c>
    </row>
    <row r="1675" spans="1:10" ht="14.4" x14ac:dyDescent="0.3">
      <c r="A1675" s="3"/>
      <c r="E1675" s="3">
        <v>607.41</v>
      </c>
      <c r="F1675" s="3">
        <v>-1.03</v>
      </c>
      <c r="G1675" s="3">
        <v>-18.559999999999999</v>
      </c>
      <c r="H1675" s="3">
        <v>-3.74</v>
      </c>
      <c r="I1675" s="3">
        <v>5.4</v>
      </c>
      <c r="J1675" s="3">
        <v>13.14</v>
      </c>
    </row>
    <row r="1676" spans="1:10" ht="14.4" x14ac:dyDescent="0.3">
      <c r="A1676" s="3"/>
      <c r="E1676" s="3">
        <v>602.79999999999995</v>
      </c>
      <c r="F1676" s="3">
        <v>0.72</v>
      </c>
      <c r="G1676" s="3">
        <v>-18.309999999999999</v>
      </c>
      <c r="H1676" s="3">
        <v>-3.58</v>
      </c>
      <c r="I1676" s="3">
        <v>5.64</v>
      </c>
      <c r="J1676" s="3">
        <v>10.81</v>
      </c>
    </row>
    <row r="1677" spans="1:10" ht="14.4" x14ac:dyDescent="0.3">
      <c r="A1677" s="3"/>
      <c r="E1677" s="3">
        <v>604.79999999999995</v>
      </c>
      <c r="F1677" s="3">
        <v>1.62</v>
      </c>
      <c r="G1677" s="3">
        <v>-19</v>
      </c>
      <c r="H1677" s="3">
        <v>-3.55</v>
      </c>
      <c r="I1677" s="3">
        <v>5.93</v>
      </c>
      <c r="J1677" s="3">
        <v>10.38</v>
      </c>
    </row>
    <row r="1678" spans="1:10" ht="14.4" x14ac:dyDescent="0.3">
      <c r="A1678" s="3"/>
      <c r="E1678" s="3">
        <v>598.39</v>
      </c>
      <c r="F1678" s="3">
        <v>2.0499999999999998</v>
      </c>
      <c r="G1678" s="3">
        <v>-17.97</v>
      </c>
      <c r="H1678" s="3">
        <v>-3.39</v>
      </c>
      <c r="I1678" s="3">
        <v>5.66</v>
      </c>
      <c r="J1678" s="3">
        <v>8.7899999999999991</v>
      </c>
    </row>
    <row r="1679" spans="1:10" ht="14.4" x14ac:dyDescent="0.3">
      <c r="A1679" s="3"/>
      <c r="E1679" s="3">
        <v>341.32</v>
      </c>
      <c r="F1679" s="3">
        <v>6.17</v>
      </c>
      <c r="G1679" s="3">
        <v>-8.9600000000000009</v>
      </c>
      <c r="H1679" s="3">
        <v>-1.51</v>
      </c>
      <c r="I1679" s="3">
        <v>1.24</v>
      </c>
      <c r="J1679" s="3">
        <v>-2.23</v>
      </c>
    </row>
    <row r="1680" spans="1:10" ht="14.4" x14ac:dyDescent="0.3">
      <c r="A1680" s="3"/>
      <c r="E1680" s="3">
        <v>337.62</v>
      </c>
      <c r="F1680" s="3">
        <v>7.36</v>
      </c>
      <c r="G1680" s="3">
        <v>-8.77</v>
      </c>
      <c r="H1680" s="3">
        <v>-1.1599999999999999</v>
      </c>
      <c r="I1680" s="3">
        <v>2.15</v>
      </c>
      <c r="J1680" s="3">
        <v>-3.78</v>
      </c>
    </row>
    <row r="1681" spans="1:10" ht="14.4" x14ac:dyDescent="0.3">
      <c r="A1681" s="3"/>
      <c r="E1681" s="3">
        <v>350.21</v>
      </c>
      <c r="F1681" s="3">
        <v>4.7699999999999996</v>
      </c>
      <c r="G1681" s="3">
        <v>-11.02</v>
      </c>
      <c r="H1681" s="3">
        <v>-1.91</v>
      </c>
      <c r="I1681" s="3">
        <v>3.44</v>
      </c>
      <c r="J1681" s="3">
        <v>1.92</v>
      </c>
    </row>
    <row r="1682" spans="1:10" ht="14.4" x14ac:dyDescent="0.3">
      <c r="A1682" s="3"/>
      <c r="E1682" s="3">
        <v>355.28</v>
      </c>
      <c r="F1682" s="3">
        <v>3.32</v>
      </c>
      <c r="G1682" s="3">
        <v>-11.24</v>
      </c>
      <c r="H1682" s="3">
        <v>-2.12</v>
      </c>
      <c r="I1682" s="3">
        <v>2.81</v>
      </c>
      <c r="J1682" s="3">
        <v>3.91</v>
      </c>
    </row>
    <row r="1683" spans="1:10" ht="14.4" x14ac:dyDescent="0.3">
      <c r="A1683" s="3"/>
      <c r="E1683" s="3">
        <v>355.1</v>
      </c>
      <c r="F1683" s="3">
        <v>6.47</v>
      </c>
      <c r="G1683" s="3">
        <v>-12.1</v>
      </c>
      <c r="H1683" s="3">
        <v>-1.97</v>
      </c>
      <c r="I1683" s="3">
        <v>3.43</v>
      </c>
      <c r="J1683" s="3">
        <v>0.99</v>
      </c>
    </row>
    <row r="1684" spans="1:10" ht="14.4" x14ac:dyDescent="0.3">
      <c r="A1684" s="3"/>
      <c r="E1684" s="3">
        <v>364.32</v>
      </c>
      <c r="F1684" s="3">
        <v>2.96</v>
      </c>
      <c r="G1684" s="3">
        <v>-12.61</v>
      </c>
      <c r="H1684" s="3">
        <v>-2.2999999999999998</v>
      </c>
      <c r="I1684" s="3">
        <v>2.95</v>
      </c>
      <c r="J1684" s="3">
        <v>5.67</v>
      </c>
    </row>
    <row r="1685" spans="1:10" ht="14.4" x14ac:dyDescent="0.3">
      <c r="A1685" s="3"/>
      <c r="E1685" s="3">
        <v>360.31</v>
      </c>
      <c r="F1685" s="3">
        <v>1.1599999999999999</v>
      </c>
      <c r="G1685" s="3">
        <v>-11.22</v>
      </c>
      <c r="H1685" s="3">
        <v>-2.36</v>
      </c>
      <c r="I1685" s="3">
        <v>2.37</v>
      </c>
      <c r="J1685" s="3">
        <v>6.52</v>
      </c>
    </row>
    <row r="1686" spans="1:10" ht="14.4" x14ac:dyDescent="0.3">
      <c r="A1686" s="3"/>
      <c r="E1686" s="3">
        <v>373.13</v>
      </c>
      <c r="F1686" s="3">
        <v>0.3</v>
      </c>
      <c r="G1686" s="3">
        <v>-13.27</v>
      </c>
      <c r="H1686" s="3">
        <v>-2.68</v>
      </c>
      <c r="I1686" s="3">
        <v>2.92</v>
      </c>
      <c r="J1686" s="3">
        <v>9.7100000000000009</v>
      </c>
    </row>
    <row r="1687" spans="1:10" ht="14.4" x14ac:dyDescent="0.3">
      <c r="A1687" s="3"/>
      <c r="E1687" s="3">
        <v>365.86</v>
      </c>
      <c r="F1687" s="3">
        <v>0.6</v>
      </c>
      <c r="G1687" s="3">
        <v>-12.57</v>
      </c>
      <c r="H1687" s="3">
        <v>-2.37</v>
      </c>
      <c r="I1687" s="3">
        <v>3.99</v>
      </c>
      <c r="J1687" s="3">
        <v>8.9700000000000006</v>
      </c>
    </row>
    <row r="1688" spans="1:10" ht="14.4" x14ac:dyDescent="0.3">
      <c r="A1688" s="3"/>
      <c r="E1688" s="3">
        <v>369.56</v>
      </c>
      <c r="F1688" s="3">
        <v>-0.59</v>
      </c>
      <c r="G1688" s="3">
        <v>-12.76</v>
      </c>
      <c r="H1688" s="3">
        <v>-2.71</v>
      </c>
      <c r="I1688" s="3">
        <v>3.07</v>
      </c>
      <c r="J1688" s="3">
        <v>10.52</v>
      </c>
    </row>
    <row r="1689" spans="1:10" ht="14.4" x14ac:dyDescent="0.3">
      <c r="A1689" s="3"/>
      <c r="E1689" s="3">
        <v>356.97</v>
      </c>
      <c r="F1689" s="3">
        <v>2.0099999999999998</v>
      </c>
      <c r="G1689" s="3">
        <v>-10.51</v>
      </c>
      <c r="H1689" s="3">
        <v>-1.97</v>
      </c>
      <c r="I1689" s="3">
        <v>1.79</v>
      </c>
      <c r="J1689" s="3">
        <v>4.82</v>
      </c>
    </row>
    <row r="1690" spans="1:10" ht="14.4" x14ac:dyDescent="0.3">
      <c r="A1690" s="3"/>
      <c r="E1690" s="3">
        <v>351.9</v>
      </c>
      <c r="F1690" s="3">
        <v>3.46</v>
      </c>
      <c r="G1690" s="3">
        <v>-10.29</v>
      </c>
      <c r="H1690" s="3">
        <v>-1.76</v>
      </c>
      <c r="I1690" s="3">
        <v>2.41</v>
      </c>
      <c r="J1690" s="3">
        <v>2.83</v>
      </c>
    </row>
    <row r="1691" spans="1:10" ht="14.4" x14ac:dyDescent="0.3">
      <c r="A1691" s="3"/>
      <c r="E1691" s="3">
        <v>352.08</v>
      </c>
      <c r="F1691" s="3">
        <v>0.3</v>
      </c>
      <c r="G1691" s="3">
        <v>-9.43</v>
      </c>
      <c r="H1691" s="3">
        <v>-1.9</v>
      </c>
      <c r="I1691" s="3">
        <v>1.8</v>
      </c>
      <c r="J1691" s="3">
        <v>5.74</v>
      </c>
    </row>
    <row r="1692" spans="1:10" ht="14.4" x14ac:dyDescent="0.3">
      <c r="A1692" s="3"/>
      <c r="E1692" s="3">
        <v>342.86</v>
      </c>
      <c r="F1692" s="3">
        <v>3.81</v>
      </c>
      <c r="G1692" s="3">
        <v>-8.92</v>
      </c>
      <c r="H1692" s="3">
        <v>-1.57</v>
      </c>
      <c r="I1692" s="3">
        <v>2.2799999999999998</v>
      </c>
      <c r="J1692" s="3">
        <v>1.07</v>
      </c>
    </row>
    <row r="1693" spans="1:10" ht="14.4" x14ac:dyDescent="0.3">
      <c r="A1693" s="3"/>
      <c r="E1693" s="3">
        <v>346.87</v>
      </c>
      <c r="F1693" s="3">
        <v>5.61</v>
      </c>
      <c r="G1693" s="3">
        <v>-10.31</v>
      </c>
      <c r="H1693" s="3">
        <v>-1.51</v>
      </c>
      <c r="I1693" s="3">
        <v>2.86</v>
      </c>
      <c r="J1693" s="3">
        <v>0.22</v>
      </c>
    </row>
    <row r="1694" spans="1:10" ht="14.4" x14ac:dyDescent="0.3">
      <c r="A1694" s="3"/>
      <c r="E1694" s="3">
        <v>329.76</v>
      </c>
      <c r="F1694" s="3">
        <v>5.95</v>
      </c>
      <c r="G1694" s="3">
        <v>-7.89</v>
      </c>
      <c r="H1694" s="3">
        <v>-1.22</v>
      </c>
      <c r="I1694" s="3">
        <v>2.36</v>
      </c>
      <c r="J1694" s="3">
        <v>-2.2000000000000002</v>
      </c>
    </row>
    <row r="1695" spans="1:10" ht="14.4" x14ac:dyDescent="0.3">
      <c r="A1695" s="3"/>
      <c r="E1695" s="3">
        <v>341.32</v>
      </c>
      <c r="F1695" s="3">
        <v>6.17</v>
      </c>
      <c r="G1695" s="3">
        <v>-8.9600000000000009</v>
      </c>
      <c r="H1695" s="3">
        <v>-1.51</v>
      </c>
      <c r="I1695" s="3">
        <v>1.24</v>
      </c>
      <c r="J1695" s="3">
        <v>-2.23</v>
      </c>
    </row>
    <row r="1696" spans="1:10" ht="14.4" x14ac:dyDescent="0.3">
      <c r="A1696" s="3"/>
      <c r="E1696" s="3">
        <v>337.62</v>
      </c>
      <c r="F1696" s="3">
        <v>7.36</v>
      </c>
      <c r="G1696" s="3">
        <v>-8.77</v>
      </c>
      <c r="H1696" s="3">
        <v>-1.1599999999999999</v>
      </c>
      <c r="I1696" s="3">
        <v>2.15</v>
      </c>
      <c r="J1696" s="3">
        <v>-3.78</v>
      </c>
    </row>
    <row r="1697" spans="1:10" ht="14.4" x14ac:dyDescent="0.3">
      <c r="A1697" s="3"/>
      <c r="E1697" s="3">
        <v>350.21</v>
      </c>
      <c r="F1697" s="3">
        <v>4.7699999999999996</v>
      </c>
      <c r="G1697" s="3">
        <v>-11.02</v>
      </c>
      <c r="H1697" s="3">
        <v>-1.91</v>
      </c>
      <c r="I1697" s="3">
        <v>3.44</v>
      </c>
      <c r="J1697" s="3">
        <v>1.92</v>
      </c>
    </row>
    <row r="1698" spans="1:10" ht="14.4" x14ac:dyDescent="0.3">
      <c r="A1698" s="3"/>
      <c r="E1698" s="3">
        <v>355.28</v>
      </c>
      <c r="F1698" s="3">
        <v>3.32</v>
      </c>
      <c r="G1698" s="3">
        <v>-11.24</v>
      </c>
      <c r="H1698" s="3">
        <v>-2.12</v>
      </c>
      <c r="I1698" s="3">
        <v>2.81</v>
      </c>
      <c r="J1698" s="3">
        <v>3.91</v>
      </c>
    </row>
    <row r="1699" spans="1:10" ht="14.4" x14ac:dyDescent="0.3">
      <c r="A1699" s="3"/>
      <c r="E1699" s="3">
        <v>355.1</v>
      </c>
      <c r="F1699" s="3">
        <v>6.47</v>
      </c>
      <c r="G1699" s="3">
        <v>-12.1</v>
      </c>
      <c r="H1699" s="3">
        <v>-1.97</v>
      </c>
      <c r="I1699" s="3">
        <v>3.43</v>
      </c>
      <c r="J1699" s="3">
        <v>0.99</v>
      </c>
    </row>
    <row r="1700" spans="1:10" ht="14.4" x14ac:dyDescent="0.3">
      <c r="A1700" s="3"/>
      <c r="E1700" s="3">
        <v>364.32</v>
      </c>
      <c r="F1700" s="3">
        <v>2.96</v>
      </c>
      <c r="G1700" s="3">
        <v>-12.61</v>
      </c>
      <c r="H1700" s="3">
        <v>-2.2999999999999998</v>
      </c>
      <c r="I1700" s="3">
        <v>2.95</v>
      </c>
      <c r="J1700" s="3">
        <v>5.67</v>
      </c>
    </row>
    <row r="1701" spans="1:10" ht="14.4" x14ac:dyDescent="0.3">
      <c r="A1701" s="3"/>
      <c r="E1701" s="3">
        <v>360.31</v>
      </c>
      <c r="F1701" s="3">
        <v>1.1599999999999999</v>
      </c>
      <c r="G1701" s="3">
        <v>-11.22</v>
      </c>
      <c r="H1701" s="3">
        <v>-2.36</v>
      </c>
      <c r="I1701" s="3">
        <v>2.37</v>
      </c>
      <c r="J1701" s="3">
        <v>6.52</v>
      </c>
    </row>
    <row r="1702" spans="1:10" ht="14.4" x14ac:dyDescent="0.3">
      <c r="A1702" s="3"/>
      <c r="E1702" s="3">
        <v>373.13</v>
      </c>
      <c r="F1702" s="3">
        <v>0.3</v>
      </c>
      <c r="G1702" s="3">
        <v>-13.27</v>
      </c>
      <c r="H1702" s="3">
        <v>-2.68</v>
      </c>
      <c r="I1702" s="3">
        <v>2.92</v>
      </c>
      <c r="J1702" s="3">
        <v>9.7100000000000009</v>
      </c>
    </row>
    <row r="1703" spans="1:10" ht="14.4" x14ac:dyDescent="0.3">
      <c r="A1703" s="3"/>
      <c r="E1703" s="3">
        <v>365.86</v>
      </c>
      <c r="F1703" s="3">
        <v>0.6</v>
      </c>
      <c r="G1703" s="3">
        <v>-12.57</v>
      </c>
      <c r="H1703" s="3">
        <v>-2.37</v>
      </c>
      <c r="I1703" s="3">
        <v>3.99</v>
      </c>
      <c r="J1703" s="3">
        <v>8.9700000000000006</v>
      </c>
    </row>
    <row r="1704" spans="1:10" ht="14.4" x14ac:dyDescent="0.3">
      <c r="A1704" s="3"/>
      <c r="E1704" s="3">
        <v>369.56</v>
      </c>
      <c r="F1704" s="3">
        <v>-0.59</v>
      </c>
      <c r="G1704" s="3">
        <v>-12.76</v>
      </c>
      <c r="H1704" s="3">
        <v>-2.71</v>
      </c>
      <c r="I1704" s="3">
        <v>3.07</v>
      </c>
      <c r="J1704" s="3">
        <v>10.52</v>
      </c>
    </row>
    <row r="1705" spans="1:10" ht="14.4" x14ac:dyDescent="0.3">
      <c r="A1705" s="3"/>
      <c r="E1705" s="3">
        <v>356.97</v>
      </c>
      <c r="F1705" s="3">
        <v>2.0099999999999998</v>
      </c>
      <c r="G1705" s="3">
        <v>-10.51</v>
      </c>
      <c r="H1705" s="3">
        <v>-1.97</v>
      </c>
      <c r="I1705" s="3">
        <v>1.79</v>
      </c>
      <c r="J1705" s="3">
        <v>4.82</v>
      </c>
    </row>
    <row r="1706" spans="1:10" ht="14.4" x14ac:dyDescent="0.3">
      <c r="A1706" s="3"/>
      <c r="E1706" s="3">
        <v>351.9</v>
      </c>
      <c r="F1706" s="3">
        <v>3.46</v>
      </c>
      <c r="G1706" s="3">
        <v>-10.29</v>
      </c>
      <c r="H1706" s="3">
        <v>-1.76</v>
      </c>
      <c r="I1706" s="3">
        <v>2.41</v>
      </c>
      <c r="J1706" s="3">
        <v>2.83</v>
      </c>
    </row>
    <row r="1707" spans="1:10" ht="14.4" x14ac:dyDescent="0.3">
      <c r="A1707" s="3"/>
      <c r="E1707" s="3">
        <v>352.08</v>
      </c>
      <c r="F1707" s="3">
        <v>0.3</v>
      </c>
      <c r="G1707" s="3">
        <v>-9.43</v>
      </c>
      <c r="H1707" s="3">
        <v>-1.9</v>
      </c>
      <c r="I1707" s="3">
        <v>1.8</v>
      </c>
      <c r="J1707" s="3">
        <v>5.74</v>
      </c>
    </row>
    <row r="1708" spans="1:10" ht="14.4" x14ac:dyDescent="0.3">
      <c r="A1708" s="3"/>
      <c r="E1708" s="3">
        <v>342.86</v>
      </c>
      <c r="F1708" s="3">
        <v>3.81</v>
      </c>
      <c r="G1708" s="3">
        <v>-8.92</v>
      </c>
      <c r="H1708" s="3">
        <v>-1.57</v>
      </c>
      <c r="I1708" s="3">
        <v>2.2799999999999998</v>
      </c>
      <c r="J1708" s="3">
        <v>1.07</v>
      </c>
    </row>
    <row r="1709" spans="1:10" ht="14.4" x14ac:dyDescent="0.3">
      <c r="A1709" s="3"/>
      <c r="E1709" s="3">
        <v>346.87</v>
      </c>
      <c r="F1709" s="3">
        <v>5.61</v>
      </c>
      <c r="G1709" s="3">
        <v>-10.31</v>
      </c>
      <c r="H1709" s="3">
        <v>-1.51</v>
      </c>
      <c r="I1709" s="3">
        <v>2.86</v>
      </c>
      <c r="J1709" s="3">
        <v>0.22</v>
      </c>
    </row>
    <row r="1710" spans="1:10" ht="14.4" x14ac:dyDescent="0.3">
      <c r="A1710" s="3"/>
      <c r="E1710" s="3">
        <v>346.87</v>
      </c>
      <c r="F1710" s="3">
        <v>5.61</v>
      </c>
      <c r="G1710" s="3">
        <v>-10.31</v>
      </c>
      <c r="H1710" s="3">
        <v>-1.51</v>
      </c>
      <c r="I1710" s="3">
        <v>2.86</v>
      </c>
      <c r="J1710" s="3">
        <v>0.22</v>
      </c>
    </row>
    <row r="1711" spans="1:10" ht="14.4" x14ac:dyDescent="0.3">
      <c r="A1711" s="3"/>
      <c r="E1711" s="3">
        <v>247.83</v>
      </c>
      <c r="F1711" s="3">
        <v>5.29</v>
      </c>
      <c r="G1711" s="3">
        <v>-5.8</v>
      </c>
      <c r="H1711" s="3">
        <v>-0.93</v>
      </c>
      <c r="I1711" s="3">
        <v>0.24</v>
      </c>
      <c r="J1711" s="3">
        <v>-3.64</v>
      </c>
    </row>
    <row r="1712" spans="1:10" ht="14.4" x14ac:dyDescent="0.3">
      <c r="A1712" s="3"/>
      <c r="E1712" s="3">
        <v>244.13</v>
      </c>
      <c r="F1712" s="3">
        <v>6.49</v>
      </c>
      <c r="G1712" s="3">
        <v>-5.61</v>
      </c>
      <c r="H1712" s="3">
        <v>-0.59</v>
      </c>
      <c r="I1712" s="3">
        <v>1.1499999999999999</v>
      </c>
      <c r="J1712" s="3">
        <v>-5.19</v>
      </c>
    </row>
    <row r="1713" spans="1:10" ht="14.4" x14ac:dyDescent="0.3">
      <c r="A1713" s="3"/>
      <c r="E1713" s="3">
        <v>256.73</v>
      </c>
      <c r="F1713" s="3">
        <v>3.89</v>
      </c>
      <c r="G1713" s="3">
        <v>-7.86</v>
      </c>
      <c r="H1713" s="3">
        <v>-1.33</v>
      </c>
      <c r="I1713" s="3">
        <v>2.4300000000000002</v>
      </c>
      <c r="J1713" s="3">
        <v>0.51</v>
      </c>
    </row>
    <row r="1714" spans="1:10" ht="14.4" x14ac:dyDescent="0.3">
      <c r="A1714" s="3"/>
      <c r="E1714" s="3">
        <v>261.79000000000002</v>
      </c>
      <c r="F1714" s="3">
        <v>2.44</v>
      </c>
      <c r="G1714" s="3">
        <v>-8.08</v>
      </c>
      <c r="H1714" s="3">
        <v>-1.54</v>
      </c>
      <c r="I1714" s="3">
        <v>1.81</v>
      </c>
      <c r="J1714" s="3">
        <v>2.4900000000000002</v>
      </c>
    </row>
    <row r="1715" spans="1:10" ht="14.4" x14ac:dyDescent="0.3">
      <c r="A1715" s="3"/>
      <c r="E1715" s="3">
        <v>261.61</v>
      </c>
      <c r="F1715" s="3">
        <v>5.6</v>
      </c>
      <c r="G1715" s="3">
        <v>-8.94</v>
      </c>
      <c r="H1715" s="3">
        <v>-1.39</v>
      </c>
      <c r="I1715" s="3">
        <v>2.4300000000000002</v>
      </c>
      <c r="J1715" s="3">
        <v>-0.42</v>
      </c>
    </row>
    <row r="1716" spans="1:10" ht="14.4" x14ac:dyDescent="0.3">
      <c r="A1716" s="3"/>
      <c r="E1716" s="3">
        <v>270.83999999999997</v>
      </c>
      <c r="F1716" s="3">
        <v>2.09</v>
      </c>
      <c r="G1716" s="3">
        <v>-9.4499999999999993</v>
      </c>
      <c r="H1716" s="3">
        <v>-1.72</v>
      </c>
      <c r="I1716" s="3">
        <v>1.95</v>
      </c>
      <c r="J1716" s="3">
        <v>4.26</v>
      </c>
    </row>
    <row r="1717" spans="1:10" ht="14.4" x14ac:dyDescent="0.3">
      <c r="A1717" s="3"/>
      <c r="E1717" s="3">
        <v>266.82</v>
      </c>
      <c r="F1717" s="3">
        <v>0.28000000000000003</v>
      </c>
      <c r="G1717" s="3">
        <v>-8.06</v>
      </c>
      <c r="H1717" s="3">
        <v>-1.78</v>
      </c>
      <c r="I1717" s="3">
        <v>1.37</v>
      </c>
      <c r="J1717" s="3">
        <v>5.1100000000000003</v>
      </c>
    </row>
    <row r="1718" spans="1:10" ht="14.4" x14ac:dyDescent="0.3">
      <c r="A1718" s="3"/>
      <c r="E1718" s="3">
        <v>279.64</v>
      </c>
      <c r="F1718" s="3">
        <v>-0.57999999999999996</v>
      </c>
      <c r="G1718" s="3">
        <v>-10.119999999999999</v>
      </c>
      <c r="H1718" s="3">
        <v>-2.1</v>
      </c>
      <c r="I1718" s="3">
        <v>1.91</v>
      </c>
      <c r="J1718" s="3">
        <v>8.3000000000000007</v>
      </c>
    </row>
    <row r="1719" spans="1:10" ht="14.4" x14ac:dyDescent="0.3">
      <c r="A1719" s="3"/>
      <c r="E1719" s="3">
        <v>272.37</v>
      </c>
      <c r="F1719" s="3">
        <v>-0.27</v>
      </c>
      <c r="G1719" s="3">
        <v>-9.41</v>
      </c>
      <c r="H1719" s="3">
        <v>-1.79</v>
      </c>
      <c r="I1719" s="3">
        <v>2.98</v>
      </c>
      <c r="J1719" s="3">
        <v>7.56</v>
      </c>
    </row>
    <row r="1720" spans="1:10" ht="14.4" x14ac:dyDescent="0.3">
      <c r="A1720" s="3"/>
      <c r="E1720" s="3">
        <v>276.07</v>
      </c>
      <c r="F1720" s="3">
        <v>-1.46</v>
      </c>
      <c r="G1720" s="3">
        <v>-9.6</v>
      </c>
      <c r="H1720" s="3">
        <v>-2.13</v>
      </c>
      <c r="I1720" s="3">
        <v>2.0699999999999998</v>
      </c>
      <c r="J1720" s="3">
        <v>9.11</v>
      </c>
    </row>
    <row r="1721" spans="1:10" ht="14.4" x14ac:dyDescent="0.3">
      <c r="A1721" s="3"/>
      <c r="E1721" s="3">
        <v>263.48</v>
      </c>
      <c r="F1721" s="3">
        <v>1.1299999999999999</v>
      </c>
      <c r="G1721" s="3">
        <v>-7.35</v>
      </c>
      <c r="H1721" s="3">
        <v>-1.39</v>
      </c>
      <c r="I1721" s="3">
        <v>0.79</v>
      </c>
      <c r="J1721" s="3">
        <v>3.41</v>
      </c>
    </row>
    <row r="1722" spans="1:10" ht="14.4" x14ac:dyDescent="0.3">
      <c r="A1722" s="3"/>
      <c r="E1722" s="3">
        <v>258.41000000000003</v>
      </c>
      <c r="F1722" s="3">
        <v>2.58</v>
      </c>
      <c r="G1722" s="3">
        <v>-7.13</v>
      </c>
      <c r="H1722" s="3">
        <v>-1.18</v>
      </c>
      <c r="I1722" s="3">
        <v>1.41</v>
      </c>
      <c r="J1722" s="3">
        <v>1.42</v>
      </c>
    </row>
    <row r="1723" spans="1:10" ht="14.4" x14ac:dyDescent="0.3">
      <c r="A1723" s="3"/>
      <c r="E1723" s="3">
        <v>258.58999999999997</v>
      </c>
      <c r="F1723" s="3">
        <v>-0.57999999999999996</v>
      </c>
      <c r="G1723" s="3">
        <v>-6.28</v>
      </c>
      <c r="H1723" s="3">
        <v>-1.32</v>
      </c>
      <c r="I1723" s="3">
        <v>0.8</v>
      </c>
      <c r="J1723" s="3">
        <v>4.33</v>
      </c>
    </row>
    <row r="1724" spans="1:10" ht="14.4" x14ac:dyDescent="0.3">
      <c r="A1724" s="3"/>
      <c r="E1724" s="3">
        <v>249.37</v>
      </c>
      <c r="F1724" s="3">
        <v>2.93</v>
      </c>
      <c r="G1724" s="3">
        <v>-5.76</v>
      </c>
      <c r="H1724" s="3">
        <v>-0.99</v>
      </c>
      <c r="I1724" s="3">
        <v>1.28</v>
      </c>
      <c r="J1724" s="3">
        <v>-0.34</v>
      </c>
    </row>
    <row r="1725" spans="1:10" ht="14.4" x14ac:dyDescent="0.3">
      <c r="A1725" s="3"/>
      <c r="E1725" s="3">
        <v>253.38</v>
      </c>
      <c r="F1725" s="3">
        <v>4.74</v>
      </c>
      <c r="G1725" s="3">
        <v>-7.15</v>
      </c>
      <c r="H1725" s="3">
        <v>-0.94</v>
      </c>
      <c r="I1725" s="3">
        <v>1.86</v>
      </c>
      <c r="J1725" s="3">
        <v>-1.19</v>
      </c>
    </row>
    <row r="1726" spans="1:10" ht="14.4" x14ac:dyDescent="0.3">
      <c r="A1726" s="3"/>
      <c r="E1726" s="3">
        <v>240.56</v>
      </c>
      <c r="F1726" s="3">
        <v>5.6</v>
      </c>
      <c r="G1726" s="3">
        <v>-5.0999999999999996</v>
      </c>
      <c r="H1726" s="3">
        <v>-0.61</v>
      </c>
      <c r="I1726" s="3">
        <v>1.31</v>
      </c>
      <c r="J1726" s="3">
        <v>-4.38</v>
      </c>
    </row>
    <row r="1727" spans="1:10" ht="14.4" x14ac:dyDescent="0.3">
      <c r="A1727" s="3"/>
      <c r="E1727" s="3">
        <v>322.56</v>
      </c>
      <c r="F1727" s="3">
        <v>-29.82</v>
      </c>
      <c r="G1727" s="3">
        <v>11.94</v>
      </c>
      <c r="H1727" s="3">
        <v>1.0900000000000001</v>
      </c>
      <c r="I1727" s="3">
        <v>-3.42</v>
      </c>
      <c r="J1727" s="3">
        <v>19.54</v>
      </c>
    </row>
    <row r="1728" spans="1:10" ht="14.4" x14ac:dyDescent="0.3">
      <c r="A1728" s="3"/>
      <c r="E1728" s="3">
        <v>323.39</v>
      </c>
      <c r="F1728" s="3">
        <v>52.59</v>
      </c>
      <c r="G1728" s="3">
        <v>-28.11</v>
      </c>
      <c r="H1728" s="3">
        <v>-2.62</v>
      </c>
      <c r="I1728" s="3">
        <v>10.02</v>
      </c>
      <c r="J1728" s="3">
        <v>-36.840000000000003</v>
      </c>
    </row>
    <row r="1729" spans="1:10" ht="14.4" x14ac:dyDescent="0.3">
      <c r="A1729" s="3"/>
      <c r="E1729" s="3">
        <v>382.99</v>
      </c>
      <c r="F1729" s="3">
        <v>-45.5</v>
      </c>
      <c r="G1729" s="3">
        <v>6.67</v>
      </c>
      <c r="H1729" s="3">
        <v>-1.23</v>
      </c>
      <c r="I1729" s="3">
        <v>-4.8</v>
      </c>
      <c r="J1729" s="3">
        <v>43.12</v>
      </c>
    </row>
    <row r="1730" spans="1:10" ht="14.4" x14ac:dyDescent="0.3">
      <c r="A1730" s="3"/>
      <c r="E1730" s="3">
        <v>383.82</v>
      </c>
      <c r="F1730" s="3">
        <v>36.92</v>
      </c>
      <c r="G1730" s="3">
        <v>-33.380000000000003</v>
      </c>
      <c r="H1730" s="3">
        <v>-4.9400000000000004</v>
      </c>
      <c r="I1730" s="3">
        <v>8.6300000000000008</v>
      </c>
      <c r="J1730" s="3">
        <v>-13.26</v>
      </c>
    </row>
    <row r="1731" spans="1:10" ht="14.4" x14ac:dyDescent="0.3">
      <c r="A1731" s="3"/>
      <c r="E1731" s="3">
        <v>322.56</v>
      </c>
      <c r="F1731" s="3">
        <v>-29.82</v>
      </c>
      <c r="G1731" s="3">
        <v>11.94</v>
      </c>
      <c r="H1731" s="3">
        <v>1.0900000000000001</v>
      </c>
      <c r="I1731" s="3">
        <v>-3.42</v>
      </c>
      <c r="J1731" s="3">
        <v>19.54</v>
      </c>
    </row>
    <row r="1732" spans="1:10" ht="14.4" x14ac:dyDescent="0.3">
      <c r="A1732" s="3"/>
      <c r="E1732" s="3">
        <v>323.39</v>
      </c>
      <c r="F1732" s="3">
        <v>52.59</v>
      </c>
      <c r="G1732" s="3">
        <v>-28.11</v>
      </c>
      <c r="H1732" s="3">
        <v>-2.62</v>
      </c>
      <c r="I1732" s="3">
        <v>10.02</v>
      </c>
      <c r="J1732" s="3">
        <v>-36.840000000000003</v>
      </c>
    </row>
    <row r="1733" spans="1:10" ht="14.4" x14ac:dyDescent="0.3">
      <c r="A1733" s="3"/>
      <c r="E1733" s="3">
        <v>382.99</v>
      </c>
      <c r="F1733" s="3">
        <v>-45.5</v>
      </c>
      <c r="G1733" s="3">
        <v>6.67</v>
      </c>
      <c r="H1733" s="3">
        <v>-1.23</v>
      </c>
      <c r="I1733" s="3">
        <v>-4.8</v>
      </c>
      <c r="J1733" s="3">
        <v>43.12</v>
      </c>
    </row>
    <row r="1734" spans="1:10" ht="14.4" x14ac:dyDescent="0.3">
      <c r="A1734" s="3"/>
      <c r="E1734" s="3">
        <v>383.82</v>
      </c>
      <c r="F1734" s="3">
        <v>36.92</v>
      </c>
      <c r="G1734" s="3">
        <v>-33.380000000000003</v>
      </c>
      <c r="H1734" s="3">
        <v>-4.9400000000000004</v>
      </c>
      <c r="I1734" s="3">
        <v>8.6300000000000008</v>
      </c>
      <c r="J1734" s="3">
        <v>-13.26</v>
      </c>
    </row>
    <row r="1735" spans="1:10" ht="14.4" x14ac:dyDescent="0.3">
      <c r="A1735" s="3"/>
      <c r="E1735" s="3">
        <v>293.89999999999998</v>
      </c>
      <c r="F1735" s="3">
        <v>17.190000000000001</v>
      </c>
      <c r="G1735" s="3">
        <v>2.86</v>
      </c>
      <c r="H1735" s="3">
        <v>2.2400000000000002</v>
      </c>
      <c r="I1735" s="3">
        <v>3.1</v>
      </c>
      <c r="J1735" s="3">
        <v>-26.77</v>
      </c>
    </row>
    <row r="1736" spans="1:10" ht="14.4" x14ac:dyDescent="0.3">
      <c r="A1736" s="3"/>
      <c r="E1736" s="3">
        <v>377.08</v>
      </c>
      <c r="F1736" s="3">
        <v>-35.49</v>
      </c>
      <c r="G1736" s="3">
        <v>-11.1</v>
      </c>
      <c r="H1736" s="3">
        <v>-4.78</v>
      </c>
      <c r="I1736" s="3">
        <v>-2.1800000000000002</v>
      </c>
      <c r="J1736" s="3">
        <v>49.92</v>
      </c>
    </row>
    <row r="1737" spans="1:10" ht="14.4" x14ac:dyDescent="0.3">
      <c r="A1737" s="3"/>
      <c r="E1737" s="3">
        <v>329.3</v>
      </c>
      <c r="F1737" s="3">
        <v>42.59</v>
      </c>
      <c r="G1737" s="3">
        <v>-10.35</v>
      </c>
      <c r="H1737" s="3">
        <v>0.93</v>
      </c>
      <c r="I1737" s="3">
        <v>7.4</v>
      </c>
      <c r="J1737" s="3">
        <v>-43.65</v>
      </c>
    </row>
    <row r="1738" spans="1:10" ht="14.4" x14ac:dyDescent="0.3">
      <c r="A1738" s="3"/>
      <c r="E1738" s="3">
        <v>412.47</v>
      </c>
      <c r="F1738" s="3">
        <v>-10.1</v>
      </c>
      <c r="G1738" s="3">
        <v>-24.3</v>
      </c>
      <c r="H1738" s="3">
        <v>-6.09</v>
      </c>
      <c r="I1738" s="3">
        <v>2.12</v>
      </c>
      <c r="J1738" s="3">
        <v>33.049999999999997</v>
      </c>
    </row>
    <row r="1739" spans="1:10" ht="14.4" x14ac:dyDescent="0.3">
      <c r="A1739" s="3"/>
      <c r="E1739" s="3">
        <v>293.89999999999998</v>
      </c>
      <c r="F1739" s="3">
        <v>17.190000000000001</v>
      </c>
      <c r="G1739" s="3">
        <v>2.86</v>
      </c>
      <c r="H1739" s="3">
        <v>2.2400000000000002</v>
      </c>
      <c r="I1739" s="3">
        <v>3.1</v>
      </c>
      <c r="J1739" s="3">
        <v>-26.77</v>
      </c>
    </row>
    <row r="1740" spans="1:10" ht="14.4" x14ac:dyDescent="0.3">
      <c r="A1740" s="3"/>
      <c r="E1740" s="3">
        <v>377.08</v>
      </c>
      <c r="F1740" s="3">
        <v>-35.49</v>
      </c>
      <c r="G1740" s="3">
        <v>-11.1</v>
      </c>
      <c r="H1740" s="3">
        <v>-4.78</v>
      </c>
      <c r="I1740" s="3">
        <v>-2.1800000000000002</v>
      </c>
      <c r="J1740" s="3">
        <v>49.92</v>
      </c>
    </row>
    <row r="1741" spans="1:10" ht="14.4" x14ac:dyDescent="0.3">
      <c r="A1741" s="3"/>
      <c r="E1741" s="3">
        <v>329.3</v>
      </c>
      <c r="F1741" s="3">
        <v>42.59</v>
      </c>
      <c r="G1741" s="3">
        <v>-10.35</v>
      </c>
      <c r="H1741" s="3">
        <v>0.93</v>
      </c>
      <c r="I1741" s="3">
        <v>7.4</v>
      </c>
      <c r="J1741" s="3">
        <v>-43.65</v>
      </c>
    </row>
    <row r="1742" spans="1:10" ht="14.4" x14ac:dyDescent="0.3">
      <c r="A1742" s="3"/>
      <c r="E1742" s="3">
        <v>412.47</v>
      </c>
      <c r="F1742" s="3">
        <v>-10.1</v>
      </c>
      <c r="G1742" s="3">
        <v>-24.3</v>
      </c>
      <c r="H1742" s="3">
        <v>-6.09</v>
      </c>
      <c r="I1742" s="3">
        <v>2.12</v>
      </c>
      <c r="J1742" s="3">
        <v>33.049999999999997</v>
      </c>
    </row>
    <row r="1743" spans="1:10" ht="14.4" x14ac:dyDescent="0.3">
      <c r="A1743" s="3"/>
      <c r="E1743" s="3">
        <v>527.54</v>
      </c>
      <c r="F1743" s="3">
        <v>52.75</v>
      </c>
      <c r="G1743" s="3">
        <v>13.31</v>
      </c>
      <c r="H1743" s="3">
        <v>2.52</v>
      </c>
      <c r="I1743" s="3">
        <v>-5.8</v>
      </c>
      <c r="J1743" s="3">
        <v>44.52</v>
      </c>
    </row>
    <row r="1744" spans="1:10" ht="14.4" x14ac:dyDescent="0.3">
      <c r="A1744" s="3"/>
      <c r="E1744" s="3">
        <v>254.67</v>
      </c>
      <c r="F1744" s="3">
        <v>-26.78</v>
      </c>
      <c r="G1744" s="3">
        <v>-28.07</v>
      </c>
      <c r="H1744" s="3">
        <v>-3.06</v>
      </c>
      <c r="I1744" s="3">
        <v>9.26</v>
      </c>
      <c r="J1744" s="3">
        <v>-9.43</v>
      </c>
    </row>
    <row r="1745" spans="1:10" ht="14.4" x14ac:dyDescent="0.3">
      <c r="A1745" s="3"/>
      <c r="E1745" s="3">
        <v>451.71</v>
      </c>
      <c r="F1745" s="3">
        <v>33.880000000000003</v>
      </c>
      <c r="G1745" s="3">
        <v>6.63</v>
      </c>
      <c r="H1745" s="3">
        <v>-0.79</v>
      </c>
      <c r="I1745" s="3">
        <v>-4.05</v>
      </c>
      <c r="J1745" s="3">
        <v>15.7</v>
      </c>
    </row>
    <row r="1746" spans="1:10" ht="14.4" x14ac:dyDescent="0.3">
      <c r="A1746" s="3"/>
      <c r="E1746" s="3">
        <v>178.84</v>
      </c>
      <c r="F1746" s="3">
        <v>-45.65</v>
      </c>
      <c r="G1746" s="3">
        <v>-34.75</v>
      </c>
      <c r="H1746" s="3">
        <v>-6.37</v>
      </c>
      <c r="I1746" s="3">
        <v>11.02</v>
      </c>
      <c r="J1746" s="3">
        <v>-38.25</v>
      </c>
    </row>
    <row r="1747" spans="1:10" ht="14.4" x14ac:dyDescent="0.3">
      <c r="A1747" s="3"/>
      <c r="E1747" s="3">
        <v>559.61</v>
      </c>
      <c r="F1747" s="3">
        <v>47.07</v>
      </c>
      <c r="G1747" s="3">
        <v>5.37</v>
      </c>
      <c r="H1747" s="3">
        <v>4.1500000000000004</v>
      </c>
      <c r="I1747" s="3">
        <v>-2.3199999999999998</v>
      </c>
      <c r="J1747" s="3">
        <v>59.04</v>
      </c>
    </row>
    <row r="1748" spans="1:10" ht="14.4" x14ac:dyDescent="0.3">
      <c r="A1748" s="3"/>
      <c r="E1748" s="3">
        <v>194.57</v>
      </c>
      <c r="F1748" s="3">
        <v>-16.13</v>
      </c>
      <c r="G1748" s="3">
        <v>-13.21</v>
      </c>
      <c r="H1748" s="3">
        <v>-6.13</v>
      </c>
      <c r="I1748" s="3">
        <v>2.74</v>
      </c>
      <c r="J1748" s="3">
        <v>-36.630000000000003</v>
      </c>
    </row>
    <row r="1749" spans="1:10" ht="14.4" x14ac:dyDescent="0.3">
      <c r="A1749" s="3"/>
      <c r="E1749" s="3">
        <v>511.8</v>
      </c>
      <c r="F1749" s="3">
        <v>23.23</v>
      </c>
      <c r="G1749" s="3">
        <v>-8.24</v>
      </c>
      <c r="H1749" s="3">
        <v>2.27</v>
      </c>
      <c r="I1749" s="3">
        <v>2.48</v>
      </c>
      <c r="J1749" s="3">
        <v>42.91</v>
      </c>
    </row>
    <row r="1750" spans="1:10" ht="14.4" x14ac:dyDescent="0.3">
      <c r="A1750" s="3"/>
      <c r="E1750" s="3">
        <v>146.76</v>
      </c>
      <c r="F1750" s="3">
        <v>-39.97</v>
      </c>
      <c r="G1750" s="3">
        <v>-26.82</v>
      </c>
      <c r="H1750" s="3">
        <v>-8.01</v>
      </c>
      <c r="I1750" s="3">
        <v>7.54</v>
      </c>
      <c r="J1750" s="3">
        <v>-52.77</v>
      </c>
    </row>
    <row r="1751" spans="1:10" ht="14.4" x14ac:dyDescent="0.3">
      <c r="A1751" s="3"/>
      <c r="E1751" s="3">
        <v>241.64</v>
      </c>
      <c r="F1751" s="3">
        <v>-30.6</v>
      </c>
      <c r="G1751" s="3">
        <v>14.31</v>
      </c>
      <c r="H1751" s="3">
        <v>1.51</v>
      </c>
      <c r="I1751" s="3">
        <v>-3.92</v>
      </c>
      <c r="J1751" s="3">
        <v>18.93</v>
      </c>
    </row>
    <row r="1752" spans="1:10" ht="14.4" x14ac:dyDescent="0.3">
      <c r="A1752" s="3"/>
      <c r="E1752" s="3">
        <v>230.91</v>
      </c>
      <c r="F1752" s="3">
        <v>51.7</v>
      </c>
      <c r="G1752" s="3">
        <v>-25.41</v>
      </c>
      <c r="H1752" s="3">
        <v>-2.14</v>
      </c>
      <c r="I1752" s="3">
        <v>9.4499999999999993</v>
      </c>
      <c r="J1752" s="3">
        <v>-37.54</v>
      </c>
    </row>
    <row r="1753" spans="1:10" ht="14.4" x14ac:dyDescent="0.3">
      <c r="A1753" s="3"/>
      <c r="E1753" s="3">
        <v>302.07</v>
      </c>
      <c r="F1753" s="3">
        <v>-46.28</v>
      </c>
      <c r="G1753" s="3">
        <v>9.0399999999999991</v>
      </c>
      <c r="H1753" s="3">
        <v>-0.81</v>
      </c>
      <c r="I1753" s="3">
        <v>-5.31</v>
      </c>
      <c r="J1753" s="3">
        <v>42.51</v>
      </c>
    </row>
    <row r="1754" spans="1:10" ht="14.4" x14ac:dyDescent="0.3">
      <c r="A1754" s="3"/>
      <c r="E1754" s="3">
        <v>291.33999999999997</v>
      </c>
      <c r="F1754" s="3">
        <v>36.020000000000003</v>
      </c>
      <c r="G1754" s="3">
        <v>-30.68</v>
      </c>
      <c r="H1754" s="3">
        <v>-4.46</v>
      </c>
      <c r="I1754" s="3">
        <v>8.06</v>
      </c>
      <c r="J1754" s="3">
        <v>-13.96</v>
      </c>
    </row>
    <row r="1755" spans="1:10" ht="14.4" x14ac:dyDescent="0.3">
      <c r="A1755" s="3"/>
      <c r="E1755" s="3">
        <v>241.64</v>
      </c>
      <c r="F1755" s="3">
        <v>-30.6</v>
      </c>
      <c r="G1755" s="3">
        <v>14.31</v>
      </c>
      <c r="H1755" s="3">
        <v>1.51</v>
      </c>
      <c r="I1755" s="3">
        <v>-3.92</v>
      </c>
      <c r="J1755" s="3">
        <v>18.93</v>
      </c>
    </row>
    <row r="1756" spans="1:10" ht="14.4" x14ac:dyDescent="0.3">
      <c r="A1756" s="3"/>
      <c r="E1756" s="3">
        <v>230.91</v>
      </c>
      <c r="F1756" s="3">
        <v>51.7</v>
      </c>
      <c r="G1756" s="3">
        <v>-25.41</v>
      </c>
      <c r="H1756" s="3">
        <v>-2.14</v>
      </c>
      <c r="I1756" s="3">
        <v>9.4499999999999993</v>
      </c>
      <c r="J1756" s="3">
        <v>-37.54</v>
      </c>
    </row>
    <row r="1757" spans="1:10" ht="14.4" x14ac:dyDescent="0.3">
      <c r="A1757" s="3"/>
      <c r="E1757" s="3">
        <v>302.07</v>
      </c>
      <c r="F1757" s="3">
        <v>-46.28</v>
      </c>
      <c r="G1757" s="3">
        <v>9.0399999999999991</v>
      </c>
      <c r="H1757" s="3">
        <v>-0.81</v>
      </c>
      <c r="I1757" s="3">
        <v>-5.31</v>
      </c>
      <c r="J1757" s="3">
        <v>42.51</v>
      </c>
    </row>
    <row r="1758" spans="1:10" ht="14.4" x14ac:dyDescent="0.3">
      <c r="A1758" s="3"/>
      <c r="E1758" s="3">
        <v>291.33999999999997</v>
      </c>
      <c r="F1758" s="3">
        <v>36.020000000000003</v>
      </c>
      <c r="G1758" s="3">
        <v>-30.68</v>
      </c>
      <c r="H1758" s="3">
        <v>-4.46</v>
      </c>
      <c r="I1758" s="3">
        <v>8.06</v>
      </c>
      <c r="J1758" s="3">
        <v>-13.96</v>
      </c>
    </row>
    <row r="1759" spans="1:10" ht="14.4" x14ac:dyDescent="0.3">
      <c r="A1759" s="3"/>
      <c r="E1759" s="3">
        <v>212.98</v>
      </c>
      <c r="F1759" s="3">
        <v>16.41</v>
      </c>
      <c r="G1759" s="3">
        <v>5.22</v>
      </c>
      <c r="H1759" s="3">
        <v>2.66</v>
      </c>
      <c r="I1759" s="3">
        <v>2.6</v>
      </c>
      <c r="J1759" s="3">
        <v>-27.38</v>
      </c>
    </row>
    <row r="1760" spans="1:10" ht="14.4" x14ac:dyDescent="0.3">
      <c r="A1760" s="3"/>
      <c r="E1760" s="3">
        <v>284.60000000000002</v>
      </c>
      <c r="F1760" s="3">
        <v>-36.380000000000003</v>
      </c>
      <c r="G1760" s="3">
        <v>-8.39</v>
      </c>
      <c r="H1760" s="3">
        <v>-4.3</v>
      </c>
      <c r="I1760" s="3">
        <v>-2.76</v>
      </c>
      <c r="J1760" s="3">
        <v>49.23</v>
      </c>
    </row>
    <row r="1761" spans="1:10" ht="14.4" x14ac:dyDescent="0.3">
      <c r="A1761" s="3"/>
      <c r="E1761" s="3">
        <v>248.38</v>
      </c>
      <c r="F1761" s="3">
        <v>41.81</v>
      </c>
      <c r="G1761" s="3">
        <v>-7.98</v>
      </c>
      <c r="H1761" s="3">
        <v>1.35</v>
      </c>
      <c r="I1761" s="3">
        <v>6.9</v>
      </c>
      <c r="J1761" s="3">
        <v>-44.26</v>
      </c>
    </row>
    <row r="1762" spans="1:10" ht="14.4" x14ac:dyDescent="0.3">
      <c r="A1762" s="3"/>
      <c r="E1762" s="3">
        <v>319.99</v>
      </c>
      <c r="F1762" s="3">
        <v>-10.99</v>
      </c>
      <c r="G1762" s="3">
        <v>-21.6</v>
      </c>
      <c r="H1762" s="3">
        <v>-5.61</v>
      </c>
      <c r="I1762" s="3">
        <v>1.54</v>
      </c>
      <c r="J1762" s="3">
        <v>32.35</v>
      </c>
    </row>
    <row r="1763" spans="1:10" ht="14.4" x14ac:dyDescent="0.3">
      <c r="A1763" s="3"/>
      <c r="E1763" s="3">
        <v>212.98</v>
      </c>
      <c r="F1763" s="3">
        <v>16.41</v>
      </c>
      <c r="G1763" s="3">
        <v>5.22</v>
      </c>
      <c r="H1763" s="3">
        <v>2.66</v>
      </c>
      <c r="I1763" s="3">
        <v>2.6</v>
      </c>
      <c r="J1763" s="3">
        <v>-27.38</v>
      </c>
    </row>
    <row r="1764" spans="1:10" ht="14.4" x14ac:dyDescent="0.3">
      <c r="A1764" s="3"/>
      <c r="E1764" s="3">
        <v>284.60000000000002</v>
      </c>
      <c r="F1764" s="3">
        <v>-36.380000000000003</v>
      </c>
      <c r="G1764" s="3">
        <v>-8.39</v>
      </c>
      <c r="H1764" s="3">
        <v>-4.3</v>
      </c>
      <c r="I1764" s="3">
        <v>-2.76</v>
      </c>
      <c r="J1764" s="3">
        <v>49.23</v>
      </c>
    </row>
    <row r="1765" spans="1:10" ht="14.4" x14ac:dyDescent="0.3">
      <c r="A1765" s="3"/>
      <c r="E1765" s="3">
        <v>248.38</v>
      </c>
      <c r="F1765" s="3">
        <v>41.81</v>
      </c>
      <c r="G1765" s="3">
        <v>-7.98</v>
      </c>
      <c r="H1765" s="3">
        <v>1.35</v>
      </c>
      <c r="I1765" s="3">
        <v>6.9</v>
      </c>
      <c r="J1765" s="3">
        <v>-44.26</v>
      </c>
    </row>
    <row r="1766" spans="1:10" ht="14.4" x14ac:dyDescent="0.3">
      <c r="A1766" s="3"/>
      <c r="E1766" s="3">
        <v>319.99</v>
      </c>
      <c r="F1766" s="3">
        <v>-10.99</v>
      </c>
      <c r="G1766" s="3">
        <v>-21.6</v>
      </c>
      <c r="H1766" s="3">
        <v>-5.61</v>
      </c>
      <c r="I1766" s="3">
        <v>1.54</v>
      </c>
      <c r="J1766" s="3">
        <v>32.35</v>
      </c>
    </row>
    <row r="1767" spans="1:10" ht="14.4" x14ac:dyDescent="0.3">
      <c r="A1767" s="3"/>
      <c r="E1767" s="3">
        <v>446.62</v>
      </c>
      <c r="F1767" s="3">
        <v>51.97</v>
      </c>
      <c r="G1767" s="3">
        <v>15.67</v>
      </c>
      <c r="H1767" s="3">
        <v>2.94</v>
      </c>
      <c r="I1767" s="3">
        <v>-6.31</v>
      </c>
      <c r="J1767" s="3">
        <v>43.91</v>
      </c>
    </row>
    <row r="1768" spans="1:10" ht="14.4" x14ac:dyDescent="0.3">
      <c r="A1768" s="3"/>
      <c r="E1768" s="3">
        <v>162.19</v>
      </c>
      <c r="F1768" s="3">
        <v>-27.67</v>
      </c>
      <c r="G1768" s="3">
        <v>-25.37</v>
      </c>
      <c r="H1768" s="3">
        <v>-2.58</v>
      </c>
      <c r="I1768" s="3">
        <v>8.69</v>
      </c>
      <c r="J1768" s="3">
        <v>-10.119999999999999</v>
      </c>
    </row>
    <row r="1769" spans="1:10" ht="14.4" x14ac:dyDescent="0.3">
      <c r="A1769" s="3"/>
      <c r="E1769" s="3">
        <v>370.79</v>
      </c>
      <c r="F1769" s="3">
        <v>33.1</v>
      </c>
      <c r="G1769" s="3">
        <v>9</v>
      </c>
      <c r="H1769" s="3">
        <v>-0.37</v>
      </c>
      <c r="I1769" s="3">
        <v>-4.55</v>
      </c>
      <c r="J1769" s="3">
        <v>15.09</v>
      </c>
    </row>
    <row r="1770" spans="1:10" ht="14.4" x14ac:dyDescent="0.3">
      <c r="A1770" s="3"/>
      <c r="E1770" s="3">
        <v>86.36</v>
      </c>
      <c r="F1770" s="3">
        <v>-46.55</v>
      </c>
      <c r="G1770" s="3">
        <v>-32.049999999999997</v>
      </c>
      <c r="H1770" s="3">
        <v>-5.89</v>
      </c>
      <c r="I1770" s="3">
        <v>10.45</v>
      </c>
      <c r="J1770" s="3">
        <v>-38.94</v>
      </c>
    </row>
    <row r="1771" spans="1:10" ht="14.4" x14ac:dyDescent="0.3">
      <c r="A1771" s="3"/>
      <c r="E1771" s="3">
        <v>478.69</v>
      </c>
      <c r="F1771" s="3">
        <v>46.28</v>
      </c>
      <c r="G1771" s="3">
        <v>7.74</v>
      </c>
      <c r="H1771" s="3">
        <v>4.58</v>
      </c>
      <c r="I1771" s="3">
        <v>-2.82</v>
      </c>
      <c r="J1771" s="3">
        <v>58.43</v>
      </c>
    </row>
    <row r="1772" spans="1:10" ht="14.4" x14ac:dyDescent="0.3">
      <c r="A1772" s="3"/>
      <c r="E1772" s="3">
        <v>102.09</v>
      </c>
      <c r="F1772" s="3">
        <v>-17.02</v>
      </c>
      <c r="G1772" s="3">
        <v>-10.5</v>
      </c>
      <c r="H1772" s="3">
        <v>-5.64</v>
      </c>
      <c r="I1772" s="3">
        <v>2.17</v>
      </c>
      <c r="J1772" s="3">
        <v>-37.33</v>
      </c>
    </row>
    <row r="1773" spans="1:10" ht="14.4" x14ac:dyDescent="0.3">
      <c r="A1773" s="3"/>
      <c r="E1773" s="3">
        <v>430.88</v>
      </c>
      <c r="F1773" s="3">
        <v>22.45</v>
      </c>
      <c r="G1773" s="3">
        <v>-5.87</v>
      </c>
      <c r="H1773" s="3">
        <v>2.7</v>
      </c>
      <c r="I1773" s="3">
        <v>1.98</v>
      </c>
      <c r="J1773" s="3">
        <v>42.3</v>
      </c>
    </row>
    <row r="1774" spans="1:10" ht="14.4" x14ac:dyDescent="0.3">
      <c r="A1774" s="3"/>
      <c r="E1774" s="3">
        <v>303.72000000000003</v>
      </c>
      <c r="F1774" s="3">
        <v>21.22</v>
      </c>
      <c r="G1774" s="3">
        <v>-2.15</v>
      </c>
      <c r="H1774" s="3">
        <v>3.36</v>
      </c>
      <c r="I1774" s="3">
        <v>1.19</v>
      </c>
      <c r="J1774" s="3">
        <v>41.34</v>
      </c>
    </row>
    <row r="1775" spans="1:10" ht="14.4" x14ac:dyDescent="0.3">
      <c r="A1775" s="3"/>
      <c r="E1775" s="3">
        <v>222.79</v>
      </c>
      <c r="F1775" s="3">
        <v>-90</v>
      </c>
      <c r="G1775" s="3">
        <v>37.93</v>
      </c>
      <c r="H1775" s="3">
        <v>2.9</v>
      </c>
      <c r="I1775" s="3">
        <v>-13.24</v>
      </c>
      <c r="J1775" s="3">
        <v>65.31</v>
      </c>
    </row>
    <row r="1776" spans="1:10" ht="14.4" x14ac:dyDescent="0.3">
      <c r="A1776" s="3"/>
      <c r="E1776" s="3">
        <v>483.59</v>
      </c>
      <c r="F1776" s="3">
        <v>97.1</v>
      </c>
      <c r="G1776" s="3">
        <v>-59.37</v>
      </c>
      <c r="H1776" s="3">
        <v>-6.75</v>
      </c>
      <c r="I1776" s="3">
        <v>18.46</v>
      </c>
      <c r="J1776" s="3">
        <v>-59.03</v>
      </c>
    </row>
    <row r="1777" spans="1:10" ht="14.4" x14ac:dyDescent="0.3">
      <c r="A1777" s="3"/>
      <c r="E1777" s="3">
        <v>130.56</v>
      </c>
      <c r="F1777" s="3">
        <v>61.3</v>
      </c>
      <c r="G1777" s="3">
        <v>8.69</v>
      </c>
      <c r="H1777" s="3">
        <v>6.62</v>
      </c>
      <c r="I1777" s="3">
        <v>7.72</v>
      </c>
      <c r="J1777" s="3">
        <v>-83.74</v>
      </c>
    </row>
    <row r="1778" spans="1:10" ht="14.4" x14ac:dyDescent="0.3">
      <c r="A1778" s="3"/>
      <c r="E1778" s="3">
        <v>575.80999999999995</v>
      </c>
      <c r="F1778" s="3">
        <v>-54.21</v>
      </c>
      <c r="G1778" s="3">
        <v>-30.14</v>
      </c>
      <c r="H1778" s="3">
        <v>-10.47</v>
      </c>
      <c r="I1778" s="3">
        <v>-2.5099999999999998</v>
      </c>
      <c r="J1778" s="3">
        <v>90.01</v>
      </c>
    </row>
    <row r="1779" spans="1:10" ht="14.4" x14ac:dyDescent="0.3">
      <c r="A1779" s="3"/>
      <c r="E1779" s="3">
        <v>222.79</v>
      </c>
      <c r="F1779" s="3">
        <v>-90</v>
      </c>
      <c r="G1779" s="3">
        <v>37.93</v>
      </c>
      <c r="H1779" s="3">
        <v>2.9</v>
      </c>
      <c r="I1779" s="3">
        <v>-13.24</v>
      </c>
      <c r="J1779" s="3">
        <v>65.31</v>
      </c>
    </row>
    <row r="1780" spans="1:10" ht="14.4" x14ac:dyDescent="0.3">
      <c r="A1780" s="3"/>
      <c r="E1780" s="3">
        <v>483.59</v>
      </c>
      <c r="F1780" s="3">
        <v>97.1</v>
      </c>
      <c r="G1780" s="3">
        <v>-59.37</v>
      </c>
      <c r="H1780" s="3">
        <v>-6.75</v>
      </c>
      <c r="I1780" s="3">
        <v>18.46</v>
      </c>
      <c r="J1780" s="3">
        <v>-59.03</v>
      </c>
    </row>
    <row r="1781" spans="1:10" ht="14.4" x14ac:dyDescent="0.3">
      <c r="A1781" s="3"/>
      <c r="E1781" s="3">
        <v>130.56</v>
      </c>
      <c r="F1781" s="3">
        <v>61.3</v>
      </c>
      <c r="G1781" s="3">
        <v>8.69</v>
      </c>
      <c r="H1781" s="3">
        <v>6.62</v>
      </c>
      <c r="I1781" s="3">
        <v>7.72</v>
      </c>
      <c r="J1781" s="3">
        <v>-83.74</v>
      </c>
    </row>
    <row r="1782" spans="1:10" ht="14.4" x14ac:dyDescent="0.3">
      <c r="A1782" s="3"/>
      <c r="E1782" s="3">
        <v>575.80999999999995</v>
      </c>
      <c r="F1782" s="3">
        <v>-54.21</v>
      </c>
      <c r="G1782" s="3">
        <v>-30.14</v>
      </c>
      <c r="H1782" s="3">
        <v>-10.47</v>
      </c>
      <c r="I1782" s="3">
        <v>-2.5099999999999998</v>
      </c>
      <c r="J1782" s="3">
        <v>90.01</v>
      </c>
    </row>
    <row r="1783" spans="1:10" ht="14.4" x14ac:dyDescent="0.3">
      <c r="A1783" s="3"/>
      <c r="E1783" s="3">
        <v>129.69999999999999</v>
      </c>
      <c r="F1783" s="3">
        <v>-91.04</v>
      </c>
      <c r="G1783" s="3">
        <v>41.04</v>
      </c>
      <c r="H1783" s="3">
        <v>3.47</v>
      </c>
      <c r="I1783" s="3">
        <v>-14.24</v>
      </c>
      <c r="J1783" s="3">
        <v>64.13</v>
      </c>
    </row>
    <row r="1784" spans="1:10" ht="14.4" x14ac:dyDescent="0.3">
      <c r="A1784" s="3"/>
      <c r="E1784" s="3">
        <v>390.5</v>
      </c>
      <c r="F1784" s="3">
        <v>96.06</v>
      </c>
      <c r="G1784" s="3">
        <v>-56.26</v>
      </c>
      <c r="H1784" s="3">
        <v>-6.19</v>
      </c>
      <c r="I1784" s="3">
        <v>17.46</v>
      </c>
      <c r="J1784" s="3">
        <v>-60.21</v>
      </c>
    </row>
    <row r="1785" spans="1:10" ht="14.4" x14ac:dyDescent="0.3">
      <c r="A1785" s="3"/>
      <c r="E1785" s="3">
        <v>37.47</v>
      </c>
      <c r="F1785" s="3">
        <v>60.26</v>
      </c>
      <c r="G1785" s="3">
        <v>11.81</v>
      </c>
      <c r="H1785" s="3">
        <v>7.19</v>
      </c>
      <c r="I1785" s="3">
        <v>6.73</v>
      </c>
      <c r="J1785" s="3">
        <v>-84.92</v>
      </c>
    </row>
    <row r="1786" spans="1:10" ht="14.4" x14ac:dyDescent="0.3">
      <c r="A1786" s="3"/>
      <c r="E1786" s="3">
        <v>482.73</v>
      </c>
      <c r="F1786" s="3">
        <v>-55.24</v>
      </c>
      <c r="G1786" s="3">
        <v>-27.02</v>
      </c>
      <c r="H1786" s="3">
        <v>-9.9</v>
      </c>
      <c r="I1786" s="3">
        <v>-3.5</v>
      </c>
      <c r="J1786" s="3">
        <v>88.83</v>
      </c>
    </row>
    <row r="1787" spans="1:10" ht="14.4" x14ac:dyDescent="0.3">
      <c r="A1787" s="3"/>
      <c r="E1787" s="3">
        <v>129.69999999999999</v>
      </c>
      <c r="F1787" s="3">
        <v>-91.04</v>
      </c>
      <c r="G1787" s="3">
        <v>41.04</v>
      </c>
      <c r="H1787" s="3">
        <v>3.47</v>
      </c>
      <c r="I1787" s="3">
        <v>-14.24</v>
      </c>
      <c r="J1787" s="3">
        <v>64.13</v>
      </c>
    </row>
    <row r="1788" spans="1:10" ht="14.4" x14ac:dyDescent="0.3">
      <c r="A1788" s="3"/>
      <c r="E1788" s="3">
        <v>390.5</v>
      </c>
      <c r="F1788" s="3">
        <v>96.06</v>
      </c>
      <c r="G1788" s="3">
        <v>-56.26</v>
      </c>
      <c r="H1788" s="3">
        <v>-6.19</v>
      </c>
      <c r="I1788" s="3">
        <v>17.46</v>
      </c>
      <c r="J1788" s="3">
        <v>-60.21</v>
      </c>
    </row>
    <row r="1789" spans="1:10" ht="14.4" x14ac:dyDescent="0.3">
      <c r="A1789" s="3"/>
      <c r="E1789" s="3">
        <v>37.47</v>
      </c>
      <c r="F1789" s="3">
        <v>60.26</v>
      </c>
      <c r="G1789" s="3">
        <v>11.81</v>
      </c>
      <c r="H1789" s="3">
        <v>7.19</v>
      </c>
      <c r="I1789" s="3">
        <v>6.73</v>
      </c>
      <c r="J1789" s="3">
        <v>-84.92</v>
      </c>
    </row>
    <row r="1790" spans="1:10" ht="14.4" x14ac:dyDescent="0.3">
      <c r="A1790" s="3"/>
      <c r="E1790" s="3">
        <v>482.73</v>
      </c>
      <c r="F1790" s="3">
        <v>-55.24</v>
      </c>
      <c r="G1790" s="3">
        <v>-27.02</v>
      </c>
      <c r="H1790" s="3">
        <v>-9.9</v>
      </c>
      <c r="I1790" s="3">
        <v>-3.5</v>
      </c>
      <c r="J1790" s="3">
        <v>88.83</v>
      </c>
    </row>
    <row r="1791" spans="1:10" ht="14.4" x14ac:dyDescent="0.3">
      <c r="A1791" s="3"/>
      <c r="E1791" s="3">
        <v>285.39</v>
      </c>
      <c r="F1791" s="3">
        <v>-40.85</v>
      </c>
      <c r="G1791" s="3">
        <v>-77.489999999999995</v>
      </c>
      <c r="H1791" s="3">
        <v>1</v>
      </c>
      <c r="I1791" s="3">
        <v>132.55000000000001</v>
      </c>
      <c r="J1791" s="3">
        <v>-46.86</v>
      </c>
    </row>
    <row r="1792" spans="1:10" ht="14.4" x14ac:dyDescent="0.3">
      <c r="A1792" s="3"/>
      <c r="E1792" s="3">
        <v>254.13</v>
      </c>
      <c r="F1792" s="3">
        <v>-42.34</v>
      </c>
      <c r="G1792" s="3">
        <v>-77.03</v>
      </c>
      <c r="H1792" s="3">
        <v>1.0900000000000001</v>
      </c>
      <c r="I1792" s="3">
        <v>121.45</v>
      </c>
      <c r="J1792" s="3">
        <v>-46.55</v>
      </c>
    </row>
    <row r="1793" spans="1:10" ht="14.4" x14ac:dyDescent="0.3">
      <c r="A1793" s="3"/>
      <c r="E1793" s="3">
        <v>296.45</v>
      </c>
      <c r="F1793" s="3">
        <v>-51.37</v>
      </c>
      <c r="G1793" s="3">
        <v>-90.14</v>
      </c>
      <c r="H1793" s="3">
        <v>1.25</v>
      </c>
      <c r="I1793" s="3">
        <v>141.22999999999999</v>
      </c>
      <c r="J1793" s="3">
        <v>-57.75</v>
      </c>
    </row>
    <row r="1794" spans="1:10" ht="14.4" x14ac:dyDescent="0.3">
      <c r="A1794" s="3"/>
      <c r="E1794" s="3">
        <v>251.4</v>
      </c>
      <c r="F1794" s="3">
        <v>-39.74</v>
      </c>
      <c r="G1794" s="3">
        <v>-73.23</v>
      </c>
      <c r="H1794" s="3">
        <v>1.01</v>
      </c>
      <c r="I1794" s="3">
        <v>119.2</v>
      </c>
      <c r="J1794" s="3">
        <v>-44.45</v>
      </c>
    </row>
    <row r="1795" spans="1:10" ht="14.4" x14ac:dyDescent="0.3">
      <c r="A1795" s="3"/>
      <c r="E1795" s="3">
        <v>386.82</v>
      </c>
      <c r="F1795" s="3">
        <v>-68.61</v>
      </c>
      <c r="G1795" s="3">
        <v>-115.19</v>
      </c>
      <c r="H1795" s="3">
        <v>1.54</v>
      </c>
      <c r="I1795" s="3">
        <v>182.51</v>
      </c>
      <c r="J1795" s="3">
        <v>-80.27</v>
      </c>
    </row>
    <row r="1796" spans="1:10" ht="14.4" x14ac:dyDescent="0.3">
      <c r="A1796" s="3"/>
      <c r="E1796" s="3">
        <v>244.6</v>
      </c>
      <c r="F1796" s="3">
        <v>-33.67</v>
      </c>
      <c r="G1796" s="3">
        <v>-67.64</v>
      </c>
      <c r="H1796" s="3">
        <v>0.98</v>
      </c>
      <c r="I1796" s="3">
        <v>114.28</v>
      </c>
      <c r="J1796" s="3">
        <v>-37.700000000000003</v>
      </c>
    </row>
    <row r="1797" spans="1:10" ht="14.4" x14ac:dyDescent="0.3">
      <c r="A1797" s="3"/>
      <c r="E1797" s="3">
        <v>249.18</v>
      </c>
      <c r="F1797" s="3">
        <v>-31.6</v>
      </c>
      <c r="G1797" s="3">
        <v>-67.900000000000006</v>
      </c>
      <c r="H1797" s="3">
        <v>0.99</v>
      </c>
      <c r="I1797" s="3">
        <v>115.29</v>
      </c>
      <c r="J1797" s="3">
        <v>-34.18</v>
      </c>
    </row>
    <row r="1798" spans="1:10" ht="14.4" x14ac:dyDescent="0.3">
      <c r="A1798" s="3"/>
      <c r="E1798" s="3">
        <v>250.03</v>
      </c>
      <c r="F1798" s="3">
        <v>-35.159999999999997</v>
      </c>
      <c r="G1798" s="3">
        <v>-67.260000000000005</v>
      </c>
      <c r="H1798" s="3">
        <v>0.84</v>
      </c>
      <c r="I1798" s="3">
        <v>115.5</v>
      </c>
      <c r="J1798" s="3">
        <v>-40.36</v>
      </c>
    </row>
    <row r="1799" spans="1:10" ht="14.4" x14ac:dyDescent="0.3">
      <c r="A1799" s="3"/>
      <c r="E1799" s="3">
        <v>247.84</v>
      </c>
      <c r="F1799" s="3">
        <v>-36.590000000000003</v>
      </c>
      <c r="G1799" s="3">
        <v>-66.900000000000006</v>
      </c>
      <c r="H1799" s="3">
        <v>0.82</v>
      </c>
      <c r="I1799" s="3">
        <v>114.82</v>
      </c>
      <c r="J1799" s="3">
        <v>-42.85</v>
      </c>
    </row>
    <row r="1800" spans="1:10" ht="14.4" x14ac:dyDescent="0.3">
      <c r="A1800" s="3"/>
      <c r="E1800" s="3">
        <v>250.12</v>
      </c>
      <c r="F1800" s="3">
        <v>-35.96</v>
      </c>
      <c r="G1800" s="3">
        <v>-67.3</v>
      </c>
      <c r="H1800" s="3">
        <v>0.87</v>
      </c>
      <c r="I1800" s="3">
        <v>115.73</v>
      </c>
      <c r="J1800" s="3">
        <v>-41.65</v>
      </c>
    </row>
    <row r="1801" spans="1:10" ht="14.4" x14ac:dyDescent="0.3">
      <c r="A1801" s="3"/>
      <c r="E1801" s="3">
        <v>248.3</v>
      </c>
      <c r="F1801" s="3">
        <v>-38.549999999999997</v>
      </c>
      <c r="G1801" s="3">
        <v>-67.44</v>
      </c>
      <c r="H1801" s="3">
        <v>0.81</v>
      </c>
      <c r="I1801" s="3">
        <v>115.84</v>
      </c>
      <c r="J1801" s="3">
        <v>-46.24</v>
      </c>
    </row>
    <row r="1802" spans="1:10" ht="14.4" x14ac:dyDescent="0.3">
      <c r="A1802" s="3"/>
      <c r="E1802" s="3">
        <v>244.69</v>
      </c>
      <c r="F1802" s="3">
        <v>-38.67</v>
      </c>
      <c r="G1802" s="3">
        <v>-67.13</v>
      </c>
      <c r="H1802" s="3">
        <v>0.84</v>
      </c>
      <c r="I1802" s="3">
        <v>114.57</v>
      </c>
      <c r="J1802" s="3">
        <v>-46.26</v>
      </c>
    </row>
    <row r="1803" spans="1:10" ht="14.4" x14ac:dyDescent="0.3">
      <c r="A1803" s="3"/>
      <c r="E1803" s="3">
        <v>248.08</v>
      </c>
      <c r="F1803" s="3">
        <v>-40.83</v>
      </c>
      <c r="G1803" s="3">
        <v>-66.84</v>
      </c>
      <c r="H1803" s="3">
        <v>0.73</v>
      </c>
      <c r="I1803" s="3">
        <v>115.49</v>
      </c>
      <c r="J1803" s="3">
        <v>-50.21</v>
      </c>
    </row>
    <row r="1804" spans="1:10" ht="14.4" x14ac:dyDescent="0.3">
      <c r="A1804" s="3"/>
      <c r="E1804" s="3">
        <v>250.6</v>
      </c>
      <c r="F1804" s="3">
        <v>-38.78</v>
      </c>
      <c r="G1804" s="3">
        <v>-66.58</v>
      </c>
      <c r="H1804" s="3">
        <v>0.75</v>
      </c>
      <c r="I1804" s="3">
        <v>115.41</v>
      </c>
      <c r="J1804" s="3">
        <v>-46.52</v>
      </c>
    </row>
    <row r="1805" spans="1:10" ht="14.4" x14ac:dyDescent="0.3">
      <c r="A1805" s="3"/>
      <c r="E1805" s="3">
        <v>246.03</v>
      </c>
      <c r="F1805" s="3">
        <v>-40.85</v>
      </c>
      <c r="G1805" s="3">
        <v>-66.319999999999993</v>
      </c>
      <c r="H1805" s="3">
        <v>0.74</v>
      </c>
      <c r="I1805" s="3">
        <v>114.4</v>
      </c>
      <c r="J1805" s="3">
        <v>-50.04</v>
      </c>
    </row>
    <row r="1806" spans="1:10" ht="14.4" x14ac:dyDescent="0.3">
      <c r="A1806" s="3"/>
      <c r="E1806" s="3">
        <v>245.17</v>
      </c>
      <c r="F1806" s="3">
        <v>-37.29</v>
      </c>
      <c r="G1806" s="3">
        <v>-66.959999999999994</v>
      </c>
      <c r="H1806" s="3">
        <v>0.9</v>
      </c>
      <c r="I1806" s="3">
        <v>114.18</v>
      </c>
      <c r="J1806" s="3">
        <v>-43.86</v>
      </c>
    </row>
    <row r="1807" spans="1:10" ht="14.4" x14ac:dyDescent="0.3">
      <c r="A1807" s="3"/>
      <c r="E1807" s="3">
        <v>247.37</v>
      </c>
      <c r="F1807" s="3">
        <v>-35.86</v>
      </c>
      <c r="G1807" s="3">
        <v>-67.319999999999993</v>
      </c>
      <c r="H1807" s="3">
        <v>0.92</v>
      </c>
      <c r="I1807" s="3">
        <v>114.86</v>
      </c>
      <c r="J1807" s="3">
        <v>-41.37</v>
      </c>
    </row>
    <row r="1808" spans="1:10" ht="14.4" x14ac:dyDescent="0.3">
      <c r="A1808" s="3"/>
      <c r="E1808" s="3">
        <v>245.09</v>
      </c>
      <c r="F1808" s="3">
        <v>-36.49</v>
      </c>
      <c r="G1808" s="3">
        <v>-66.92</v>
      </c>
      <c r="H1808" s="3">
        <v>0.87</v>
      </c>
      <c r="I1808" s="3">
        <v>113.95</v>
      </c>
      <c r="J1808" s="3">
        <v>-42.57</v>
      </c>
    </row>
    <row r="1809" spans="1:10" ht="14.4" x14ac:dyDescent="0.3">
      <c r="A1809" s="3"/>
      <c r="E1809" s="3">
        <v>246.91</v>
      </c>
      <c r="F1809" s="3">
        <v>-33.909999999999997</v>
      </c>
      <c r="G1809" s="3">
        <v>-66.78</v>
      </c>
      <c r="H1809" s="3">
        <v>0.92</v>
      </c>
      <c r="I1809" s="3">
        <v>113.84</v>
      </c>
      <c r="J1809" s="3">
        <v>-37.979999999999997</v>
      </c>
    </row>
    <row r="1810" spans="1:10" ht="14.4" x14ac:dyDescent="0.3">
      <c r="A1810" s="3"/>
      <c r="E1810" s="3">
        <v>250.52</v>
      </c>
      <c r="F1810" s="3">
        <v>-33.79</v>
      </c>
      <c r="G1810" s="3">
        <v>-67.09</v>
      </c>
      <c r="H1810" s="3">
        <v>0.89</v>
      </c>
      <c r="I1810" s="3">
        <v>115.12</v>
      </c>
      <c r="J1810" s="3">
        <v>-37.96</v>
      </c>
    </row>
    <row r="1811" spans="1:10" ht="14.4" x14ac:dyDescent="0.3">
      <c r="A1811" s="3"/>
      <c r="E1811" s="3">
        <v>247.13</v>
      </c>
      <c r="F1811" s="3">
        <v>-31.63</v>
      </c>
      <c r="G1811" s="3">
        <v>-67.38</v>
      </c>
      <c r="H1811" s="3">
        <v>1</v>
      </c>
      <c r="I1811" s="3">
        <v>114.19</v>
      </c>
      <c r="J1811" s="3">
        <v>-34</v>
      </c>
    </row>
    <row r="1812" spans="1:10" ht="14.4" x14ac:dyDescent="0.3">
      <c r="A1812" s="3"/>
      <c r="E1812" s="3">
        <v>380.02</v>
      </c>
      <c r="F1812" s="3">
        <v>-62.55</v>
      </c>
      <c r="G1812" s="3">
        <v>-109.61</v>
      </c>
      <c r="H1812" s="3">
        <v>1.51</v>
      </c>
      <c r="I1812" s="3">
        <v>177.59</v>
      </c>
      <c r="J1812" s="3">
        <v>-73.53</v>
      </c>
    </row>
    <row r="1813" spans="1:10" ht="14.4" x14ac:dyDescent="0.3">
      <c r="A1813" s="3"/>
      <c r="E1813" s="3">
        <v>384.6</v>
      </c>
      <c r="F1813" s="3">
        <v>-60.48</v>
      </c>
      <c r="G1813" s="3">
        <v>-109.86</v>
      </c>
      <c r="H1813" s="3">
        <v>1.52</v>
      </c>
      <c r="I1813" s="3">
        <v>178.6</v>
      </c>
      <c r="J1813" s="3">
        <v>-70</v>
      </c>
    </row>
    <row r="1814" spans="1:10" ht="14.4" x14ac:dyDescent="0.3">
      <c r="A1814" s="3"/>
      <c r="E1814" s="3">
        <v>385.45</v>
      </c>
      <c r="F1814" s="3">
        <v>-64.040000000000006</v>
      </c>
      <c r="G1814" s="3">
        <v>-109.23</v>
      </c>
      <c r="H1814" s="3">
        <v>1.36</v>
      </c>
      <c r="I1814" s="3">
        <v>178.81</v>
      </c>
      <c r="J1814" s="3">
        <v>-76.19</v>
      </c>
    </row>
    <row r="1815" spans="1:10" ht="14.4" x14ac:dyDescent="0.3">
      <c r="A1815" s="3"/>
      <c r="E1815" s="3">
        <v>383.26</v>
      </c>
      <c r="F1815" s="3">
        <v>-65.47</v>
      </c>
      <c r="G1815" s="3">
        <v>-108.87</v>
      </c>
      <c r="H1815" s="3">
        <v>1.35</v>
      </c>
      <c r="I1815" s="3">
        <v>178.13</v>
      </c>
      <c r="J1815" s="3">
        <v>-78.680000000000007</v>
      </c>
    </row>
    <row r="1816" spans="1:10" ht="14.4" x14ac:dyDescent="0.3">
      <c r="A1816" s="3"/>
      <c r="E1816" s="3">
        <v>385.53</v>
      </c>
      <c r="F1816" s="3">
        <v>-64.84</v>
      </c>
      <c r="G1816" s="3">
        <v>-109.27</v>
      </c>
      <c r="H1816" s="3">
        <v>1.4</v>
      </c>
      <c r="I1816" s="3">
        <v>179.04</v>
      </c>
      <c r="J1816" s="3">
        <v>-77.47</v>
      </c>
    </row>
    <row r="1817" spans="1:10" ht="14.4" x14ac:dyDescent="0.3">
      <c r="A1817" s="3"/>
      <c r="E1817" s="3">
        <v>383.71</v>
      </c>
      <c r="F1817" s="3">
        <v>-67.42</v>
      </c>
      <c r="G1817" s="3">
        <v>-109.41</v>
      </c>
      <c r="H1817" s="3">
        <v>1.34</v>
      </c>
      <c r="I1817" s="3">
        <v>179.16</v>
      </c>
      <c r="J1817" s="3">
        <v>-82.07</v>
      </c>
    </row>
    <row r="1818" spans="1:10" ht="14.4" x14ac:dyDescent="0.3">
      <c r="A1818" s="3"/>
      <c r="E1818" s="3">
        <v>380.11</v>
      </c>
      <c r="F1818" s="3">
        <v>-67.540000000000006</v>
      </c>
      <c r="G1818" s="3">
        <v>-109.1</v>
      </c>
      <c r="H1818" s="3">
        <v>1.37</v>
      </c>
      <c r="I1818" s="3">
        <v>177.88</v>
      </c>
      <c r="J1818" s="3">
        <v>-82.08</v>
      </c>
    </row>
    <row r="1819" spans="1:10" ht="14.4" x14ac:dyDescent="0.3">
      <c r="A1819" s="3"/>
      <c r="E1819" s="3">
        <v>383.49</v>
      </c>
      <c r="F1819" s="3">
        <v>-69.7</v>
      </c>
      <c r="G1819" s="3">
        <v>-108.81</v>
      </c>
      <c r="H1819" s="3">
        <v>1.26</v>
      </c>
      <c r="I1819" s="3">
        <v>178.8</v>
      </c>
      <c r="J1819" s="3">
        <v>-86.04</v>
      </c>
    </row>
    <row r="1820" spans="1:10" ht="14.4" x14ac:dyDescent="0.3">
      <c r="A1820" s="3"/>
      <c r="E1820" s="3">
        <v>386.02</v>
      </c>
      <c r="F1820" s="3">
        <v>-67.66</v>
      </c>
      <c r="G1820" s="3">
        <v>-108.54</v>
      </c>
      <c r="H1820" s="3">
        <v>1.28</v>
      </c>
      <c r="I1820" s="3">
        <v>178.72</v>
      </c>
      <c r="J1820" s="3">
        <v>-82.34</v>
      </c>
    </row>
    <row r="1821" spans="1:10" ht="14.4" x14ac:dyDescent="0.3">
      <c r="A1821" s="3"/>
      <c r="E1821" s="3">
        <v>381.45</v>
      </c>
      <c r="F1821" s="3">
        <v>-69.73</v>
      </c>
      <c r="G1821" s="3">
        <v>-108.29</v>
      </c>
      <c r="H1821" s="3">
        <v>1.27</v>
      </c>
      <c r="I1821" s="3">
        <v>177.71</v>
      </c>
      <c r="J1821" s="3">
        <v>-85.87</v>
      </c>
    </row>
    <row r="1822" spans="1:10" ht="14.4" x14ac:dyDescent="0.3">
      <c r="A1822" s="3"/>
      <c r="E1822" s="3">
        <v>380.59</v>
      </c>
      <c r="F1822" s="3">
        <v>-66.17</v>
      </c>
      <c r="G1822" s="3">
        <v>-108.93</v>
      </c>
      <c r="H1822" s="3">
        <v>1.42</v>
      </c>
      <c r="I1822" s="3">
        <v>177.49</v>
      </c>
      <c r="J1822" s="3">
        <v>-79.680000000000007</v>
      </c>
    </row>
    <row r="1823" spans="1:10" ht="14.4" x14ac:dyDescent="0.3">
      <c r="A1823" s="3"/>
      <c r="E1823" s="3">
        <v>382.79</v>
      </c>
      <c r="F1823" s="3">
        <v>-64.739999999999995</v>
      </c>
      <c r="G1823" s="3">
        <v>-109.29</v>
      </c>
      <c r="H1823" s="3">
        <v>1.44</v>
      </c>
      <c r="I1823" s="3">
        <v>178.18</v>
      </c>
      <c r="J1823" s="3">
        <v>-77.19</v>
      </c>
    </row>
    <row r="1824" spans="1:10" ht="14.4" x14ac:dyDescent="0.3">
      <c r="A1824" s="3"/>
      <c r="E1824" s="3">
        <v>380.51</v>
      </c>
      <c r="F1824" s="3">
        <v>-65.37</v>
      </c>
      <c r="G1824" s="3">
        <v>-108.89</v>
      </c>
      <c r="H1824" s="3">
        <v>1.39</v>
      </c>
      <c r="I1824" s="3">
        <v>177.26</v>
      </c>
      <c r="J1824" s="3">
        <v>-78.400000000000006</v>
      </c>
    </row>
    <row r="1825" spans="1:10" ht="14.4" x14ac:dyDescent="0.3">
      <c r="A1825" s="3"/>
      <c r="E1825" s="3">
        <v>382.33</v>
      </c>
      <c r="F1825" s="3">
        <v>-62.78</v>
      </c>
      <c r="G1825" s="3">
        <v>-108.75</v>
      </c>
      <c r="H1825" s="3">
        <v>1.45</v>
      </c>
      <c r="I1825" s="3">
        <v>177.15</v>
      </c>
      <c r="J1825" s="3">
        <v>-73.8</v>
      </c>
    </row>
    <row r="1826" spans="1:10" ht="14.4" x14ac:dyDescent="0.3">
      <c r="A1826" s="3"/>
      <c r="E1826" s="3">
        <v>385.94</v>
      </c>
      <c r="F1826" s="3">
        <v>-62.66</v>
      </c>
      <c r="G1826" s="3">
        <v>-109.05</v>
      </c>
      <c r="H1826" s="3">
        <v>1.42</v>
      </c>
      <c r="I1826" s="3">
        <v>178.43</v>
      </c>
      <c r="J1826" s="3">
        <v>-73.790000000000006</v>
      </c>
    </row>
    <row r="1827" spans="1:10" ht="14.4" x14ac:dyDescent="0.3">
      <c r="A1827" s="3"/>
      <c r="E1827" s="3">
        <v>382.55</v>
      </c>
      <c r="F1827" s="3">
        <v>-60.5</v>
      </c>
      <c r="G1827" s="3">
        <v>-109.35</v>
      </c>
      <c r="H1827" s="3">
        <v>1.53</v>
      </c>
      <c r="I1827" s="3">
        <v>177.51</v>
      </c>
      <c r="J1827" s="3">
        <v>-69.83</v>
      </c>
    </row>
    <row r="1828" spans="1:10" ht="14.4" x14ac:dyDescent="0.3">
      <c r="A1828" s="3"/>
      <c r="E1828" s="3">
        <v>243.35</v>
      </c>
      <c r="F1828" s="3">
        <v>-33.79</v>
      </c>
      <c r="G1828" s="3">
        <v>-73.819999999999993</v>
      </c>
      <c r="H1828" s="3">
        <v>1.24</v>
      </c>
      <c r="I1828" s="3">
        <v>117.23</v>
      </c>
      <c r="J1828" s="3">
        <v>-34.299999999999997</v>
      </c>
    </row>
    <row r="1829" spans="1:10" ht="14.4" x14ac:dyDescent="0.3">
      <c r="A1829" s="3"/>
      <c r="E1829" s="3">
        <v>252.5</v>
      </c>
      <c r="F1829" s="3">
        <v>-29.65</v>
      </c>
      <c r="G1829" s="3">
        <v>-74.319999999999993</v>
      </c>
      <c r="H1829" s="3">
        <v>1.25</v>
      </c>
      <c r="I1829" s="3">
        <v>119.25</v>
      </c>
      <c r="J1829" s="3">
        <v>-27.25</v>
      </c>
    </row>
    <row r="1830" spans="1:10" ht="14.4" x14ac:dyDescent="0.3">
      <c r="A1830" s="3"/>
      <c r="E1830" s="3">
        <v>254.21</v>
      </c>
      <c r="F1830" s="3">
        <v>-36.78</v>
      </c>
      <c r="G1830" s="3">
        <v>-73.05</v>
      </c>
      <c r="H1830" s="3">
        <v>0.95</v>
      </c>
      <c r="I1830" s="3">
        <v>119.68</v>
      </c>
      <c r="J1830" s="3">
        <v>-39.619999999999997</v>
      </c>
    </row>
    <row r="1831" spans="1:10" ht="14.4" x14ac:dyDescent="0.3">
      <c r="A1831" s="3"/>
      <c r="E1831" s="3">
        <v>249.82</v>
      </c>
      <c r="F1831" s="3">
        <v>-39.630000000000003</v>
      </c>
      <c r="G1831" s="3">
        <v>-72.33</v>
      </c>
      <c r="H1831" s="3">
        <v>0.91</v>
      </c>
      <c r="I1831" s="3">
        <v>118.32</v>
      </c>
      <c r="J1831" s="3">
        <v>-44.6</v>
      </c>
    </row>
    <row r="1832" spans="1:10" ht="14.4" x14ac:dyDescent="0.3">
      <c r="A1832" s="3"/>
      <c r="E1832" s="3">
        <v>254.38</v>
      </c>
      <c r="F1832" s="3">
        <v>-38.369999999999997</v>
      </c>
      <c r="G1832" s="3">
        <v>-73.13</v>
      </c>
      <c r="H1832" s="3">
        <v>1.01</v>
      </c>
      <c r="I1832" s="3">
        <v>120.14</v>
      </c>
      <c r="J1832" s="3">
        <v>-42.19</v>
      </c>
    </row>
    <row r="1833" spans="1:10" ht="14.4" x14ac:dyDescent="0.3">
      <c r="A1833" s="3"/>
      <c r="E1833" s="3">
        <v>250.73</v>
      </c>
      <c r="F1833" s="3">
        <v>-43.54</v>
      </c>
      <c r="G1833" s="3">
        <v>-73.400000000000006</v>
      </c>
      <c r="H1833" s="3">
        <v>0.89</v>
      </c>
      <c r="I1833" s="3">
        <v>120.36</v>
      </c>
      <c r="J1833" s="3">
        <v>-51.37</v>
      </c>
    </row>
    <row r="1834" spans="1:10" ht="14.4" x14ac:dyDescent="0.3">
      <c r="A1834" s="3"/>
      <c r="E1834" s="3">
        <v>243.52</v>
      </c>
      <c r="F1834" s="3">
        <v>-43.79</v>
      </c>
      <c r="G1834" s="3">
        <v>-72.8</v>
      </c>
      <c r="H1834" s="3">
        <v>0.96</v>
      </c>
      <c r="I1834" s="3">
        <v>117.8</v>
      </c>
      <c r="J1834" s="3">
        <v>-51.4</v>
      </c>
    </row>
    <row r="1835" spans="1:10" ht="14.4" x14ac:dyDescent="0.3">
      <c r="A1835" s="3"/>
      <c r="E1835" s="3">
        <v>250.29</v>
      </c>
      <c r="F1835" s="3">
        <v>-48.1</v>
      </c>
      <c r="G1835" s="3">
        <v>-72.209999999999994</v>
      </c>
      <c r="H1835" s="3">
        <v>0.73</v>
      </c>
      <c r="I1835" s="3">
        <v>119.66</v>
      </c>
      <c r="J1835" s="3">
        <v>-59.32</v>
      </c>
    </row>
    <row r="1836" spans="1:10" ht="14.4" x14ac:dyDescent="0.3">
      <c r="A1836" s="3"/>
      <c r="E1836" s="3">
        <v>255.35</v>
      </c>
      <c r="F1836" s="3">
        <v>-44.02</v>
      </c>
      <c r="G1836" s="3">
        <v>-71.680000000000007</v>
      </c>
      <c r="H1836" s="3">
        <v>0.77</v>
      </c>
      <c r="I1836" s="3">
        <v>119.49</v>
      </c>
      <c r="J1836" s="3">
        <v>-51.92</v>
      </c>
    </row>
    <row r="1837" spans="1:10" ht="14.4" x14ac:dyDescent="0.3">
      <c r="A1837" s="3"/>
      <c r="E1837" s="3">
        <v>246.2</v>
      </c>
      <c r="F1837" s="3">
        <v>-48.16</v>
      </c>
      <c r="G1837" s="3">
        <v>-71.180000000000007</v>
      </c>
      <c r="H1837" s="3">
        <v>0.76</v>
      </c>
      <c r="I1837" s="3">
        <v>117.47</v>
      </c>
      <c r="J1837" s="3">
        <v>-58.97</v>
      </c>
    </row>
    <row r="1838" spans="1:10" ht="14.4" x14ac:dyDescent="0.3">
      <c r="A1838" s="3"/>
      <c r="E1838" s="3">
        <v>244.49</v>
      </c>
      <c r="F1838" s="3">
        <v>-41.03</v>
      </c>
      <c r="G1838" s="3">
        <v>-72.45</v>
      </c>
      <c r="H1838" s="3">
        <v>1.07</v>
      </c>
      <c r="I1838" s="3">
        <v>117.04</v>
      </c>
      <c r="J1838" s="3">
        <v>-46.6</v>
      </c>
    </row>
    <row r="1839" spans="1:10" ht="14.4" x14ac:dyDescent="0.3">
      <c r="A1839" s="3"/>
      <c r="E1839" s="3">
        <v>248.88</v>
      </c>
      <c r="F1839" s="3">
        <v>-38.18</v>
      </c>
      <c r="G1839" s="3">
        <v>-73.17</v>
      </c>
      <c r="H1839" s="3">
        <v>1.1000000000000001</v>
      </c>
      <c r="I1839" s="3">
        <v>118.4</v>
      </c>
      <c r="J1839" s="3">
        <v>-41.62</v>
      </c>
    </row>
    <row r="1840" spans="1:10" ht="14.4" x14ac:dyDescent="0.3">
      <c r="A1840" s="3"/>
      <c r="E1840" s="3">
        <v>244.32</v>
      </c>
      <c r="F1840" s="3">
        <v>-39.43</v>
      </c>
      <c r="G1840" s="3">
        <v>-72.37</v>
      </c>
      <c r="H1840" s="3">
        <v>1</v>
      </c>
      <c r="I1840" s="3">
        <v>116.58</v>
      </c>
      <c r="J1840" s="3">
        <v>-44.03</v>
      </c>
    </row>
    <row r="1841" spans="1:10" ht="14.4" x14ac:dyDescent="0.3">
      <c r="A1841" s="3"/>
      <c r="E1841" s="3">
        <v>247.96</v>
      </c>
      <c r="F1841" s="3">
        <v>-34.270000000000003</v>
      </c>
      <c r="G1841" s="3">
        <v>-72.09</v>
      </c>
      <c r="H1841" s="3">
        <v>1.1200000000000001</v>
      </c>
      <c r="I1841" s="3">
        <v>116.36</v>
      </c>
      <c r="J1841" s="3">
        <v>-34.85</v>
      </c>
    </row>
    <row r="1842" spans="1:10" ht="14.4" x14ac:dyDescent="0.3">
      <c r="A1842" s="3"/>
      <c r="E1842" s="3">
        <v>255.18</v>
      </c>
      <c r="F1842" s="3">
        <v>-34.020000000000003</v>
      </c>
      <c r="G1842" s="3">
        <v>-72.7</v>
      </c>
      <c r="H1842" s="3">
        <v>1.05</v>
      </c>
      <c r="I1842" s="3">
        <v>118.91</v>
      </c>
      <c r="J1842" s="3">
        <v>-34.82</v>
      </c>
    </row>
    <row r="1843" spans="1:10" ht="14.4" x14ac:dyDescent="0.3">
      <c r="A1843" s="3"/>
      <c r="E1843" s="3">
        <v>240.7</v>
      </c>
      <c r="F1843" s="3">
        <v>-28.44</v>
      </c>
      <c r="G1843" s="3">
        <v>-72.349999999999994</v>
      </c>
      <c r="H1843" s="3">
        <v>1.22</v>
      </c>
      <c r="I1843" s="3">
        <v>115.57</v>
      </c>
      <c r="J1843" s="3">
        <v>-25.58</v>
      </c>
    </row>
    <row r="1844" spans="1:10" ht="14.4" x14ac:dyDescent="0.3">
      <c r="A1844" s="3"/>
      <c r="E1844" s="3">
        <v>243.35</v>
      </c>
      <c r="F1844" s="3">
        <v>-33.79</v>
      </c>
      <c r="G1844" s="3">
        <v>-73.819999999999993</v>
      </c>
      <c r="H1844" s="3">
        <v>1.24</v>
      </c>
      <c r="I1844" s="3">
        <v>117.23</v>
      </c>
      <c r="J1844" s="3">
        <v>-34.299999999999997</v>
      </c>
    </row>
    <row r="1845" spans="1:10" ht="14.4" x14ac:dyDescent="0.3">
      <c r="A1845" s="3"/>
      <c r="E1845" s="3">
        <v>252.5</v>
      </c>
      <c r="F1845" s="3">
        <v>-29.65</v>
      </c>
      <c r="G1845" s="3">
        <v>-74.319999999999993</v>
      </c>
      <c r="H1845" s="3">
        <v>1.25</v>
      </c>
      <c r="I1845" s="3">
        <v>119.25</v>
      </c>
      <c r="J1845" s="3">
        <v>-27.25</v>
      </c>
    </row>
    <row r="1846" spans="1:10" ht="14.4" x14ac:dyDescent="0.3">
      <c r="A1846" s="3"/>
      <c r="E1846" s="3">
        <v>254.21</v>
      </c>
      <c r="F1846" s="3">
        <v>-36.78</v>
      </c>
      <c r="G1846" s="3">
        <v>-73.05</v>
      </c>
      <c r="H1846" s="3">
        <v>0.95</v>
      </c>
      <c r="I1846" s="3">
        <v>119.68</v>
      </c>
      <c r="J1846" s="3">
        <v>-39.619999999999997</v>
      </c>
    </row>
    <row r="1847" spans="1:10" ht="14.4" x14ac:dyDescent="0.3">
      <c r="A1847" s="3"/>
      <c r="E1847" s="3">
        <v>249.82</v>
      </c>
      <c r="F1847" s="3">
        <v>-39.630000000000003</v>
      </c>
      <c r="G1847" s="3">
        <v>-72.33</v>
      </c>
      <c r="H1847" s="3">
        <v>0.91</v>
      </c>
      <c r="I1847" s="3">
        <v>118.32</v>
      </c>
      <c r="J1847" s="3">
        <v>-44.6</v>
      </c>
    </row>
    <row r="1848" spans="1:10" ht="14.4" x14ac:dyDescent="0.3">
      <c r="A1848" s="3"/>
      <c r="E1848" s="3">
        <v>254.38</v>
      </c>
      <c r="F1848" s="3">
        <v>-38.369999999999997</v>
      </c>
      <c r="G1848" s="3">
        <v>-73.13</v>
      </c>
      <c r="H1848" s="3">
        <v>1.01</v>
      </c>
      <c r="I1848" s="3">
        <v>120.14</v>
      </c>
      <c r="J1848" s="3">
        <v>-42.19</v>
      </c>
    </row>
    <row r="1849" spans="1:10" ht="14.4" x14ac:dyDescent="0.3">
      <c r="A1849" s="3"/>
      <c r="E1849" s="3">
        <v>250.73</v>
      </c>
      <c r="F1849" s="3">
        <v>-43.54</v>
      </c>
      <c r="G1849" s="3">
        <v>-73.400000000000006</v>
      </c>
      <c r="H1849" s="3">
        <v>0.89</v>
      </c>
      <c r="I1849" s="3">
        <v>120.36</v>
      </c>
      <c r="J1849" s="3">
        <v>-51.37</v>
      </c>
    </row>
    <row r="1850" spans="1:10" ht="14.4" x14ac:dyDescent="0.3">
      <c r="A1850" s="3"/>
      <c r="E1850" s="3">
        <v>243.52</v>
      </c>
      <c r="F1850" s="3">
        <v>-43.79</v>
      </c>
      <c r="G1850" s="3">
        <v>-72.8</v>
      </c>
      <c r="H1850" s="3">
        <v>0.96</v>
      </c>
      <c r="I1850" s="3">
        <v>117.8</v>
      </c>
      <c r="J1850" s="3">
        <v>-51.4</v>
      </c>
    </row>
    <row r="1851" spans="1:10" ht="14.4" x14ac:dyDescent="0.3">
      <c r="A1851" s="3"/>
      <c r="E1851" s="3">
        <v>250.29</v>
      </c>
      <c r="F1851" s="3">
        <v>-48.1</v>
      </c>
      <c r="G1851" s="3">
        <v>-72.209999999999994</v>
      </c>
      <c r="H1851" s="3">
        <v>0.73</v>
      </c>
      <c r="I1851" s="3">
        <v>119.66</v>
      </c>
      <c r="J1851" s="3">
        <v>-59.32</v>
      </c>
    </row>
    <row r="1852" spans="1:10" ht="14.4" x14ac:dyDescent="0.3">
      <c r="A1852" s="3"/>
      <c r="E1852" s="3">
        <v>255.35</v>
      </c>
      <c r="F1852" s="3">
        <v>-44.02</v>
      </c>
      <c r="G1852" s="3">
        <v>-71.680000000000007</v>
      </c>
      <c r="H1852" s="3">
        <v>0.77</v>
      </c>
      <c r="I1852" s="3">
        <v>119.49</v>
      </c>
      <c r="J1852" s="3">
        <v>-51.92</v>
      </c>
    </row>
    <row r="1853" spans="1:10" ht="14.4" x14ac:dyDescent="0.3">
      <c r="A1853" s="3"/>
      <c r="E1853" s="3">
        <v>246.2</v>
      </c>
      <c r="F1853" s="3">
        <v>-48.16</v>
      </c>
      <c r="G1853" s="3">
        <v>-71.180000000000007</v>
      </c>
      <c r="H1853" s="3">
        <v>0.76</v>
      </c>
      <c r="I1853" s="3">
        <v>117.47</v>
      </c>
      <c r="J1853" s="3">
        <v>-58.97</v>
      </c>
    </row>
    <row r="1854" spans="1:10" ht="14.4" x14ac:dyDescent="0.3">
      <c r="A1854" s="3"/>
      <c r="E1854" s="3">
        <v>244.49</v>
      </c>
      <c r="F1854" s="3">
        <v>-41.03</v>
      </c>
      <c r="G1854" s="3">
        <v>-72.45</v>
      </c>
      <c r="H1854" s="3">
        <v>1.07</v>
      </c>
      <c r="I1854" s="3">
        <v>117.04</v>
      </c>
      <c r="J1854" s="3">
        <v>-46.6</v>
      </c>
    </row>
    <row r="1855" spans="1:10" ht="14.4" x14ac:dyDescent="0.3">
      <c r="A1855" s="3"/>
      <c r="E1855" s="3">
        <v>248.88</v>
      </c>
      <c r="F1855" s="3">
        <v>-38.18</v>
      </c>
      <c r="G1855" s="3">
        <v>-73.17</v>
      </c>
      <c r="H1855" s="3">
        <v>1.1000000000000001</v>
      </c>
      <c r="I1855" s="3">
        <v>118.4</v>
      </c>
      <c r="J1855" s="3">
        <v>-41.62</v>
      </c>
    </row>
    <row r="1856" spans="1:10" ht="14.4" x14ac:dyDescent="0.3">
      <c r="A1856" s="3"/>
      <c r="E1856" s="3">
        <v>244.32</v>
      </c>
      <c r="F1856" s="3">
        <v>-39.43</v>
      </c>
      <c r="G1856" s="3">
        <v>-72.37</v>
      </c>
      <c r="H1856" s="3">
        <v>1</v>
      </c>
      <c r="I1856" s="3">
        <v>116.58</v>
      </c>
      <c r="J1856" s="3">
        <v>-44.03</v>
      </c>
    </row>
    <row r="1857" spans="1:10" ht="14.4" x14ac:dyDescent="0.3">
      <c r="A1857" s="3"/>
      <c r="E1857" s="3">
        <v>247.96</v>
      </c>
      <c r="F1857" s="3">
        <v>-34.270000000000003</v>
      </c>
      <c r="G1857" s="3">
        <v>-72.09</v>
      </c>
      <c r="H1857" s="3">
        <v>1.1200000000000001</v>
      </c>
      <c r="I1857" s="3">
        <v>116.36</v>
      </c>
      <c r="J1857" s="3">
        <v>-34.85</v>
      </c>
    </row>
    <row r="1858" spans="1:10" ht="14.4" x14ac:dyDescent="0.3">
      <c r="A1858" s="3"/>
      <c r="E1858" s="3">
        <v>255.18</v>
      </c>
      <c r="F1858" s="3">
        <v>-34.020000000000003</v>
      </c>
      <c r="G1858" s="3">
        <v>-72.7</v>
      </c>
      <c r="H1858" s="3">
        <v>1.05</v>
      </c>
      <c r="I1858" s="3">
        <v>118.91</v>
      </c>
      <c r="J1858" s="3">
        <v>-34.82</v>
      </c>
    </row>
    <row r="1859" spans="1:10" ht="14.4" x14ac:dyDescent="0.3">
      <c r="A1859" s="3"/>
      <c r="E1859" s="3">
        <v>255.18</v>
      </c>
      <c r="F1859" s="3">
        <v>-34.020000000000003</v>
      </c>
      <c r="G1859" s="3">
        <v>-72.7</v>
      </c>
      <c r="H1859" s="3">
        <v>1.05</v>
      </c>
      <c r="I1859" s="3">
        <v>118.91</v>
      </c>
      <c r="J1859" s="3">
        <v>-34.82</v>
      </c>
    </row>
    <row r="1860" spans="1:10" ht="14.4" x14ac:dyDescent="0.3">
      <c r="A1860" s="3"/>
      <c r="E1860" s="3">
        <v>177.47</v>
      </c>
      <c r="F1860" s="3">
        <v>-21.15</v>
      </c>
      <c r="G1860" s="3">
        <v>-50.88</v>
      </c>
      <c r="H1860" s="3">
        <v>0.87</v>
      </c>
      <c r="I1860" s="3">
        <v>84.09</v>
      </c>
      <c r="J1860" s="3">
        <v>-21.31</v>
      </c>
    </row>
    <row r="1861" spans="1:10" ht="14.4" x14ac:dyDescent="0.3">
      <c r="A1861" s="3"/>
      <c r="E1861" s="3">
        <v>186.62</v>
      </c>
      <c r="F1861" s="3">
        <v>-17.010000000000002</v>
      </c>
      <c r="G1861" s="3">
        <v>-51.39</v>
      </c>
      <c r="H1861" s="3">
        <v>0.89</v>
      </c>
      <c r="I1861" s="3">
        <v>86.11</v>
      </c>
      <c r="J1861" s="3">
        <v>-14.26</v>
      </c>
    </row>
    <row r="1862" spans="1:10" ht="14.4" x14ac:dyDescent="0.3">
      <c r="A1862" s="3"/>
      <c r="E1862" s="3">
        <v>188.32</v>
      </c>
      <c r="F1862" s="3">
        <v>-24.14</v>
      </c>
      <c r="G1862" s="3">
        <v>-50.11</v>
      </c>
      <c r="H1862" s="3">
        <v>0.57999999999999996</v>
      </c>
      <c r="I1862" s="3">
        <v>86.53</v>
      </c>
      <c r="J1862" s="3">
        <v>-26.63</v>
      </c>
    </row>
    <row r="1863" spans="1:10" ht="14.4" x14ac:dyDescent="0.3">
      <c r="A1863" s="3"/>
      <c r="E1863" s="3">
        <v>183.94</v>
      </c>
      <c r="F1863" s="3">
        <v>-26.99</v>
      </c>
      <c r="G1863" s="3">
        <v>-49.39</v>
      </c>
      <c r="H1863" s="3">
        <v>0.54</v>
      </c>
      <c r="I1863" s="3">
        <v>85.17</v>
      </c>
      <c r="J1863" s="3">
        <v>-31.61</v>
      </c>
    </row>
    <row r="1864" spans="1:10" ht="14.4" x14ac:dyDescent="0.3">
      <c r="A1864" s="3"/>
      <c r="E1864" s="3">
        <v>188.49</v>
      </c>
      <c r="F1864" s="3">
        <v>-25.73</v>
      </c>
      <c r="G1864" s="3">
        <v>-50.2</v>
      </c>
      <c r="H1864" s="3">
        <v>0.64</v>
      </c>
      <c r="I1864" s="3">
        <v>86.99</v>
      </c>
      <c r="J1864" s="3">
        <v>-29.2</v>
      </c>
    </row>
    <row r="1865" spans="1:10" ht="14.4" x14ac:dyDescent="0.3">
      <c r="A1865" s="3"/>
      <c r="E1865" s="3">
        <v>184.85</v>
      </c>
      <c r="F1865" s="3">
        <v>-30.9</v>
      </c>
      <c r="G1865" s="3">
        <v>-50.47</v>
      </c>
      <c r="H1865" s="3">
        <v>0.53</v>
      </c>
      <c r="I1865" s="3">
        <v>87.22</v>
      </c>
      <c r="J1865" s="3">
        <v>-38.380000000000003</v>
      </c>
    </row>
    <row r="1866" spans="1:10" ht="14.4" x14ac:dyDescent="0.3">
      <c r="A1866" s="3"/>
      <c r="E1866" s="3">
        <v>177.64</v>
      </c>
      <c r="F1866" s="3">
        <v>-31.14</v>
      </c>
      <c r="G1866" s="3">
        <v>-49.86</v>
      </c>
      <c r="H1866" s="3">
        <v>0.59</v>
      </c>
      <c r="I1866" s="3">
        <v>84.66</v>
      </c>
      <c r="J1866" s="3">
        <v>-38.42</v>
      </c>
    </row>
    <row r="1867" spans="1:10" ht="14.4" x14ac:dyDescent="0.3">
      <c r="A1867" s="3"/>
      <c r="E1867" s="3">
        <v>184.41</v>
      </c>
      <c r="F1867" s="3">
        <v>-35.46</v>
      </c>
      <c r="G1867" s="3">
        <v>-49.27</v>
      </c>
      <c r="H1867" s="3">
        <v>0.37</v>
      </c>
      <c r="I1867" s="3">
        <v>86.51</v>
      </c>
      <c r="J1867" s="3">
        <v>-46.33</v>
      </c>
    </row>
    <row r="1868" spans="1:10" ht="14.4" x14ac:dyDescent="0.3">
      <c r="A1868" s="3"/>
      <c r="E1868" s="3">
        <v>189.46</v>
      </c>
      <c r="F1868" s="3">
        <v>-31.38</v>
      </c>
      <c r="G1868" s="3">
        <v>-48.74</v>
      </c>
      <c r="H1868" s="3">
        <v>0.41</v>
      </c>
      <c r="I1868" s="3">
        <v>86.34</v>
      </c>
      <c r="J1868" s="3">
        <v>-38.93</v>
      </c>
    </row>
    <row r="1869" spans="1:10" ht="14.4" x14ac:dyDescent="0.3">
      <c r="A1869" s="3"/>
      <c r="E1869" s="3">
        <v>180.32</v>
      </c>
      <c r="F1869" s="3">
        <v>-35.520000000000003</v>
      </c>
      <c r="G1869" s="3">
        <v>-48.24</v>
      </c>
      <c r="H1869" s="3">
        <v>0.39</v>
      </c>
      <c r="I1869" s="3">
        <v>84.32</v>
      </c>
      <c r="J1869" s="3">
        <v>-45.99</v>
      </c>
    </row>
    <row r="1870" spans="1:10" ht="14.4" x14ac:dyDescent="0.3">
      <c r="A1870" s="3"/>
      <c r="E1870" s="3">
        <v>178.61</v>
      </c>
      <c r="F1870" s="3">
        <v>-28.39</v>
      </c>
      <c r="G1870" s="3">
        <v>-49.51</v>
      </c>
      <c r="H1870" s="3">
        <v>0.7</v>
      </c>
      <c r="I1870" s="3">
        <v>83.89</v>
      </c>
      <c r="J1870" s="3">
        <v>-33.61</v>
      </c>
    </row>
    <row r="1871" spans="1:10" ht="14.4" x14ac:dyDescent="0.3">
      <c r="A1871" s="3"/>
      <c r="E1871" s="3">
        <v>183</v>
      </c>
      <c r="F1871" s="3">
        <v>-25.54</v>
      </c>
      <c r="G1871" s="3">
        <v>-50.24</v>
      </c>
      <c r="H1871" s="3">
        <v>0.74</v>
      </c>
      <c r="I1871" s="3">
        <v>85.26</v>
      </c>
      <c r="J1871" s="3">
        <v>-28.63</v>
      </c>
    </row>
    <row r="1872" spans="1:10" ht="14.4" x14ac:dyDescent="0.3">
      <c r="A1872" s="3"/>
      <c r="E1872" s="3">
        <v>178.44</v>
      </c>
      <c r="F1872" s="3">
        <v>-26.79</v>
      </c>
      <c r="G1872" s="3">
        <v>-49.43</v>
      </c>
      <c r="H1872" s="3">
        <v>0.64</v>
      </c>
      <c r="I1872" s="3">
        <v>83.43</v>
      </c>
      <c r="J1872" s="3">
        <v>-31.04</v>
      </c>
    </row>
    <row r="1873" spans="1:10" ht="14.4" x14ac:dyDescent="0.3">
      <c r="A1873" s="3"/>
      <c r="E1873" s="3">
        <v>182.08</v>
      </c>
      <c r="F1873" s="3">
        <v>-21.62</v>
      </c>
      <c r="G1873" s="3">
        <v>-49.16</v>
      </c>
      <c r="H1873" s="3">
        <v>0.75</v>
      </c>
      <c r="I1873" s="3">
        <v>83.21</v>
      </c>
      <c r="J1873" s="3">
        <v>-21.86</v>
      </c>
    </row>
    <row r="1874" spans="1:10" ht="14.4" x14ac:dyDescent="0.3">
      <c r="A1874" s="3"/>
      <c r="E1874" s="3">
        <v>189.3</v>
      </c>
      <c r="F1874" s="3">
        <v>-21.38</v>
      </c>
      <c r="G1874" s="3">
        <v>-49.77</v>
      </c>
      <c r="H1874" s="3">
        <v>0.69</v>
      </c>
      <c r="I1874" s="3">
        <v>85.77</v>
      </c>
      <c r="J1874" s="3">
        <v>-21.83</v>
      </c>
    </row>
    <row r="1875" spans="1:10" ht="14.4" x14ac:dyDescent="0.3">
      <c r="A1875" s="3"/>
      <c r="E1875" s="3">
        <v>182.52</v>
      </c>
      <c r="F1875" s="3">
        <v>-17.059999999999999</v>
      </c>
      <c r="G1875" s="3">
        <v>-50.36</v>
      </c>
      <c r="H1875" s="3">
        <v>0.91</v>
      </c>
      <c r="I1875" s="3">
        <v>83.92</v>
      </c>
      <c r="J1875" s="3">
        <v>-13.91</v>
      </c>
    </row>
    <row r="1876" spans="1:10" ht="14.4" x14ac:dyDescent="0.3">
      <c r="A1876" s="3"/>
      <c r="E1876" s="3">
        <v>211.95</v>
      </c>
      <c r="F1876" s="3">
        <v>-9.64</v>
      </c>
      <c r="G1876" s="3">
        <v>-53.16</v>
      </c>
      <c r="H1876" s="3">
        <v>2.29</v>
      </c>
      <c r="I1876" s="3">
        <v>81.99</v>
      </c>
      <c r="J1876" s="3">
        <v>8.4600000000000009</v>
      </c>
    </row>
    <row r="1877" spans="1:10" ht="14.4" x14ac:dyDescent="0.3">
      <c r="A1877" s="3"/>
      <c r="E1877" s="3">
        <v>303.27999999999997</v>
      </c>
      <c r="F1877" s="3">
        <v>-34.26</v>
      </c>
      <c r="G1877" s="3">
        <v>-90.49</v>
      </c>
      <c r="H1877" s="3">
        <v>0.18</v>
      </c>
      <c r="I1877" s="3">
        <v>152.82</v>
      </c>
      <c r="J1877" s="3">
        <v>-36.86</v>
      </c>
    </row>
    <row r="1878" spans="1:10" ht="14.4" x14ac:dyDescent="0.3">
      <c r="A1878" s="3"/>
      <c r="E1878" s="3">
        <v>193.55</v>
      </c>
      <c r="F1878" s="3">
        <v>-42.79</v>
      </c>
      <c r="G1878" s="3">
        <v>-54.58</v>
      </c>
      <c r="H1878" s="3">
        <v>1.83</v>
      </c>
      <c r="I1878" s="3">
        <v>83.13</v>
      </c>
      <c r="J1878" s="3">
        <v>-48.14</v>
      </c>
    </row>
    <row r="1879" spans="1:10" ht="14.4" x14ac:dyDescent="0.3">
      <c r="A1879" s="3"/>
      <c r="E1879" s="3">
        <v>284.88</v>
      </c>
      <c r="F1879" s="3">
        <v>-67.41</v>
      </c>
      <c r="G1879" s="3">
        <v>-91.9</v>
      </c>
      <c r="H1879" s="3">
        <v>-0.28000000000000003</v>
      </c>
      <c r="I1879" s="3">
        <v>153.96</v>
      </c>
      <c r="J1879" s="3">
        <v>-93.46</v>
      </c>
    </row>
    <row r="1880" spans="1:10" ht="14.4" x14ac:dyDescent="0.3">
      <c r="A1880" s="3"/>
      <c r="E1880" s="3">
        <v>211.95</v>
      </c>
      <c r="F1880" s="3">
        <v>-9.64</v>
      </c>
      <c r="G1880" s="3">
        <v>-53.16</v>
      </c>
      <c r="H1880" s="3">
        <v>2.29</v>
      </c>
      <c r="I1880" s="3">
        <v>81.99</v>
      </c>
      <c r="J1880" s="3">
        <v>8.4600000000000009</v>
      </c>
    </row>
    <row r="1881" spans="1:10" ht="14.4" x14ac:dyDescent="0.3">
      <c r="A1881" s="3"/>
      <c r="E1881" s="3">
        <v>303.27999999999997</v>
      </c>
      <c r="F1881" s="3">
        <v>-34.26</v>
      </c>
      <c r="G1881" s="3">
        <v>-90.49</v>
      </c>
      <c r="H1881" s="3">
        <v>0.18</v>
      </c>
      <c r="I1881" s="3">
        <v>152.82</v>
      </c>
      <c r="J1881" s="3">
        <v>-36.86</v>
      </c>
    </row>
    <row r="1882" spans="1:10" ht="14.4" x14ac:dyDescent="0.3">
      <c r="A1882" s="3"/>
      <c r="E1882" s="3">
        <v>193.55</v>
      </c>
      <c r="F1882" s="3">
        <v>-42.79</v>
      </c>
      <c r="G1882" s="3">
        <v>-54.58</v>
      </c>
      <c r="H1882" s="3">
        <v>1.83</v>
      </c>
      <c r="I1882" s="3">
        <v>83.13</v>
      </c>
      <c r="J1882" s="3">
        <v>-48.14</v>
      </c>
    </row>
    <row r="1883" spans="1:10" ht="14.4" x14ac:dyDescent="0.3">
      <c r="A1883" s="3"/>
      <c r="E1883" s="3">
        <v>284.88</v>
      </c>
      <c r="F1883" s="3">
        <v>-67.41</v>
      </c>
      <c r="G1883" s="3">
        <v>-91.9</v>
      </c>
      <c r="H1883" s="3">
        <v>-0.28000000000000003</v>
      </c>
      <c r="I1883" s="3">
        <v>153.96</v>
      </c>
      <c r="J1883" s="3">
        <v>-93.46</v>
      </c>
    </row>
    <row r="1884" spans="1:10" ht="14.4" x14ac:dyDescent="0.3">
      <c r="A1884" s="3"/>
      <c r="E1884" s="3">
        <v>293.17</v>
      </c>
      <c r="F1884" s="3">
        <v>15.68</v>
      </c>
      <c r="G1884" s="3">
        <v>-72.23</v>
      </c>
      <c r="H1884" s="3">
        <v>2.1800000000000002</v>
      </c>
      <c r="I1884" s="3">
        <v>118.52</v>
      </c>
      <c r="J1884" s="3">
        <v>52.82</v>
      </c>
    </row>
    <row r="1885" spans="1:10" ht="14.4" x14ac:dyDescent="0.3">
      <c r="A1885" s="3"/>
      <c r="E1885" s="3">
        <v>151.11000000000001</v>
      </c>
      <c r="F1885" s="3">
        <v>-81.7</v>
      </c>
      <c r="G1885" s="3">
        <v>-54.76</v>
      </c>
      <c r="H1885" s="3">
        <v>0.38</v>
      </c>
      <c r="I1885" s="3">
        <v>84.39</v>
      </c>
      <c r="J1885" s="3">
        <v>-119.97</v>
      </c>
    </row>
    <row r="1886" spans="1:10" ht="14.4" x14ac:dyDescent="0.3">
      <c r="A1886" s="3"/>
      <c r="E1886" s="3">
        <v>345.72</v>
      </c>
      <c r="F1886" s="3">
        <v>4.6399999999999997</v>
      </c>
      <c r="G1886" s="3">
        <v>-90.31</v>
      </c>
      <c r="H1886" s="3">
        <v>1.62</v>
      </c>
      <c r="I1886" s="3">
        <v>151.56</v>
      </c>
      <c r="J1886" s="3">
        <v>34.97</v>
      </c>
    </row>
    <row r="1887" spans="1:10" ht="14.4" x14ac:dyDescent="0.3">
      <c r="A1887" s="3"/>
      <c r="E1887" s="3">
        <v>203.66</v>
      </c>
      <c r="F1887" s="3">
        <v>-92.73</v>
      </c>
      <c r="G1887" s="3">
        <v>-72.83</v>
      </c>
      <c r="H1887" s="3">
        <v>-0.17</v>
      </c>
      <c r="I1887" s="3">
        <v>117.44</v>
      </c>
      <c r="J1887" s="3">
        <v>-137.82</v>
      </c>
    </row>
    <row r="1888" spans="1:10" ht="14.4" x14ac:dyDescent="0.3">
      <c r="A1888" s="3"/>
      <c r="E1888" s="3">
        <v>293.17</v>
      </c>
      <c r="F1888" s="3">
        <v>15.68</v>
      </c>
      <c r="G1888" s="3">
        <v>-72.23</v>
      </c>
      <c r="H1888" s="3">
        <v>2.1800000000000002</v>
      </c>
      <c r="I1888" s="3">
        <v>118.52</v>
      </c>
      <c r="J1888" s="3">
        <v>52.82</v>
      </c>
    </row>
    <row r="1889" spans="1:10" ht="14.4" x14ac:dyDescent="0.3">
      <c r="A1889" s="3"/>
      <c r="E1889" s="3">
        <v>151.11000000000001</v>
      </c>
      <c r="F1889" s="3">
        <v>-81.7</v>
      </c>
      <c r="G1889" s="3">
        <v>-54.76</v>
      </c>
      <c r="H1889" s="3">
        <v>0.38</v>
      </c>
      <c r="I1889" s="3">
        <v>84.39</v>
      </c>
      <c r="J1889" s="3">
        <v>-119.97</v>
      </c>
    </row>
    <row r="1890" spans="1:10" ht="14.4" x14ac:dyDescent="0.3">
      <c r="A1890" s="3"/>
      <c r="E1890" s="3">
        <v>345.72</v>
      </c>
      <c r="F1890" s="3">
        <v>4.6399999999999997</v>
      </c>
      <c r="G1890" s="3">
        <v>-90.31</v>
      </c>
      <c r="H1890" s="3">
        <v>1.62</v>
      </c>
      <c r="I1890" s="3">
        <v>151.56</v>
      </c>
      <c r="J1890" s="3">
        <v>34.97</v>
      </c>
    </row>
    <row r="1891" spans="1:10" ht="14.4" x14ac:dyDescent="0.3">
      <c r="A1891" s="3"/>
      <c r="E1891" s="3">
        <v>203.66</v>
      </c>
      <c r="F1891" s="3">
        <v>-92.73</v>
      </c>
      <c r="G1891" s="3">
        <v>-72.83</v>
      </c>
      <c r="H1891" s="3">
        <v>-0.17</v>
      </c>
      <c r="I1891" s="3">
        <v>117.44</v>
      </c>
      <c r="J1891" s="3">
        <v>-137.82</v>
      </c>
    </row>
    <row r="1892" spans="1:10" ht="14.4" x14ac:dyDescent="0.3">
      <c r="A1892" s="3"/>
      <c r="E1892" s="3">
        <v>386.5</v>
      </c>
      <c r="F1892" s="3">
        <v>7.93</v>
      </c>
      <c r="G1892" s="3">
        <v>-51.51</v>
      </c>
      <c r="H1892" s="3">
        <v>2.92</v>
      </c>
      <c r="I1892" s="3">
        <v>79.45</v>
      </c>
      <c r="J1892" s="3">
        <v>38.99</v>
      </c>
    </row>
    <row r="1893" spans="1:10" ht="14.4" x14ac:dyDescent="0.3">
      <c r="A1893" s="3"/>
      <c r="E1893" s="3">
        <v>133.36000000000001</v>
      </c>
      <c r="F1893" s="3">
        <v>-43.66</v>
      </c>
      <c r="G1893" s="3">
        <v>-89.78</v>
      </c>
      <c r="H1893" s="3">
        <v>0.14000000000000001</v>
      </c>
      <c r="I1893" s="3">
        <v>150.63999999999999</v>
      </c>
      <c r="J1893" s="3">
        <v>-53.59</v>
      </c>
    </row>
    <row r="1894" spans="1:10" ht="14.4" x14ac:dyDescent="0.3">
      <c r="A1894" s="3"/>
      <c r="E1894" s="3">
        <v>363.48</v>
      </c>
      <c r="F1894" s="3">
        <v>-33.39</v>
      </c>
      <c r="G1894" s="3">
        <v>-55.28</v>
      </c>
      <c r="H1894" s="3">
        <v>1.86</v>
      </c>
      <c r="I1894" s="3">
        <v>85.31</v>
      </c>
      <c r="J1894" s="3">
        <v>-31.41</v>
      </c>
    </row>
    <row r="1895" spans="1:10" ht="14.4" x14ac:dyDescent="0.3">
      <c r="A1895" s="3"/>
      <c r="E1895" s="3">
        <v>110.33</v>
      </c>
      <c r="F1895" s="3">
        <v>-84.99</v>
      </c>
      <c r="G1895" s="3">
        <v>-93.55</v>
      </c>
      <c r="H1895" s="3">
        <v>-0.91</v>
      </c>
      <c r="I1895" s="3">
        <v>156.5</v>
      </c>
      <c r="J1895" s="3">
        <v>-123.99</v>
      </c>
    </row>
    <row r="1896" spans="1:10" ht="14.4" x14ac:dyDescent="0.3">
      <c r="A1896" s="3"/>
      <c r="E1896" s="3">
        <v>353.14</v>
      </c>
      <c r="F1896" s="3">
        <v>33.22</v>
      </c>
      <c r="G1896" s="3">
        <v>-68.22</v>
      </c>
      <c r="H1896" s="3">
        <v>3.26</v>
      </c>
      <c r="I1896" s="3">
        <v>110.69</v>
      </c>
      <c r="J1896" s="3">
        <v>82.7</v>
      </c>
    </row>
    <row r="1897" spans="1:10" ht="14.4" x14ac:dyDescent="0.3">
      <c r="A1897" s="3"/>
      <c r="E1897" s="3">
        <v>195.86</v>
      </c>
      <c r="F1897" s="3">
        <v>-91.04</v>
      </c>
      <c r="G1897" s="3">
        <v>-58.48</v>
      </c>
      <c r="H1897" s="3">
        <v>-0.5</v>
      </c>
      <c r="I1897" s="3">
        <v>92.1</v>
      </c>
      <c r="J1897" s="3">
        <v>-135.49</v>
      </c>
    </row>
    <row r="1898" spans="1:10" ht="14.4" x14ac:dyDescent="0.3">
      <c r="A1898" s="3"/>
      <c r="E1898" s="3">
        <v>300.97000000000003</v>
      </c>
      <c r="F1898" s="3">
        <v>13.99</v>
      </c>
      <c r="G1898" s="3">
        <v>-86.59</v>
      </c>
      <c r="H1898" s="3">
        <v>2.5</v>
      </c>
      <c r="I1898" s="3">
        <v>143.85</v>
      </c>
      <c r="J1898" s="3">
        <v>50.49</v>
      </c>
    </row>
    <row r="1899" spans="1:10" ht="14.4" x14ac:dyDescent="0.3">
      <c r="A1899" s="3"/>
      <c r="E1899" s="3">
        <v>143.69999999999999</v>
      </c>
      <c r="F1899" s="3">
        <v>-110.28</v>
      </c>
      <c r="G1899" s="3">
        <v>-76.84</v>
      </c>
      <c r="H1899" s="3">
        <v>-1.25</v>
      </c>
      <c r="I1899" s="3">
        <v>125.26</v>
      </c>
      <c r="J1899" s="3">
        <v>-167.71</v>
      </c>
    </row>
    <row r="1900" spans="1:10" ht="14.4" x14ac:dyDescent="0.3">
      <c r="A1900" s="3"/>
      <c r="E1900" s="3">
        <v>154.87</v>
      </c>
      <c r="F1900" s="3">
        <v>-1.47</v>
      </c>
      <c r="G1900" s="3">
        <v>-37.659999999999997</v>
      </c>
      <c r="H1900" s="3">
        <v>2.09</v>
      </c>
      <c r="I1900" s="3">
        <v>55.48</v>
      </c>
      <c r="J1900" s="3">
        <v>17.829999999999998</v>
      </c>
    </row>
    <row r="1901" spans="1:10" ht="14.4" x14ac:dyDescent="0.3">
      <c r="A1901" s="3"/>
      <c r="E1901" s="3">
        <v>238.05</v>
      </c>
      <c r="F1901" s="3">
        <v>-24.92</v>
      </c>
      <c r="G1901" s="3">
        <v>-72.77</v>
      </c>
      <c r="H1901" s="3">
        <v>-0.05</v>
      </c>
      <c r="I1901" s="3">
        <v>122.52</v>
      </c>
      <c r="J1901" s="3">
        <v>-26.15</v>
      </c>
    </row>
    <row r="1902" spans="1:10" ht="14.4" x14ac:dyDescent="0.3">
      <c r="A1902" s="3"/>
      <c r="E1902" s="3">
        <v>136.47999999999999</v>
      </c>
      <c r="F1902" s="3">
        <v>-34.619999999999997</v>
      </c>
      <c r="G1902" s="3">
        <v>-39.08</v>
      </c>
      <c r="H1902" s="3">
        <v>1.63</v>
      </c>
      <c r="I1902" s="3">
        <v>56.62</v>
      </c>
      <c r="J1902" s="3">
        <v>-38.770000000000003</v>
      </c>
    </row>
    <row r="1903" spans="1:10" ht="14.4" x14ac:dyDescent="0.3">
      <c r="A1903" s="3"/>
      <c r="E1903" s="3">
        <v>219.65</v>
      </c>
      <c r="F1903" s="3">
        <v>-58.07</v>
      </c>
      <c r="G1903" s="3">
        <v>-74.19</v>
      </c>
      <c r="H1903" s="3">
        <v>-0.51</v>
      </c>
      <c r="I1903" s="3">
        <v>123.66</v>
      </c>
      <c r="J1903" s="3">
        <v>-82.75</v>
      </c>
    </row>
    <row r="1904" spans="1:10" ht="14.4" x14ac:dyDescent="0.3">
      <c r="A1904" s="3"/>
      <c r="E1904" s="3">
        <v>154.87</v>
      </c>
      <c r="F1904" s="3">
        <v>-1.47</v>
      </c>
      <c r="G1904" s="3">
        <v>-37.659999999999997</v>
      </c>
      <c r="H1904" s="3">
        <v>2.09</v>
      </c>
      <c r="I1904" s="3">
        <v>55.48</v>
      </c>
      <c r="J1904" s="3">
        <v>17.829999999999998</v>
      </c>
    </row>
    <row r="1905" spans="1:10" ht="14.4" x14ac:dyDescent="0.3">
      <c r="A1905" s="3"/>
      <c r="E1905" s="3">
        <v>238.05</v>
      </c>
      <c r="F1905" s="3">
        <v>-24.92</v>
      </c>
      <c r="G1905" s="3">
        <v>-72.77</v>
      </c>
      <c r="H1905" s="3">
        <v>-0.05</v>
      </c>
      <c r="I1905" s="3">
        <v>122.52</v>
      </c>
      <c r="J1905" s="3">
        <v>-26.15</v>
      </c>
    </row>
    <row r="1906" spans="1:10" ht="14.4" x14ac:dyDescent="0.3">
      <c r="A1906" s="3"/>
      <c r="E1906" s="3">
        <v>136.47999999999999</v>
      </c>
      <c r="F1906" s="3">
        <v>-34.619999999999997</v>
      </c>
      <c r="G1906" s="3">
        <v>-39.08</v>
      </c>
      <c r="H1906" s="3">
        <v>1.63</v>
      </c>
      <c r="I1906" s="3">
        <v>56.62</v>
      </c>
      <c r="J1906" s="3">
        <v>-38.770000000000003</v>
      </c>
    </row>
    <row r="1907" spans="1:10" ht="14.4" x14ac:dyDescent="0.3">
      <c r="A1907" s="3"/>
      <c r="E1907" s="3">
        <v>219.65</v>
      </c>
      <c r="F1907" s="3">
        <v>-58.07</v>
      </c>
      <c r="G1907" s="3">
        <v>-74.19</v>
      </c>
      <c r="H1907" s="3">
        <v>-0.51</v>
      </c>
      <c r="I1907" s="3">
        <v>123.66</v>
      </c>
      <c r="J1907" s="3">
        <v>-82.75</v>
      </c>
    </row>
    <row r="1908" spans="1:10" ht="14.4" x14ac:dyDescent="0.3">
      <c r="A1908" s="3"/>
      <c r="E1908" s="3">
        <v>236.09</v>
      </c>
      <c r="F1908" s="3">
        <v>23.85</v>
      </c>
      <c r="G1908" s="3">
        <v>-56.73</v>
      </c>
      <c r="H1908" s="3">
        <v>1.98</v>
      </c>
      <c r="I1908" s="3">
        <v>92.01</v>
      </c>
      <c r="J1908" s="3">
        <v>62.19</v>
      </c>
    </row>
    <row r="1909" spans="1:10" ht="14.4" x14ac:dyDescent="0.3">
      <c r="A1909" s="3"/>
      <c r="E1909" s="3">
        <v>85.88</v>
      </c>
      <c r="F1909" s="3">
        <v>-72.36</v>
      </c>
      <c r="G1909" s="3">
        <v>-37.04</v>
      </c>
      <c r="H1909" s="3">
        <v>0.15</v>
      </c>
      <c r="I1909" s="3">
        <v>54.09</v>
      </c>
      <c r="J1909" s="3">
        <v>-109.26</v>
      </c>
    </row>
    <row r="1910" spans="1:10" ht="14.4" x14ac:dyDescent="0.3">
      <c r="A1910" s="3"/>
      <c r="E1910" s="3">
        <v>288.64</v>
      </c>
      <c r="F1910" s="3">
        <v>12.81</v>
      </c>
      <c r="G1910" s="3">
        <v>-74.81</v>
      </c>
      <c r="H1910" s="3">
        <v>1.42</v>
      </c>
      <c r="I1910" s="3">
        <v>125.05</v>
      </c>
      <c r="J1910" s="3">
        <v>44.34</v>
      </c>
    </row>
    <row r="1911" spans="1:10" ht="14.4" x14ac:dyDescent="0.3">
      <c r="A1911" s="3"/>
      <c r="E1911" s="3">
        <v>138.43</v>
      </c>
      <c r="F1911" s="3">
        <v>-83.39</v>
      </c>
      <c r="G1911" s="3">
        <v>-55.12</v>
      </c>
      <c r="H1911" s="3">
        <v>-0.4</v>
      </c>
      <c r="I1911" s="3">
        <v>87.14</v>
      </c>
      <c r="J1911" s="3">
        <v>-127.11</v>
      </c>
    </row>
    <row r="1912" spans="1:10" ht="14.4" x14ac:dyDescent="0.3">
      <c r="A1912" s="3"/>
      <c r="E1912" s="3">
        <v>236.09</v>
      </c>
      <c r="F1912" s="3">
        <v>23.85</v>
      </c>
      <c r="G1912" s="3">
        <v>-56.73</v>
      </c>
      <c r="H1912" s="3">
        <v>1.98</v>
      </c>
      <c r="I1912" s="3">
        <v>92.01</v>
      </c>
      <c r="J1912" s="3">
        <v>62.19</v>
      </c>
    </row>
    <row r="1913" spans="1:10" ht="14.4" x14ac:dyDescent="0.3">
      <c r="A1913" s="3"/>
      <c r="E1913" s="3">
        <v>85.88</v>
      </c>
      <c r="F1913" s="3">
        <v>-72.36</v>
      </c>
      <c r="G1913" s="3">
        <v>-37.04</v>
      </c>
      <c r="H1913" s="3">
        <v>0.15</v>
      </c>
      <c r="I1913" s="3">
        <v>54.09</v>
      </c>
      <c r="J1913" s="3">
        <v>-109.26</v>
      </c>
    </row>
    <row r="1914" spans="1:10" ht="14.4" x14ac:dyDescent="0.3">
      <c r="A1914" s="3"/>
      <c r="E1914" s="3">
        <v>288.64</v>
      </c>
      <c r="F1914" s="3">
        <v>12.81</v>
      </c>
      <c r="G1914" s="3">
        <v>-74.81</v>
      </c>
      <c r="H1914" s="3">
        <v>1.42</v>
      </c>
      <c r="I1914" s="3">
        <v>125.05</v>
      </c>
      <c r="J1914" s="3">
        <v>44.34</v>
      </c>
    </row>
    <row r="1915" spans="1:10" ht="14.4" x14ac:dyDescent="0.3">
      <c r="A1915" s="3"/>
      <c r="E1915" s="3">
        <v>138.43</v>
      </c>
      <c r="F1915" s="3">
        <v>-83.39</v>
      </c>
      <c r="G1915" s="3">
        <v>-55.12</v>
      </c>
      <c r="H1915" s="3">
        <v>-0.4</v>
      </c>
      <c r="I1915" s="3">
        <v>87.14</v>
      </c>
      <c r="J1915" s="3">
        <v>-127.11</v>
      </c>
    </row>
    <row r="1916" spans="1:10" ht="14.4" x14ac:dyDescent="0.3">
      <c r="A1916" s="3"/>
      <c r="E1916" s="3">
        <v>329.42</v>
      </c>
      <c r="F1916" s="3">
        <v>16.100000000000001</v>
      </c>
      <c r="G1916" s="3">
        <v>-36.020000000000003</v>
      </c>
      <c r="H1916" s="3">
        <v>2.72</v>
      </c>
      <c r="I1916" s="3">
        <v>52.94</v>
      </c>
      <c r="J1916" s="3">
        <v>48.36</v>
      </c>
    </row>
    <row r="1917" spans="1:10" ht="14.4" x14ac:dyDescent="0.3">
      <c r="A1917" s="3"/>
      <c r="E1917" s="3">
        <v>68.12</v>
      </c>
      <c r="F1917" s="3">
        <v>-34.32</v>
      </c>
      <c r="G1917" s="3">
        <v>-72.069999999999993</v>
      </c>
      <c r="H1917" s="3">
        <v>-0.09</v>
      </c>
      <c r="I1917" s="3">
        <v>120.34</v>
      </c>
      <c r="J1917" s="3">
        <v>-42.88</v>
      </c>
    </row>
    <row r="1918" spans="1:10" ht="14.4" x14ac:dyDescent="0.3">
      <c r="A1918" s="3"/>
      <c r="E1918" s="3">
        <v>306.39999999999998</v>
      </c>
      <c r="F1918" s="3">
        <v>-25.22</v>
      </c>
      <c r="G1918" s="3">
        <v>-39.79</v>
      </c>
      <c r="H1918" s="3">
        <v>1.67</v>
      </c>
      <c r="I1918" s="3">
        <v>58.8</v>
      </c>
      <c r="J1918" s="3">
        <v>-22.04</v>
      </c>
    </row>
    <row r="1919" spans="1:10" ht="14.4" x14ac:dyDescent="0.3">
      <c r="A1919" s="3"/>
      <c r="E1919" s="3">
        <v>45.1</v>
      </c>
      <c r="F1919" s="3">
        <v>-75.650000000000006</v>
      </c>
      <c r="G1919" s="3">
        <v>-75.84</v>
      </c>
      <c r="H1919" s="3">
        <v>-1.1399999999999999</v>
      </c>
      <c r="I1919" s="3">
        <v>126.21</v>
      </c>
      <c r="J1919" s="3">
        <v>-113.28</v>
      </c>
    </row>
    <row r="1920" spans="1:10" ht="14.4" x14ac:dyDescent="0.3">
      <c r="A1920" s="3"/>
      <c r="E1920" s="3">
        <v>296.06</v>
      </c>
      <c r="F1920" s="3">
        <v>41.4</v>
      </c>
      <c r="G1920" s="3">
        <v>-52.72</v>
      </c>
      <c r="H1920" s="3">
        <v>3.06</v>
      </c>
      <c r="I1920" s="3">
        <v>84.18</v>
      </c>
      <c r="J1920" s="3">
        <v>92.08</v>
      </c>
    </row>
    <row r="1921" spans="1:10" ht="14.4" x14ac:dyDescent="0.3">
      <c r="A1921" s="3"/>
      <c r="E1921" s="3">
        <v>130.63</v>
      </c>
      <c r="F1921" s="3">
        <v>-81.709999999999994</v>
      </c>
      <c r="G1921" s="3">
        <v>-40.770000000000003</v>
      </c>
      <c r="H1921" s="3">
        <v>-0.72</v>
      </c>
      <c r="I1921" s="3">
        <v>61.8</v>
      </c>
      <c r="J1921" s="3">
        <v>-124.78</v>
      </c>
    </row>
    <row r="1922" spans="1:10" ht="14.4" x14ac:dyDescent="0.3">
      <c r="A1922" s="3"/>
      <c r="E1922" s="3">
        <v>243.89</v>
      </c>
      <c r="F1922" s="3">
        <v>22.16</v>
      </c>
      <c r="G1922" s="3">
        <v>-71.09</v>
      </c>
      <c r="H1922" s="3">
        <v>2.2999999999999998</v>
      </c>
      <c r="I1922" s="3">
        <v>117.34</v>
      </c>
      <c r="J1922" s="3">
        <v>59.86</v>
      </c>
    </row>
    <row r="1923" spans="1:10" ht="14.4" x14ac:dyDescent="0.3">
      <c r="A1923" s="3"/>
      <c r="E1923" s="3">
        <v>154.19999999999999</v>
      </c>
      <c r="F1923" s="3">
        <v>35</v>
      </c>
      <c r="G1923" s="3">
        <v>-46.74</v>
      </c>
      <c r="H1923" s="3">
        <v>1.99</v>
      </c>
      <c r="I1923" s="3">
        <v>75.680000000000007</v>
      </c>
      <c r="J1923" s="3">
        <v>74.59</v>
      </c>
    </row>
    <row r="1924" spans="1:10" ht="14.4" x14ac:dyDescent="0.3">
      <c r="A1924" s="3"/>
      <c r="E1924" s="3">
        <v>54.81</v>
      </c>
      <c r="F1924" s="3">
        <v>2.12</v>
      </c>
      <c r="G1924" s="3">
        <v>-5.93</v>
      </c>
      <c r="H1924" s="3">
        <v>3.05</v>
      </c>
      <c r="I1924" s="3">
        <v>-3.76</v>
      </c>
      <c r="J1924" s="3">
        <v>23.26</v>
      </c>
    </row>
    <row r="1925" spans="1:10" ht="14.4" x14ac:dyDescent="0.3">
      <c r="A1925" s="3"/>
      <c r="E1925" s="3">
        <v>442.03</v>
      </c>
      <c r="F1925" s="3">
        <v>-79.180000000000007</v>
      </c>
      <c r="G1925" s="3">
        <v>-139.13</v>
      </c>
      <c r="H1925" s="3">
        <v>-1.04</v>
      </c>
      <c r="I1925" s="3">
        <v>239.72</v>
      </c>
      <c r="J1925" s="3">
        <v>-108.26</v>
      </c>
    </row>
    <row r="1926" spans="1:10" ht="14.4" x14ac:dyDescent="0.3">
      <c r="A1926" s="3"/>
      <c r="E1926" s="3">
        <v>316.2</v>
      </c>
      <c r="F1926" s="3">
        <v>83.61</v>
      </c>
      <c r="G1926" s="3">
        <v>-67.31</v>
      </c>
      <c r="H1926" s="3">
        <v>2.69</v>
      </c>
      <c r="I1926" s="3">
        <v>113.78</v>
      </c>
      <c r="J1926" s="3">
        <v>166.01</v>
      </c>
    </row>
    <row r="1927" spans="1:10" ht="14.4" x14ac:dyDescent="0.3">
      <c r="A1927" s="3"/>
      <c r="E1927" s="3">
        <v>180.63</v>
      </c>
      <c r="F1927" s="3">
        <v>-160.66</v>
      </c>
      <c r="G1927" s="3">
        <v>-77.75</v>
      </c>
      <c r="H1927" s="3">
        <v>-0.69</v>
      </c>
      <c r="I1927" s="3">
        <v>122.17</v>
      </c>
      <c r="J1927" s="3">
        <v>-251.02</v>
      </c>
    </row>
    <row r="1928" spans="1:10" ht="14.4" x14ac:dyDescent="0.3">
      <c r="A1928" s="3"/>
      <c r="E1928" s="3">
        <v>54.81</v>
      </c>
      <c r="F1928" s="3">
        <v>2.12</v>
      </c>
      <c r="G1928" s="3">
        <v>-5.93</v>
      </c>
      <c r="H1928" s="3">
        <v>3.05</v>
      </c>
      <c r="I1928" s="3">
        <v>-3.76</v>
      </c>
      <c r="J1928" s="3">
        <v>23.26</v>
      </c>
    </row>
    <row r="1929" spans="1:10" ht="14.4" x14ac:dyDescent="0.3">
      <c r="A1929" s="3"/>
      <c r="E1929" s="3">
        <v>442.03</v>
      </c>
      <c r="F1929" s="3">
        <v>-79.180000000000007</v>
      </c>
      <c r="G1929" s="3">
        <v>-139.13</v>
      </c>
      <c r="H1929" s="3">
        <v>-1.04</v>
      </c>
      <c r="I1929" s="3">
        <v>239.72</v>
      </c>
      <c r="J1929" s="3">
        <v>-108.26</v>
      </c>
    </row>
    <row r="1930" spans="1:10" ht="14.4" x14ac:dyDescent="0.3">
      <c r="A1930" s="3"/>
      <c r="E1930" s="3">
        <v>316.2</v>
      </c>
      <c r="F1930" s="3">
        <v>83.61</v>
      </c>
      <c r="G1930" s="3">
        <v>-67.31</v>
      </c>
      <c r="H1930" s="3">
        <v>2.69</v>
      </c>
      <c r="I1930" s="3">
        <v>113.78</v>
      </c>
      <c r="J1930" s="3">
        <v>166.01</v>
      </c>
    </row>
    <row r="1931" spans="1:10" ht="14.4" x14ac:dyDescent="0.3">
      <c r="A1931" s="3"/>
      <c r="E1931" s="3">
        <v>180.63</v>
      </c>
      <c r="F1931" s="3">
        <v>-160.66</v>
      </c>
      <c r="G1931" s="3">
        <v>-77.75</v>
      </c>
      <c r="H1931" s="3">
        <v>-0.69</v>
      </c>
      <c r="I1931" s="3">
        <v>122.17</v>
      </c>
      <c r="J1931" s="3">
        <v>-251.02</v>
      </c>
    </row>
    <row r="1932" spans="1:10" ht="14.4" x14ac:dyDescent="0.3">
      <c r="A1932" s="3"/>
      <c r="E1932" s="3">
        <v>-10.14</v>
      </c>
      <c r="F1932" s="3">
        <v>14.39</v>
      </c>
      <c r="G1932" s="3">
        <v>16.79</v>
      </c>
      <c r="H1932" s="3">
        <v>2.68</v>
      </c>
      <c r="I1932" s="3">
        <v>-36.53</v>
      </c>
      <c r="J1932" s="3">
        <v>35.630000000000003</v>
      </c>
    </row>
    <row r="1933" spans="1:10" ht="14.4" x14ac:dyDescent="0.3">
      <c r="A1933" s="3"/>
      <c r="E1933" s="3">
        <v>377.08</v>
      </c>
      <c r="F1933" s="3">
        <v>-66.91</v>
      </c>
      <c r="G1933" s="3">
        <v>-116.41</v>
      </c>
      <c r="H1933" s="3">
        <v>-1.4</v>
      </c>
      <c r="I1933" s="3">
        <v>206.95</v>
      </c>
      <c r="J1933" s="3">
        <v>-95.88</v>
      </c>
    </row>
    <row r="1934" spans="1:10" ht="14.4" x14ac:dyDescent="0.3">
      <c r="A1934" s="3"/>
      <c r="E1934" s="3">
        <v>251.25</v>
      </c>
      <c r="F1934" s="3">
        <v>95.87</v>
      </c>
      <c r="G1934" s="3">
        <v>-44.59</v>
      </c>
      <c r="H1934" s="3">
        <v>2.33</v>
      </c>
      <c r="I1934" s="3">
        <v>81.02</v>
      </c>
      <c r="J1934" s="3">
        <v>178.39</v>
      </c>
    </row>
    <row r="1935" spans="1:10" ht="14.4" x14ac:dyDescent="0.3">
      <c r="A1935" s="3"/>
      <c r="E1935" s="3">
        <v>115.68</v>
      </c>
      <c r="F1935" s="3">
        <v>-148.38999999999999</v>
      </c>
      <c r="G1935" s="3">
        <v>-55.04</v>
      </c>
      <c r="H1935" s="3">
        <v>-1.05</v>
      </c>
      <c r="I1935" s="3">
        <v>89.41</v>
      </c>
      <c r="J1935" s="3">
        <v>-238.64</v>
      </c>
    </row>
    <row r="1936" spans="1:10" ht="14.4" x14ac:dyDescent="0.3">
      <c r="A1936" s="3"/>
      <c r="E1936" s="3">
        <v>-10.14</v>
      </c>
      <c r="F1936" s="3">
        <v>14.39</v>
      </c>
      <c r="G1936" s="3">
        <v>16.79</v>
      </c>
      <c r="H1936" s="3">
        <v>2.68</v>
      </c>
      <c r="I1936" s="3">
        <v>-36.53</v>
      </c>
      <c r="J1936" s="3">
        <v>35.630000000000003</v>
      </c>
    </row>
    <row r="1937" spans="1:10" ht="14.4" x14ac:dyDescent="0.3">
      <c r="A1937" s="3"/>
      <c r="E1937" s="3">
        <v>377.08</v>
      </c>
      <c r="F1937" s="3">
        <v>-66.91</v>
      </c>
      <c r="G1937" s="3">
        <v>-116.41</v>
      </c>
      <c r="H1937" s="3">
        <v>-1.4</v>
      </c>
      <c r="I1937" s="3">
        <v>206.95</v>
      </c>
      <c r="J1937" s="3">
        <v>-95.88</v>
      </c>
    </row>
    <row r="1938" spans="1:10" ht="14.4" x14ac:dyDescent="0.3">
      <c r="A1938" s="3"/>
      <c r="E1938" s="3">
        <v>251.25</v>
      </c>
      <c r="F1938" s="3">
        <v>95.87</v>
      </c>
      <c r="G1938" s="3">
        <v>-44.59</v>
      </c>
      <c r="H1938" s="3">
        <v>2.33</v>
      </c>
      <c r="I1938" s="3">
        <v>81.02</v>
      </c>
      <c r="J1938" s="3">
        <v>178.39</v>
      </c>
    </row>
    <row r="1939" spans="1:10" ht="14.4" x14ac:dyDescent="0.3">
      <c r="A1939" s="3"/>
      <c r="E1939" s="3">
        <v>115.68</v>
      </c>
      <c r="F1939" s="3">
        <v>-148.38999999999999</v>
      </c>
      <c r="G1939" s="3">
        <v>-55.04</v>
      </c>
      <c r="H1939" s="3">
        <v>-1.05</v>
      </c>
      <c r="I1939" s="3">
        <v>89.41</v>
      </c>
      <c r="J1939" s="3">
        <v>-238.64</v>
      </c>
    </row>
    <row r="1940" spans="1:10" ht="14.4" x14ac:dyDescent="0.3">
      <c r="A1940" s="3"/>
      <c r="E1940" s="3">
        <v>293.32</v>
      </c>
      <c r="F1940" s="3">
        <v>-40.85</v>
      </c>
      <c r="G1940" s="3">
        <v>-77.489999999999995</v>
      </c>
      <c r="H1940" s="3">
        <v>1</v>
      </c>
      <c r="I1940" s="3">
        <v>55.07</v>
      </c>
      <c r="J1940" s="3">
        <v>-6</v>
      </c>
    </row>
    <row r="1941" spans="1:10" ht="14.4" x14ac:dyDescent="0.3">
      <c r="A1941" s="3"/>
      <c r="E1941" s="3">
        <v>260.93</v>
      </c>
      <c r="F1941" s="3">
        <v>-42.34</v>
      </c>
      <c r="G1941" s="3">
        <v>-77.03</v>
      </c>
      <c r="H1941" s="3">
        <v>1.0900000000000001</v>
      </c>
      <c r="I1941" s="3">
        <v>44.42</v>
      </c>
      <c r="J1941" s="3">
        <v>-4.21</v>
      </c>
    </row>
    <row r="1942" spans="1:10" ht="14.4" x14ac:dyDescent="0.3">
      <c r="A1942" s="3"/>
      <c r="E1942" s="3">
        <v>306.08</v>
      </c>
      <c r="F1942" s="3">
        <v>-51.37</v>
      </c>
      <c r="G1942" s="3">
        <v>-90.14</v>
      </c>
      <c r="H1942" s="3">
        <v>1.25</v>
      </c>
      <c r="I1942" s="3">
        <v>51.09</v>
      </c>
      <c r="J1942" s="3">
        <v>-6.38</v>
      </c>
    </row>
    <row r="1943" spans="1:10" ht="14.4" x14ac:dyDescent="0.3">
      <c r="A1943" s="3"/>
      <c r="E1943" s="3">
        <v>258.2</v>
      </c>
      <c r="F1943" s="3">
        <v>-39.74</v>
      </c>
      <c r="G1943" s="3">
        <v>-73.23</v>
      </c>
      <c r="H1943" s="3">
        <v>1.01</v>
      </c>
      <c r="I1943" s="3">
        <v>45.98</v>
      </c>
      <c r="J1943" s="3">
        <v>-4.71</v>
      </c>
    </row>
    <row r="1944" spans="1:10" ht="14.4" x14ac:dyDescent="0.3">
      <c r="A1944" s="3"/>
      <c r="E1944" s="3">
        <v>402.68</v>
      </c>
      <c r="F1944" s="3">
        <v>-68.61</v>
      </c>
      <c r="G1944" s="3">
        <v>-115.19</v>
      </c>
      <c r="H1944" s="3">
        <v>1.54</v>
      </c>
      <c r="I1944" s="3">
        <v>67.319999999999993</v>
      </c>
      <c r="J1944" s="3">
        <v>-11.66</v>
      </c>
    </row>
    <row r="1945" spans="1:10" ht="14.4" x14ac:dyDescent="0.3">
      <c r="A1945" s="3"/>
      <c r="E1945" s="3">
        <v>251.4</v>
      </c>
      <c r="F1945" s="3">
        <v>-33.67</v>
      </c>
      <c r="G1945" s="3">
        <v>-66.959999999999994</v>
      </c>
      <c r="H1945" s="3">
        <v>0.98</v>
      </c>
      <c r="I1945" s="3">
        <v>46.98</v>
      </c>
      <c r="J1945" s="3">
        <v>-4.03</v>
      </c>
    </row>
    <row r="1946" spans="1:10" ht="14.4" x14ac:dyDescent="0.3">
      <c r="A1946" s="3"/>
      <c r="E1946" s="3">
        <v>255.98</v>
      </c>
      <c r="F1946" s="3">
        <v>-31.62</v>
      </c>
      <c r="G1946" s="3">
        <v>-67.489999999999995</v>
      </c>
      <c r="H1946" s="3">
        <v>0.99</v>
      </c>
      <c r="I1946" s="3">
        <v>47.6</v>
      </c>
      <c r="J1946" s="3">
        <v>-2.57</v>
      </c>
    </row>
    <row r="1947" spans="1:10" ht="14.4" x14ac:dyDescent="0.3">
      <c r="A1947" s="3"/>
      <c r="E1947" s="3">
        <v>256.83</v>
      </c>
      <c r="F1947" s="3">
        <v>-35.18</v>
      </c>
      <c r="G1947" s="3">
        <v>-67.39</v>
      </c>
      <c r="H1947" s="3">
        <v>0.84</v>
      </c>
      <c r="I1947" s="3">
        <v>48.18</v>
      </c>
      <c r="J1947" s="3">
        <v>-5.19</v>
      </c>
    </row>
    <row r="1948" spans="1:10" ht="14.4" x14ac:dyDescent="0.3">
      <c r="A1948" s="3"/>
      <c r="E1948" s="3">
        <v>254.64</v>
      </c>
      <c r="F1948" s="3">
        <v>-36.619999999999997</v>
      </c>
      <c r="G1948" s="3">
        <v>-66.98</v>
      </c>
      <c r="H1948" s="3">
        <v>0.82</v>
      </c>
      <c r="I1948" s="3">
        <v>47.88</v>
      </c>
      <c r="J1948" s="3">
        <v>-6.25</v>
      </c>
    </row>
    <row r="1949" spans="1:10" ht="14.4" x14ac:dyDescent="0.3">
      <c r="A1949" s="3"/>
      <c r="E1949" s="3">
        <v>256.91000000000003</v>
      </c>
      <c r="F1949" s="3">
        <v>-35.96</v>
      </c>
      <c r="G1949" s="3">
        <v>-67.5</v>
      </c>
      <c r="H1949" s="3">
        <v>0.87</v>
      </c>
      <c r="I1949" s="3">
        <v>48.33</v>
      </c>
      <c r="J1949" s="3">
        <v>-5.69</v>
      </c>
    </row>
    <row r="1950" spans="1:10" ht="14.4" x14ac:dyDescent="0.3">
      <c r="A1950" s="3"/>
      <c r="E1950" s="3">
        <v>255.09</v>
      </c>
      <c r="F1950" s="3">
        <v>-38.58</v>
      </c>
      <c r="G1950" s="3">
        <v>-67.55</v>
      </c>
      <c r="H1950" s="3">
        <v>0.81</v>
      </c>
      <c r="I1950" s="3">
        <v>48.35</v>
      </c>
      <c r="J1950" s="3">
        <v>-7.68</v>
      </c>
    </row>
    <row r="1951" spans="1:10" ht="14.4" x14ac:dyDescent="0.3">
      <c r="A1951" s="3"/>
      <c r="E1951" s="3">
        <v>251.49</v>
      </c>
      <c r="F1951" s="3">
        <v>-38.68</v>
      </c>
      <c r="G1951" s="3">
        <v>-66.97</v>
      </c>
      <c r="H1951" s="3">
        <v>0.84</v>
      </c>
      <c r="I1951" s="3">
        <v>47.51</v>
      </c>
      <c r="J1951" s="3">
        <v>-7.58</v>
      </c>
    </row>
    <row r="1952" spans="1:10" ht="14.4" x14ac:dyDescent="0.3">
      <c r="A1952" s="3"/>
      <c r="E1952" s="3">
        <v>254.87</v>
      </c>
      <c r="F1952" s="3">
        <v>-40.79</v>
      </c>
      <c r="G1952" s="3">
        <v>-67.17</v>
      </c>
      <c r="H1952" s="3">
        <v>0.73</v>
      </c>
      <c r="I1952" s="3">
        <v>48.49</v>
      </c>
      <c r="J1952" s="3">
        <v>-9.41</v>
      </c>
    </row>
    <row r="1953" spans="1:10" ht="14.4" x14ac:dyDescent="0.3">
      <c r="A1953" s="3"/>
      <c r="E1953" s="3">
        <v>257.39999999999998</v>
      </c>
      <c r="F1953" s="3">
        <v>-38.78</v>
      </c>
      <c r="G1953" s="3">
        <v>-67.260000000000005</v>
      </c>
      <c r="H1953" s="3">
        <v>0.75</v>
      </c>
      <c r="I1953" s="3">
        <v>48.49</v>
      </c>
      <c r="J1953" s="3">
        <v>-7.73</v>
      </c>
    </row>
    <row r="1954" spans="1:10" ht="14.4" x14ac:dyDescent="0.3">
      <c r="A1954" s="3"/>
      <c r="E1954" s="3">
        <v>252.83</v>
      </c>
      <c r="F1954" s="3">
        <v>-40.840000000000003</v>
      </c>
      <c r="G1954" s="3">
        <v>-66.73</v>
      </c>
      <c r="H1954" s="3">
        <v>0.74</v>
      </c>
      <c r="I1954" s="3">
        <v>47.87</v>
      </c>
      <c r="J1954" s="3">
        <v>-9.1999999999999993</v>
      </c>
    </row>
    <row r="1955" spans="1:10" ht="14.4" x14ac:dyDescent="0.3">
      <c r="A1955" s="3"/>
      <c r="E1955" s="3">
        <v>251.97</v>
      </c>
      <c r="F1955" s="3">
        <v>-37.270000000000003</v>
      </c>
      <c r="G1955" s="3">
        <v>-66.83</v>
      </c>
      <c r="H1955" s="3">
        <v>0.9</v>
      </c>
      <c r="I1955" s="3">
        <v>47.29</v>
      </c>
      <c r="J1955" s="3">
        <v>-6.58</v>
      </c>
    </row>
    <row r="1956" spans="1:10" ht="14.4" x14ac:dyDescent="0.3">
      <c r="A1956" s="3"/>
      <c r="E1956" s="3">
        <v>254.17</v>
      </c>
      <c r="F1956" s="3">
        <v>-35.840000000000003</v>
      </c>
      <c r="G1956" s="3">
        <v>-67.239999999999995</v>
      </c>
      <c r="H1956" s="3">
        <v>0.92</v>
      </c>
      <c r="I1956" s="3">
        <v>47.58</v>
      </c>
      <c r="J1956" s="3">
        <v>-5.51</v>
      </c>
    </row>
    <row r="1957" spans="1:10" ht="14.4" x14ac:dyDescent="0.3">
      <c r="A1957" s="3"/>
      <c r="E1957" s="3">
        <v>251.89</v>
      </c>
      <c r="F1957" s="3">
        <v>-36.49</v>
      </c>
      <c r="G1957" s="3">
        <v>-66.72</v>
      </c>
      <c r="H1957" s="3">
        <v>0.87</v>
      </c>
      <c r="I1957" s="3">
        <v>47.13</v>
      </c>
      <c r="J1957" s="3">
        <v>-6.08</v>
      </c>
    </row>
    <row r="1958" spans="1:10" ht="14.4" x14ac:dyDescent="0.3">
      <c r="A1958" s="3"/>
      <c r="E1958" s="3">
        <v>253.71</v>
      </c>
      <c r="F1958" s="3">
        <v>-33.869999999999997</v>
      </c>
      <c r="G1958" s="3">
        <v>-66.67</v>
      </c>
      <c r="H1958" s="3">
        <v>0.92</v>
      </c>
      <c r="I1958" s="3">
        <v>47.12</v>
      </c>
      <c r="J1958" s="3">
        <v>-4.09</v>
      </c>
    </row>
    <row r="1959" spans="1:10" ht="14.4" x14ac:dyDescent="0.3">
      <c r="A1959" s="3"/>
      <c r="E1959" s="3">
        <v>257.32</v>
      </c>
      <c r="F1959" s="3">
        <v>-33.770000000000003</v>
      </c>
      <c r="G1959" s="3">
        <v>-67.25</v>
      </c>
      <c r="H1959" s="3">
        <v>0.89</v>
      </c>
      <c r="I1959" s="3">
        <v>47.95</v>
      </c>
      <c r="J1959" s="3">
        <v>-4.18</v>
      </c>
    </row>
    <row r="1960" spans="1:10" ht="14.4" x14ac:dyDescent="0.3">
      <c r="A1960" s="3"/>
      <c r="E1960" s="3">
        <v>253.93</v>
      </c>
      <c r="F1960" s="3">
        <v>-31.67</v>
      </c>
      <c r="G1960" s="3">
        <v>-67.05</v>
      </c>
      <c r="H1960" s="3">
        <v>1</v>
      </c>
      <c r="I1960" s="3">
        <v>46.98</v>
      </c>
      <c r="J1960" s="3">
        <v>-2.36</v>
      </c>
    </row>
    <row r="1961" spans="1:10" ht="14.4" x14ac:dyDescent="0.3">
      <c r="A1961" s="3"/>
      <c r="E1961" s="3">
        <v>395.89</v>
      </c>
      <c r="F1961" s="3">
        <v>-62.55</v>
      </c>
      <c r="G1961" s="3">
        <v>-108.92</v>
      </c>
      <c r="H1961" s="3">
        <v>1.51</v>
      </c>
      <c r="I1961" s="3">
        <v>68.319999999999993</v>
      </c>
      <c r="J1961" s="3">
        <v>-10.98</v>
      </c>
    </row>
    <row r="1962" spans="1:10" ht="14.4" x14ac:dyDescent="0.3">
      <c r="A1962" s="3"/>
      <c r="E1962" s="3">
        <v>400.46</v>
      </c>
      <c r="F1962" s="3">
        <v>-60.49</v>
      </c>
      <c r="G1962" s="3">
        <v>-109.46</v>
      </c>
      <c r="H1962" s="3">
        <v>1.52</v>
      </c>
      <c r="I1962" s="3">
        <v>68.94</v>
      </c>
      <c r="J1962" s="3">
        <v>-9.52</v>
      </c>
    </row>
    <row r="1963" spans="1:10" ht="14.4" x14ac:dyDescent="0.3">
      <c r="A1963" s="3"/>
      <c r="E1963" s="3">
        <v>401.31</v>
      </c>
      <c r="F1963" s="3">
        <v>-64.06</v>
      </c>
      <c r="G1963" s="3">
        <v>-109.36</v>
      </c>
      <c r="H1963" s="3">
        <v>1.36</v>
      </c>
      <c r="I1963" s="3">
        <v>69.52</v>
      </c>
      <c r="J1963" s="3">
        <v>-12.14</v>
      </c>
    </row>
    <row r="1964" spans="1:10" ht="14.4" x14ac:dyDescent="0.3">
      <c r="A1964" s="3"/>
      <c r="E1964" s="3">
        <v>399.12</v>
      </c>
      <c r="F1964" s="3">
        <v>-65.489999999999995</v>
      </c>
      <c r="G1964" s="3">
        <v>-108.95</v>
      </c>
      <c r="H1964" s="3">
        <v>1.35</v>
      </c>
      <c r="I1964" s="3">
        <v>69.23</v>
      </c>
      <c r="J1964" s="3">
        <v>-13.2</v>
      </c>
    </row>
    <row r="1965" spans="1:10" ht="14.4" x14ac:dyDescent="0.3">
      <c r="A1965" s="3"/>
      <c r="E1965" s="3">
        <v>401.4</v>
      </c>
      <c r="F1965" s="3">
        <v>-64.84</v>
      </c>
      <c r="G1965" s="3">
        <v>-109.47</v>
      </c>
      <c r="H1965" s="3">
        <v>1.4</v>
      </c>
      <c r="I1965" s="3">
        <v>69.680000000000007</v>
      </c>
      <c r="J1965" s="3">
        <v>-12.64</v>
      </c>
    </row>
    <row r="1966" spans="1:10" ht="14.4" x14ac:dyDescent="0.3">
      <c r="A1966" s="3"/>
      <c r="E1966" s="3">
        <v>399.58</v>
      </c>
      <c r="F1966" s="3">
        <v>-67.459999999999994</v>
      </c>
      <c r="G1966" s="3">
        <v>-109.52</v>
      </c>
      <c r="H1966" s="3">
        <v>1.34</v>
      </c>
      <c r="I1966" s="3">
        <v>69.69</v>
      </c>
      <c r="J1966" s="3">
        <v>-14.63</v>
      </c>
    </row>
    <row r="1967" spans="1:10" ht="14.4" x14ac:dyDescent="0.3">
      <c r="A1967" s="3"/>
      <c r="E1967" s="3">
        <v>395.97</v>
      </c>
      <c r="F1967" s="3">
        <v>-67.56</v>
      </c>
      <c r="G1967" s="3">
        <v>-108.94</v>
      </c>
      <c r="H1967" s="3">
        <v>1.37</v>
      </c>
      <c r="I1967" s="3">
        <v>68.86</v>
      </c>
      <c r="J1967" s="3">
        <v>-14.53</v>
      </c>
    </row>
    <row r="1968" spans="1:10" ht="14.4" x14ac:dyDescent="0.3">
      <c r="A1968" s="3"/>
      <c r="E1968" s="3">
        <v>399.36</v>
      </c>
      <c r="F1968" s="3">
        <v>-69.66</v>
      </c>
      <c r="G1968" s="3">
        <v>-109.14</v>
      </c>
      <c r="H1968" s="3">
        <v>1.26</v>
      </c>
      <c r="I1968" s="3">
        <v>69.83</v>
      </c>
      <c r="J1968" s="3">
        <v>-16.36</v>
      </c>
    </row>
    <row r="1969" spans="1:10" ht="14.4" x14ac:dyDescent="0.3">
      <c r="A1969" s="3"/>
      <c r="E1969" s="3">
        <v>401.88</v>
      </c>
      <c r="F1969" s="3">
        <v>-67.66</v>
      </c>
      <c r="G1969" s="3">
        <v>-109.23</v>
      </c>
      <c r="H1969" s="3">
        <v>1.28</v>
      </c>
      <c r="I1969" s="3">
        <v>69.83</v>
      </c>
      <c r="J1969" s="3">
        <v>-14.68</v>
      </c>
    </row>
    <row r="1970" spans="1:10" ht="14.4" x14ac:dyDescent="0.3">
      <c r="A1970" s="3"/>
      <c r="E1970" s="3">
        <v>397.31</v>
      </c>
      <c r="F1970" s="3">
        <v>-69.709999999999994</v>
      </c>
      <c r="G1970" s="3">
        <v>-108.7</v>
      </c>
      <c r="H1970" s="3">
        <v>1.27</v>
      </c>
      <c r="I1970" s="3">
        <v>69.209999999999994</v>
      </c>
      <c r="J1970" s="3">
        <v>-16.14</v>
      </c>
    </row>
    <row r="1971" spans="1:10" ht="14.4" x14ac:dyDescent="0.3">
      <c r="A1971" s="3"/>
      <c r="E1971" s="3">
        <v>396.46</v>
      </c>
      <c r="F1971" s="3">
        <v>-66.14</v>
      </c>
      <c r="G1971" s="3">
        <v>-108.8</v>
      </c>
      <c r="H1971" s="3">
        <v>1.42</v>
      </c>
      <c r="I1971" s="3">
        <v>68.63</v>
      </c>
      <c r="J1971" s="3">
        <v>-13.53</v>
      </c>
    </row>
    <row r="1972" spans="1:10" ht="14.4" x14ac:dyDescent="0.3">
      <c r="A1972" s="3"/>
      <c r="E1972" s="3">
        <v>398.65</v>
      </c>
      <c r="F1972" s="3">
        <v>-64.709999999999994</v>
      </c>
      <c r="G1972" s="3">
        <v>-109.21</v>
      </c>
      <c r="H1972" s="3">
        <v>1.44</v>
      </c>
      <c r="I1972" s="3">
        <v>68.930000000000007</v>
      </c>
      <c r="J1972" s="3">
        <v>-12.46</v>
      </c>
    </row>
    <row r="1973" spans="1:10" ht="14.4" x14ac:dyDescent="0.3">
      <c r="A1973" s="3"/>
      <c r="E1973" s="3">
        <v>396.37</v>
      </c>
      <c r="F1973" s="3">
        <v>-65.37</v>
      </c>
      <c r="G1973" s="3">
        <v>-108.69</v>
      </c>
      <c r="H1973" s="3">
        <v>1.39</v>
      </c>
      <c r="I1973" s="3">
        <v>68.48</v>
      </c>
      <c r="J1973" s="3">
        <v>-13.03</v>
      </c>
    </row>
    <row r="1974" spans="1:10" ht="14.4" x14ac:dyDescent="0.3">
      <c r="A1974" s="3"/>
      <c r="E1974" s="3">
        <v>398.19</v>
      </c>
      <c r="F1974" s="3">
        <v>-62.75</v>
      </c>
      <c r="G1974" s="3">
        <v>-108.64</v>
      </c>
      <c r="H1974" s="3">
        <v>1.45</v>
      </c>
      <c r="I1974" s="3">
        <v>68.459999999999994</v>
      </c>
      <c r="J1974" s="3">
        <v>-11.04</v>
      </c>
    </row>
    <row r="1975" spans="1:10" ht="14.4" x14ac:dyDescent="0.3">
      <c r="A1975" s="3"/>
      <c r="E1975" s="3">
        <v>401.8</v>
      </c>
      <c r="F1975" s="3">
        <v>-62.65</v>
      </c>
      <c r="G1975" s="3">
        <v>-109.22</v>
      </c>
      <c r="H1975" s="3">
        <v>1.42</v>
      </c>
      <c r="I1975" s="3">
        <v>69.3</v>
      </c>
      <c r="J1975" s="3">
        <v>-11.13</v>
      </c>
    </row>
    <row r="1976" spans="1:10" ht="14.4" x14ac:dyDescent="0.3">
      <c r="A1976" s="3"/>
      <c r="E1976" s="3">
        <v>398.41</v>
      </c>
      <c r="F1976" s="3">
        <v>-60.54</v>
      </c>
      <c r="G1976" s="3">
        <v>-109.02</v>
      </c>
      <c r="H1976" s="3">
        <v>1.53</v>
      </c>
      <c r="I1976" s="3">
        <v>68.319999999999993</v>
      </c>
      <c r="J1976" s="3">
        <v>-9.31</v>
      </c>
    </row>
    <row r="1977" spans="1:10" ht="14.4" x14ac:dyDescent="0.3">
      <c r="A1977" s="3"/>
      <c r="E1977" s="3">
        <v>250.15</v>
      </c>
      <c r="F1977" s="3">
        <v>-33.799999999999997</v>
      </c>
      <c r="G1977" s="3">
        <v>-72.44</v>
      </c>
      <c r="H1977" s="3">
        <v>1.24</v>
      </c>
      <c r="I1977" s="3">
        <v>44.1</v>
      </c>
      <c r="J1977" s="3">
        <v>-0.5</v>
      </c>
    </row>
    <row r="1978" spans="1:10" ht="14.4" x14ac:dyDescent="0.3">
      <c r="A1978" s="3"/>
      <c r="E1978" s="3">
        <v>259.3</v>
      </c>
      <c r="F1978" s="3">
        <v>-29.68</v>
      </c>
      <c r="G1978" s="3">
        <v>-73.5</v>
      </c>
      <c r="H1978" s="3">
        <v>1.25</v>
      </c>
      <c r="I1978" s="3">
        <v>45.34</v>
      </c>
      <c r="J1978" s="3">
        <v>2.42</v>
      </c>
    </row>
    <row r="1979" spans="1:10" ht="14.4" x14ac:dyDescent="0.3">
      <c r="A1979" s="3"/>
      <c r="E1979" s="3">
        <v>261.01</v>
      </c>
      <c r="F1979" s="3">
        <v>-36.82</v>
      </c>
      <c r="G1979" s="3">
        <v>-73.31</v>
      </c>
      <c r="H1979" s="3">
        <v>0.95</v>
      </c>
      <c r="I1979" s="3">
        <v>46.5</v>
      </c>
      <c r="J1979" s="3">
        <v>-2.82</v>
      </c>
    </row>
    <row r="1980" spans="1:10" ht="14.4" x14ac:dyDescent="0.3">
      <c r="A1980" s="3"/>
      <c r="E1980" s="3">
        <v>256.62</v>
      </c>
      <c r="F1980" s="3">
        <v>-39.68</v>
      </c>
      <c r="G1980" s="3">
        <v>-72.489999999999995</v>
      </c>
      <c r="H1980" s="3">
        <v>0.91</v>
      </c>
      <c r="I1980" s="3">
        <v>45.91</v>
      </c>
      <c r="J1980" s="3">
        <v>-4.9400000000000004</v>
      </c>
    </row>
    <row r="1981" spans="1:10" ht="14.4" x14ac:dyDescent="0.3">
      <c r="A1981" s="3"/>
      <c r="E1981" s="3">
        <v>261.17</v>
      </c>
      <c r="F1981" s="3">
        <v>-38.369999999999997</v>
      </c>
      <c r="G1981" s="3">
        <v>-73.53</v>
      </c>
      <c r="H1981" s="3">
        <v>1.01</v>
      </c>
      <c r="I1981" s="3">
        <v>46.81</v>
      </c>
      <c r="J1981" s="3">
        <v>-3.81</v>
      </c>
    </row>
    <row r="1982" spans="1:10" ht="14.4" x14ac:dyDescent="0.3">
      <c r="A1982" s="3"/>
      <c r="E1982" s="3">
        <v>257.52999999999997</v>
      </c>
      <c r="F1982" s="3">
        <v>-43.61</v>
      </c>
      <c r="G1982" s="3">
        <v>-73.63</v>
      </c>
      <c r="H1982" s="3">
        <v>0.89</v>
      </c>
      <c r="I1982" s="3">
        <v>46.84</v>
      </c>
      <c r="J1982" s="3">
        <v>-7.8</v>
      </c>
    </row>
    <row r="1983" spans="1:10" ht="14.4" x14ac:dyDescent="0.3">
      <c r="A1983" s="3"/>
      <c r="E1983" s="3">
        <v>250.32</v>
      </c>
      <c r="F1983" s="3">
        <v>-43.81</v>
      </c>
      <c r="G1983" s="3">
        <v>-72.47</v>
      </c>
      <c r="H1983" s="3">
        <v>0.96</v>
      </c>
      <c r="I1983" s="3">
        <v>45.17</v>
      </c>
      <c r="J1983" s="3">
        <v>-7.6</v>
      </c>
    </row>
    <row r="1984" spans="1:10" ht="14.4" x14ac:dyDescent="0.3">
      <c r="A1984" s="3"/>
      <c r="E1984" s="3">
        <v>257.08999999999997</v>
      </c>
      <c r="F1984" s="3">
        <v>-48.02</v>
      </c>
      <c r="G1984" s="3">
        <v>-72.86</v>
      </c>
      <c r="H1984" s="3">
        <v>0.73</v>
      </c>
      <c r="I1984" s="3">
        <v>47.12</v>
      </c>
      <c r="J1984" s="3">
        <v>-11.26</v>
      </c>
    </row>
    <row r="1985" spans="1:10" ht="14.4" x14ac:dyDescent="0.3">
      <c r="A1985" s="3"/>
      <c r="E1985" s="3">
        <v>262.14999999999998</v>
      </c>
      <c r="F1985" s="3">
        <v>-44.01</v>
      </c>
      <c r="G1985" s="3">
        <v>-73.06</v>
      </c>
      <c r="H1985" s="3">
        <v>0.77</v>
      </c>
      <c r="I1985" s="3">
        <v>47.12</v>
      </c>
      <c r="J1985" s="3">
        <v>-7.91</v>
      </c>
    </row>
    <row r="1986" spans="1:10" ht="14.4" x14ac:dyDescent="0.3">
      <c r="A1986" s="3"/>
      <c r="E1986" s="3">
        <v>253</v>
      </c>
      <c r="F1986" s="3">
        <v>-48.13</v>
      </c>
      <c r="G1986" s="3">
        <v>-71.989999999999995</v>
      </c>
      <c r="H1986" s="3">
        <v>0.76</v>
      </c>
      <c r="I1986" s="3">
        <v>45.88</v>
      </c>
      <c r="J1986" s="3">
        <v>-10.83</v>
      </c>
    </row>
    <row r="1987" spans="1:10" ht="14.4" x14ac:dyDescent="0.3">
      <c r="A1987" s="3"/>
      <c r="E1987" s="3">
        <v>251.29</v>
      </c>
      <c r="F1987" s="3">
        <v>-40.99</v>
      </c>
      <c r="G1987" s="3">
        <v>-72.19</v>
      </c>
      <c r="H1987" s="3">
        <v>1.07</v>
      </c>
      <c r="I1987" s="3">
        <v>44.72</v>
      </c>
      <c r="J1987" s="3">
        <v>-5.59</v>
      </c>
    </row>
    <row r="1988" spans="1:10" ht="14.4" x14ac:dyDescent="0.3">
      <c r="A1988" s="3"/>
      <c r="E1988" s="3">
        <v>255.68</v>
      </c>
      <c r="F1988" s="3">
        <v>-38.130000000000003</v>
      </c>
      <c r="G1988" s="3">
        <v>-73.010000000000005</v>
      </c>
      <c r="H1988" s="3">
        <v>1.1000000000000001</v>
      </c>
      <c r="I1988" s="3">
        <v>45.31</v>
      </c>
      <c r="J1988" s="3">
        <v>-3.47</v>
      </c>
    </row>
    <row r="1989" spans="1:10" ht="14.4" x14ac:dyDescent="0.3">
      <c r="A1989" s="3"/>
      <c r="E1989" s="3">
        <v>251.12</v>
      </c>
      <c r="F1989" s="3">
        <v>-39.44</v>
      </c>
      <c r="G1989" s="3">
        <v>-71.97</v>
      </c>
      <c r="H1989" s="3">
        <v>1</v>
      </c>
      <c r="I1989" s="3">
        <v>44.41</v>
      </c>
      <c r="J1989" s="3">
        <v>-4.5999999999999996</v>
      </c>
    </row>
    <row r="1990" spans="1:10" ht="14.4" x14ac:dyDescent="0.3">
      <c r="A1990" s="3"/>
      <c r="E1990" s="3">
        <v>254.76</v>
      </c>
      <c r="F1990" s="3">
        <v>-34.200000000000003</v>
      </c>
      <c r="G1990" s="3">
        <v>-71.87</v>
      </c>
      <c r="H1990" s="3">
        <v>1.1200000000000001</v>
      </c>
      <c r="I1990" s="3">
        <v>44.38</v>
      </c>
      <c r="J1990" s="3">
        <v>-0.61</v>
      </c>
    </row>
    <row r="1991" spans="1:10" ht="14.4" x14ac:dyDescent="0.3">
      <c r="A1991" s="3"/>
      <c r="E1991" s="3">
        <v>261.98</v>
      </c>
      <c r="F1991" s="3">
        <v>-34</v>
      </c>
      <c r="G1991" s="3">
        <v>-73.03</v>
      </c>
      <c r="H1991" s="3">
        <v>1.05</v>
      </c>
      <c r="I1991" s="3">
        <v>46.05</v>
      </c>
      <c r="J1991" s="3">
        <v>-0.8</v>
      </c>
    </row>
    <row r="1992" spans="1:10" ht="14.4" x14ac:dyDescent="0.3">
      <c r="A1992" s="3"/>
      <c r="E1992" s="3">
        <v>247.5</v>
      </c>
      <c r="F1992" s="3">
        <v>-28.52</v>
      </c>
      <c r="G1992" s="3">
        <v>-71.69</v>
      </c>
      <c r="H1992" s="3">
        <v>1.22</v>
      </c>
      <c r="I1992" s="3">
        <v>43.54</v>
      </c>
      <c r="J1992" s="3">
        <v>2.9</v>
      </c>
    </row>
    <row r="1993" spans="1:10" ht="14.4" x14ac:dyDescent="0.3">
      <c r="A1993" s="3"/>
      <c r="E1993" s="3">
        <v>250.15</v>
      </c>
      <c r="F1993" s="3">
        <v>-33.799999999999997</v>
      </c>
      <c r="G1993" s="3">
        <v>-72.44</v>
      </c>
      <c r="H1993" s="3">
        <v>1.24</v>
      </c>
      <c r="I1993" s="3">
        <v>44.1</v>
      </c>
      <c r="J1993" s="3">
        <v>-0.5</v>
      </c>
    </row>
    <row r="1994" spans="1:10" ht="14.4" x14ac:dyDescent="0.3">
      <c r="A1994" s="3"/>
      <c r="E1994" s="3">
        <v>259.3</v>
      </c>
      <c r="F1994" s="3">
        <v>-29.68</v>
      </c>
      <c r="G1994" s="3">
        <v>-73.5</v>
      </c>
      <c r="H1994" s="3">
        <v>1.25</v>
      </c>
      <c r="I1994" s="3">
        <v>45.34</v>
      </c>
      <c r="J1994" s="3">
        <v>2.42</v>
      </c>
    </row>
    <row r="1995" spans="1:10" ht="14.4" x14ac:dyDescent="0.3">
      <c r="A1995" s="3"/>
      <c r="E1995" s="3">
        <v>261.01</v>
      </c>
      <c r="F1995" s="3">
        <v>-36.82</v>
      </c>
      <c r="G1995" s="3">
        <v>-73.31</v>
      </c>
      <c r="H1995" s="3">
        <v>0.95</v>
      </c>
      <c r="I1995" s="3">
        <v>46.5</v>
      </c>
      <c r="J1995" s="3">
        <v>-2.82</v>
      </c>
    </row>
    <row r="1996" spans="1:10" ht="14.4" x14ac:dyDescent="0.3">
      <c r="A1996" s="3"/>
      <c r="E1996" s="3">
        <v>256.62</v>
      </c>
      <c r="F1996" s="3">
        <v>-39.68</v>
      </c>
      <c r="G1996" s="3">
        <v>-72.489999999999995</v>
      </c>
      <c r="H1996" s="3">
        <v>0.91</v>
      </c>
      <c r="I1996" s="3">
        <v>45.91</v>
      </c>
      <c r="J1996" s="3">
        <v>-4.9400000000000004</v>
      </c>
    </row>
    <row r="1997" spans="1:10" ht="14.4" x14ac:dyDescent="0.3">
      <c r="A1997" s="3"/>
      <c r="E1997" s="3">
        <v>261.17</v>
      </c>
      <c r="F1997" s="3">
        <v>-38.369999999999997</v>
      </c>
      <c r="G1997" s="3">
        <v>-73.53</v>
      </c>
      <c r="H1997" s="3">
        <v>1.01</v>
      </c>
      <c r="I1997" s="3">
        <v>46.81</v>
      </c>
      <c r="J1997" s="3">
        <v>-3.81</v>
      </c>
    </row>
    <row r="1998" spans="1:10" ht="14.4" x14ac:dyDescent="0.3">
      <c r="A1998" s="3"/>
      <c r="E1998" s="3">
        <v>257.52999999999997</v>
      </c>
      <c r="F1998" s="3">
        <v>-43.61</v>
      </c>
      <c r="G1998" s="3">
        <v>-73.63</v>
      </c>
      <c r="H1998" s="3">
        <v>0.89</v>
      </c>
      <c r="I1998" s="3">
        <v>46.84</v>
      </c>
      <c r="J1998" s="3">
        <v>-7.8</v>
      </c>
    </row>
    <row r="1999" spans="1:10" ht="14.4" x14ac:dyDescent="0.3">
      <c r="A1999" s="3"/>
      <c r="E1999" s="3">
        <v>250.32</v>
      </c>
      <c r="F1999" s="3">
        <v>-43.81</v>
      </c>
      <c r="G1999" s="3">
        <v>-72.47</v>
      </c>
      <c r="H1999" s="3">
        <v>0.96</v>
      </c>
      <c r="I1999" s="3">
        <v>45.17</v>
      </c>
      <c r="J1999" s="3">
        <v>-7.6</v>
      </c>
    </row>
    <row r="2000" spans="1:10" ht="14.4" x14ac:dyDescent="0.3">
      <c r="A2000" s="3"/>
      <c r="E2000" s="3">
        <v>257.08999999999997</v>
      </c>
      <c r="F2000" s="3">
        <v>-48.02</v>
      </c>
      <c r="G2000" s="3">
        <v>-72.86</v>
      </c>
      <c r="H2000" s="3">
        <v>0.73</v>
      </c>
      <c r="I2000" s="3">
        <v>47.12</v>
      </c>
      <c r="J2000" s="3">
        <v>-11.26</v>
      </c>
    </row>
    <row r="2001" spans="1:10" ht="14.4" x14ac:dyDescent="0.3">
      <c r="A2001" s="3"/>
      <c r="E2001" s="3">
        <v>262.14999999999998</v>
      </c>
      <c r="F2001" s="3">
        <v>-44.01</v>
      </c>
      <c r="G2001" s="3">
        <v>-73.06</v>
      </c>
      <c r="H2001" s="3">
        <v>0.77</v>
      </c>
      <c r="I2001" s="3">
        <v>47.12</v>
      </c>
      <c r="J2001" s="3">
        <v>-7.91</v>
      </c>
    </row>
    <row r="2002" spans="1:10" ht="14.4" x14ac:dyDescent="0.3">
      <c r="A2002" s="3"/>
      <c r="E2002" s="3">
        <v>253</v>
      </c>
      <c r="F2002" s="3">
        <v>-48.13</v>
      </c>
      <c r="G2002" s="3">
        <v>-71.989999999999995</v>
      </c>
      <c r="H2002" s="3">
        <v>0.76</v>
      </c>
      <c r="I2002" s="3">
        <v>45.88</v>
      </c>
      <c r="J2002" s="3">
        <v>-10.83</v>
      </c>
    </row>
    <row r="2003" spans="1:10" ht="14.4" x14ac:dyDescent="0.3">
      <c r="A2003" s="3"/>
      <c r="E2003" s="3">
        <v>251.29</v>
      </c>
      <c r="F2003" s="3">
        <v>-40.99</v>
      </c>
      <c r="G2003" s="3">
        <v>-72.19</v>
      </c>
      <c r="H2003" s="3">
        <v>1.07</v>
      </c>
      <c r="I2003" s="3">
        <v>44.72</v>
      </c>
      <c r="J2003" s="3">
        <v>-5.59</v>
      </c>
    </row>
    <row r="2004" spans="1:10" ht="14.4" x14ac:dyDescent="0.3">
      <c r="A2004" s="3"/>
      <c r="E2004" s="3">
        <v>255.68</v>
      </c>
      <c r="F2004" s="3">
        <v>-38.130000000000003</v>
      </c>
      <c r="G2004" s="3">
        <v>-73.010000000000005</v>
      </c>
      <c r="H2004" s="3">
        <v>1.1000000000000001</v>
      </c>
      <c r="I2004" s="3">
        <v>45.31</v>
      </c>
      <c r="J2004" s="3">
        <v>-3.47</v>
      </c>
    </row>
    <row r="2005" spans="1:10" ht="14.4" x14ac:dyDescent="0.3">
      <c r="A2005" s="3"/>
      <c r="E2005" s="3">
        <v>251.12</v>
      </c>
      <c r="F2005" s="3">
        <v>-39.44</v>
      </c>
      <c r="G2005" s="3">
        <v>-71.97</v>
      </c>
      <c r="H2005" s="3">
        <v>1</v>
      </c>
      <c r="I2005" s="3">
        <v>44.41</v>
      </c>
      <c r="J2005" s="3">
        <v>-4.5999999999999996</v>
      </c>
    </row>
    <row r="2006" spans="1:10" ht="14.4" x14ac:dyDescent="0.3">
      <c r="A2006" s="3"/>
      <c r="E2006" s="3">
        <v>254.76</v>
      </c>
      <c r="F2006" s="3">
        <v>-34.200000000000003</v>
      </c>
      <c r="G2006" s="3">
        <v>-71.87</v>
      </c>
      <c r="H2006" s="3">
        <v>1.1200000000000001</v>
      </c>
      <c r="I2006" s="3">
        <v>44.38</v>
      </c>
      <c r="J2006" s="3">
        <v>-0.61</v>
      </c>
    </row>
    <row r="2007" spans="1:10" ht="14.4" x14ac:dyDescent="0.3">
      <c r="A2007" s="3"/>
      <c r="E2007" s="3">
        <v>261.98</v>
      </c>
      <c r="F2007" s="3">
        <v>-34</v>
      </c>
      <c r="G2007" s="3">
        <v>-73.03</v>
      </c>
      <c r="H2007" s="3">
        <v>1.05</v>
      </c>
      <c r="I2007" s="3">
        <v>46.05</v>
      </c>
      <c r="J2007" s="3">
        <v>-0.8</v>
      </c>
    </row>
    <row r="2008" spans="1:10" ht="14.4" x14ac:dyDescent="0.3">
      <c r="A2008" s="3"/>
      <c r="E2008" s="3">
        <v>261.98</v>
      </c>
      <c r="F2008" s="3">
        <v>-34</v>
      </c>
      <c r="G2008" s="3">
        <v>-73.03</v>
      </c>
      <c r="H2008" s="3">
        <v>1.05</v>
      </c>
      <c r="I2008" s="3">
        <v>46.05</v>
      </c>
      <c r="J2008" s="3">
        <v>-0.8</v>
      </c>
    </row>
    <row r="2009" spans="1:10" ht="14.4" x14ac:dyDescent="0.3">
      <c r="A2009" s="3"/>
      <c r="E2009" s="3">
        <v>182.57</v>
      </c>
      <c r="F2009" s="3">
        <v>-21.16</v>
      </c>
      <c r="G2009" s="3">
        <v>-49.51</v>
      </c>
      <c r="H2009" s="3">
        <v>0.87</v>
      </c>
      <c r="I2009" s="3">
        <v>33.89</v>
      </c>
      <c r="J2009" s="3">
        <v>-0.16</v>
      </c>
    </row>
    <row r="2010" spans="1:10" ht="14.4" x14ac:dyDescent="0.3">
      <c r="A2010" s="3"/>
      <c r="E2010" s="3">
        <v>191.72</v>
      </c>
      <c r="F2010" s="3">
        <v>-17.04</v>
      </c>
      <c r="G2010" s="3">
        <v>-50.57</v>
      </c>
      <c r="H2010" s="3">
        <v>0.89</v>
      </c>
      <c r="I2010" s="3">
        <v>35.130000000000003</v>
      </c>
      <c r="J2010" s="3">
        <v>2.77</v>
      </c>
    </row>
    <row r="2011" spans="1:10" ht="14.4" x14ac:dyDescent="0.3">
      <c r="A2011" s="3"/>
      <c r="E2011" s="3">
        <v>193.42</v>
      </c>
      <c r="F2011" s="3">
        <v>-24.18</v>
      </c>
      <c r="G2011" s="3">
        <v>-50.37</v>
      </c>
      <c r="H2011" s="3">
        <v>0.57999999999999996</v>
      </c>
      <c r="I2011" s="3">
        <v>36.29</v>
      </c>
      <c r="J2011" s="3">
        <v>-2.4700000000000002</v>
      </c>
    </row>
    <row r="2012" spans="1:10" ht="14.4" x14ac:dyDescent="0.3">
      <c r="A2012" s="3"/>
      <c r="E2012" s="3">
        <v>189.03</v>
      </c>
      <c r="F2012" s="3">
        <v>-27.04</v>
      </c>
      <c r="G2012" s="3">
        <v>-49.55</v>
      </c>
      <c r="H2012" s="3">
        <v>0.54</v>
      </c>
      <c r="I2012" s="3">
        <v>35.700000000000003</v>
      </c>
      <c r="J2012" s="3">
        <v>-4.5999999999999996</v>
      </c>
    </row>
    <row r="2013" spans="1:10" ht="14.4" x14ac:dyDescent="0.3">
      <c r="A2013" s="3"/>
      <c r="E2013" s="3">
        <v>193.59</v>
      </c>
      <c r="F2013" s="3">
        <v>-25.73</v>
      </c>
      <c r="G2013" s="3">
        <v>-50.59</v>
      </c>
      <c r="H2013" s="3">
        <v>0.64</v>
      </c>
      <c r="I2013" s="3">
        <v>36.6</v>
      </c>
      <c r="J2013" s="3">
        <v>-3.47</v>
      </c>
    </row>
    <row r="2014" spans="1:10" ht="14.4" x14ac:dyDescent="0.3">
      <c r="A2014" s="3"/>
      <c r="E2014" s="3">
        <v>189.95</v>
      </c>
      <c r="F2014" s="3">
        <v>-30.97</v>
      </c>
      <c r="G2014" s="3">
        <v>-50.7</v>
      </c>
      <c r="H2014" s="3">
        <v>0.53</v>
      </c>
      <c r="I2014" s="3">
        <v>36.630000000000003</v>
      </c>
      <c r="J2014" s="3">
        <v>-7.45</v>
      </c>
    </row>
    <row r="2015" spans="1:10" ht="14.4" x14ac:dyDescent="0.3">
      <c r="A2015" s="3"/>
      <c r="E2015" s="3">
        <v>182.74</v>
      </c>
      <c r="F2015" s="3">
        <v>-31.17</v>
      </c>
      <c r="G2015" s="3">
        <v>-49.53</v>
      </c>
      <c r="H2015" s="3">
        <v>0.59</v>
      </c>
      <c r="I2015" s="3">
        <v>34.96</v>
      </c>
      <c r="J2015" s="3">
        <v>-7.26</v>
      </c>
    </row>
    <row r="2016" spans="1:10" ht="14.4" x14ac:dyDescent="0.3">
      <c r="A2016" s="3"/>
      <c r="E2016" s="3">
        <v>189.51</v>
      </c>
      <c r="F2016" s="3">
        <v>-35.380000000000003</v>
      </c>
      <c r="G2016" s="3">
        <v>-49.93</v>
      </c>
      <c r="H2016" s="3">
        <v>0.37</v>
      </c>
      <c r="I2016" s="3">
        <v>36.909999999999997</v>
      </c>
      <c r="J2016" s="3">
        <v>-10.91</v>
      </c>
    </row>
    <row r="2017" spans="1:10" ht="14.4" x14ac:dyDescent="0.3">
      <c r="A2017" s="3"/>
      <c r="E2017" s="3">
        <v>194.56</v>
      </c>
      <c r="F2017" s="3">
        <v>-31.37</v>
      </c>
      <c r="G2017" s="3">
        <v>-50.12</v>
      </c>
      <c r="H2017" s="3">
        <v>0.41</v>
      </c>
      <c r="I2017" s="3">
        <v>36.909999999999997</v>
      </c>
      <c r="J2017" s="3">
        <v>-7.56</v>
      </c>
    </row>
    <row r="2018" spans="1:10" ht="14.4" x14ac:dyDescent="0.3">
      <c r="A2018" s="3"/>
      <c r="E2018" s="3">
        <v>185.41</v>
      </c>
      <c r="F2018" s="3">
        <v>-35.479999999999997</v>
      </c>
      <c r="G2018" s="3">
        <v>-49.06</v>
      </c>
      <c r="H2018" s="3">
        <v>0.39</v>
      </c>
      <c r="I2018" s="3">
        <v>35.67</v>
      </c>
      <c r="J2018" s="3">
        <v>-10.48</v>
      </c>
    </row>
    <row r="2019" spans="1:10" ht="14.4" x14ac:dyDescent="0.3">
      <c r="A2019" s="3"/>
      <c r="E2019" s="3">
        <v>183.71</v>
      </c>
      <c r="F2019" s="3">
        <v>-28.35</v>
      </c>
      <c r="G2019" s="3">
        <v>-49.25</v>
      </c>
      <c r="H2019" s="3">
        <v>0.7</v>
      </c>
      <c r="I2019" s="3">
        <v>34.51</v>
      </c>
      <c r="J2019" s="3">
        <v>-5.25</v>
      </c>
    </row>
    <row r="2020" spans="1:10" ht="14.4" x14ac:dyDescent="0.3">
      <c r="A2020" s="3"/>
      <c r="E2020" s="3">
        <v>188.1</v>
      </c>
      <c r="F2020" s="3">
        <v>-25.49</v>
      </c>
      <c r="G2020" s="3">
        <v>-50.07</v>
      </c>
      <c r="H2020" s="3">
        <v>0.74</v>
      </c>
      <c r="I2020" s="3">
        <v>35.1</v>
      </c>
      <c r="J2020" s="3">
        <v>-3.12</v>
      </c>
    </row>
    <row r="2021" spans="1:10" ht="14.4" x14ac:dyDescent="0.3">
      <c r="A2021" s="3"/>
      <c r="E2021" s="3">
        <v>183.54</v>
      </c>
      <c r="F2021" s="3">
        <v>-26.8</v>
      </c>
      <c r="G2021" s="3">
        <v>-49.03</v>
      </c>
      <c r="H2021" s="3">
        <v>0.64</v>
      </c>
      <c r="I2021" s="3">
        <v>34.200000000000003</v>
      </c>
      <c r="J2021" s="3">
        <v>-4.25</v>
      </c>
    </row>
    <row r="2022" spans="1:10" ht="14.4" x14ac:dyDescent="0.3">
      <c r="A2022" s="3"/>
      <c r="E2022" s="3">
        <v>187.18</v>
      </c>
      <c r="F2022" s="3">
        <v>-21.56</v>
      </c>
      <c r="G2022" s="3">
        <v>-48.93</v>
      </c>
      <c r="H2022" s="3">
        <v>0.75</v>
      </c>
      <c r="I2022" s="3">
        <v>34.17</v>
      </c>
      <c r="J2022" s="3">
        <v>-0.27</v>
      </c>
    </row>
    <row r="2023" spans="1:10" ht="14.4" x14ac:dyDescent="0.3">
      <c r="A2023" s="3"/>
      <c r="E2023" s="3">
        <v>194.39</v>
      </c>
      <c r="F2023" s="3">
        <v>-21.36</v>
      </c>
      <c r="G2023" s="3">
        <v>-50.09</v>
      </c>
      <c r="H2023" s="3">
        <v>0.69</v>
      </c>
      <c r="I2023" s="3">
        <v>35.840000000000003</v>
      </c>
      <c r="J2023" s="3">
        <v>-0.46</v>
      </c>
    </row>
    <row r="2024" spans="1:10" ht="14.4" x14ac:dyDescent="0.3">
      <c r="A2024" s="3"/>
      <c r="E2024" s="3">
        <v>187.62</v>
      </c>
      <c r="F2024" s="3">
        <v>-17.14</v>
      </c>
      <c r="G2024" s="3">
        <v>-49.7</v>
      </c>
      <c r="H2024" s="3">
        <v>0.91</v>
      </c>
      <c r="I2024" s="3">
        <v>33.89</v>
      </c>
      <c r="J2024" s="3">
        <v>3.19</v>
      </c>
    </row>
    <row r="2025" spans="1:10" ht="14.4" x14ac:dyDescent="0.3">
      <c r="A2025" s="3"/>
      <c r="E2025" s="3">
        <v>219.89</v>
      </c>
      <c r="F2025" s="3">
        <v>-9.64</v>
      </c>
      <c r="G2025" s="3">
        <v>-53.16</v>
      </c>
      <c r="H2025" s="3">
        <v>2.29</v>
      </c>
      <c r="I2025" s="3">
        <v>28.83</v>
      </c>
      <c r="J2025" s="3">
        <v>18.100000000000001</v>
      </c>
    </row>
    <row r="2026" spans="1:10" ht="14.4" x14ac:dyDescent="0.3">
      <c r="A2026" s="3"/>
      <c r="E2026" s="3">
        <v>308.94</v>
      </c>
      <c r="F2026" s="3">
        <v>-34.26</v>
      </c>
      <c r="G2026" s="3">
        <v>-90.49</v>
      </c>
      <c r="H2026" s="3">
        <v>0.18</v>
      </c>
      <c r="I2026" s="3">
        <v>62.33</v>
      </c>
      <c r="J2026" s="3">
        <v>-2.6</v>
      </c>
    </row>
    <row r="2027" spans="1:10" ht="14.4" x14ac:dyDescent="0.3">
      <c r="A2027" s="3"/>
      <c r="E2027" s="3">
        <v>201.49</v>
      </c>
      <c r="F2027" s="3">
        <v>-42.79</v>
      </c>
      <c r="G2027" s="3">
        <v>-54.58</v>
      </c>
      <c r="H2027" s="3">
        <v>1.83</v>
      </c>
      <c r="I2027" s="3">
        <v>28.56</v>
      </c>
      <c r="J2027" s="3">
        <v>-5.35</v>
      </c>
    </row>
    <row r="2028" spans="1:10" ht="14.4" x14ac:dyDescent="0.3">
      <c r="A2028" s="3"/>
      <c r="E2028" s="3">
        <v>290.55</v>
      </c>
      <c r="F2028" s="3">
        <v>-67.41</v>
      </c>
      <c r="G2028" s="3">
        <v>-91.9</v>
      </c>
      <c r="H2028" s="3">
        <v>-0.28000000000000003</v>
      </c>
      <c r="I2028" s="3">
        <v>62.05</v>
      </c>
      <c r="J2028" s="3">
        <v>-26.05</v>
      </c>
    </row>
    <row r="2029" spans="1:10" ht="14.4" x14ac:dyDescent="0.3">
      <c r="A2029" s="3"/>
      <c r="E2029" s="3">
        <v>219.89</v>
      </c>
      <c r="F2029" s="3">
        <v>-9.64</v>
      </c>
      <c r="G2029" s="3">
        <v>-53.16</v>
      </c>
      <c r="H2029" s="3">
        <v>2.29</v>
      </c>
      <c r="I2029" s="3">
        <v>28.83</v>
      </c>
      <c r="J2029" s="3">
        <v>18.100000000000001</v>
      </c>
    </row>
    <row r="2030" spans="1:10" ht="14.4" x14ac:dyDescent="0.3">
      <c r="A2030" s="3"/>
      <c r="E2030" s="3">
        <v>308.94</v>
      </c>
      <c r="F2030" s="3">
        <v>-34.26</v>
      </c>
      <c r="G2030" s="3">
        <v>-90.49</v>
      </c>
      <c r="H2030" s="3">
        <v>0.18</v>
      </c>
      <c r="I2030" s="3">
        <v>62.33</v>
      </c>
      <c r="J2030" s="3">
        <v>-2.6</v>
      </c>
    </row>
    <row r="2031" spans="1:10" ht="14.4" x14ac:dyDescent="0.3">
      <c r="A2031" s="3"/>
      <c r="E2031" s="3">
        <v>201.49</v>
      </c>
      <c r="F2031" s="3">
        <v>-42.79</v>
      </c>
      <c r="G2031" s="3">
        <v>-54.58</v>
      </c>
      <c r="H2031" s="3">
        <v>1.83</v>
      </c>
      <c r="I2031" s="3">
        <v>28.56</v>
      </c>
      <c r="J2031" s="3">
        <v>-5.35</v>
      </c>
    </row>
    <row r="2032" spans="1:10" ht="14.4" x14ac:dyDescent="0.3">
      <c r="A2032" s="3"/>
      <c r="E2032" s="3">
        <v>290.55</v>
      </c>
      <c r="F2032" s="3">
        <v>-67.41</v>
      </c>
      <c r="G2032" s="3">
        <v>-91.9</v>
      </c>
      <c r="H2032" s="3">
        <v>-0.28000000000000003</v>
      </c>
      <c r="I2032" s="3">
        <v>62.05</v>
      </c>
      <c r="J2032" s="3">
        <v>-26.05</v>
      </c>
    </row>
    <row r="2033" spans="1:10" ht="14.4" x14ac:dyDescent="0.3">
      <c r="A2033" s="3"/>
      <c r="E2033" s="3">
        <v>301.10000000000002</v>
      </c>
      <c r="F2033" s="3">
        <v>15.68</v>
      </c>
      <c r="G2033" s="3">
        <v>-72.23</v>
      </c>
      <c r="H2033" s="3">
        <v>2.1800000000000002</v>
      </c>
      <c r="I2033" s="3">
        <v>46.28</v>
      </c>
      <c r="J2033" s="3">
        <v>37.14</v>
      </c>
    </row>
    <row r="2034" spans="1:10" ht="14.4" x14ac:dyDescent="0.3">
      <c r="A2034" s="3"/>
      <c r="E2034" s="3">
        <v>156.78</v>
      </c>
      <c r="F2034" s="3">
        <v>-81.7</v>
      </c>
      <c r="G2034" s="3">
        <v>-54.76</v>
      </c>
      <c r="H2034" s="3">
        <v>0.38</v>
      </c>
      <c r="I2034" s="3">
        <v>29.64</v>
      </c>
      <c r="J2034" s="3">
        <v>-38.270000000000003</v>
      </c>
    </row>
    <row r="2035" spans="1:10" ht="14.4" x14ac:dyDescent="0.3">
      <c r="A2035" s="3"/>
      <c r="E2035" s="3">
        <v>353.66</v>
      </c>
      <c r="F2035" s="3">
        <v>4.6399999999999997</v>
      </c>
      <c r="G2035" s="3">
        <v>-90.31</v>
      </c>
      <c r="H2035" s="3">
        <v>1.62</v>
      </c>
      <c r="I2035" s="3">
        <v>61.25</v>
      </c>
      <c r="J2035" s="3">
        <v>30.32</v>
      </c>
    </row>
    <row r="2036" spans="1:10" ht="14.4" x14ac:dyDescent="0.3">
      <c r="A2036" s="3"/>
      <c r="E2036" s="3">
        <v>209.33</v>
      </c>
      <c r="F2036" s="3">
        <v>-92.73</v>
      </c>
      <c r="G2036" s="3">
        <v>-72.83</v>
      </c>
      <c r="H2036" s="3">
        <v>-0.17</v>
      </c>
      <c r="I2036" s="3">
        <v>44.6</v>
      </c>
      <c r="J2036" s="3">
        <v>-45.09</v>
      </c>
    </row>
    <row r="2037" spans="1:10" ht="14.4" x14ac:dyDescent="0.3">
      <c r="A2037" s="3"/>
      <c r="E2037" s="3">
        <v>301.10000000000002</v>
      </c>
      <c r="F2037" s="3">
        <v>15.68</v>
      </c>
      <c r="G2037" s="3">
        <v>-72.23</v>
      </c>
      <c r="H2037" s="3">
        <v>2.1800000000000002</v>
      </c>
      <c r="I2037" s="3">
        <v>46.28</v>
      </c>
      <c r="J2037" s="3">
        <v>37.14</v>
      </c>
    </row>
    <row r="2038" spans="1:10" ht="14.4" x14ac:dyDescent="0.3">
      <c r="A2038" s="3"/>
      <c r="E2038" s="3">
        <v>156.78</v>
      </c>
      <c r="F2038" s="3">
        <v>-81.7</v>
      </c>
      <c r="G2038" s="3">
        <v>-54.76</v>
      </c>
      <c r="H2038" s="3">
        <v>0.38</v>
      </c>
      <c r="I2038" s="3">
        <v>29.64</v>
      </c>
      <c r="J2038" s="3">
        <v>-38.270000000000003</v>
      </c>
    </row>
    <row r="2039" spans="1:10" ht="14.4" x14ac:dyDescent="0.3">
      <c r="A2039" s="3"/>
      <c r="E2039" s="3">
        <v>353.66</v>
      </c>
      <c r="F2039" s="3">
        <v>4.6399999999999997</v>
      </c>
      <c r="G2039" s="3">
        <v>-90.31</v>
      </c>
      <c r="H2039" s="3">
        <v>1.62</v>
      </c>
      <c r="I2039" s="3">
        <v>61.25</v>
      </c>
      <c r="J2039" s="3">
        <v>30.32</v>
      </c>
    </row>
    <row r="2040" spans="1:10" ht="14.4" x14ac:dyDescent="0.3">
      <c r="A2040" s="3"/>
      <c r="E2040" s="3">
        <v>209.33</v>
      </c>
      <c r="F2040" s="3">
        <v>-92.73</v>
      </c>
      <c r="G2040" s="3">
        <v>-72.83</v>
      </c>
      <c r="H2040" s="3">
        <v>-0.17</v>
      </c>
      <c r="I2040" s="3">
        <v>44.6</v>
      </c>
      <c r="J2040" s="3">
        <v>-45.09</v>
      </c>
    </row>
    <row r="2041" spans="1:10" ht="14.4" x14ac:dyDescent="0.3">
      <c r="A2041" s="3"/>
      <c r="E2041" s="3">
        <v>394.43</v>
      </c>
      <c r="F2041" s="3">
        <v>7.93</v>
      </c>
      <c r="G2041" s="3">
        <v>-51.51</v>
      </c>
      <c r="H2041" s="3">
        <v>2.92</v>
      </c>
      <c r="I2041" s="3">
        <v>27.68</v>
      </c>
      <c r="J2041" s="3">
        <v>31.08</v>
      </c>
    </row>
    <row r="2042" spans="1:10" ht="14.4" x14ac:dyDescent="0.3">
      <c r="A2042" s="3"/>
      <c r="E2042" s="3">
        <v>139.02000000000001</v>
      </c>
      <c r="F2042" s="3">
        <v>-43.66</v>
      </c>
      <c r="G2042" s="3">
        <v>-89.78</v>
      </c>
      <c r="H2042" s="3">
        <v>0.14000000000000001</v>
      </c>
      <c r="I2042" s="3">
        <v>60.88</v>
      </c>
      <c r="J2042" s="3">
        <v>-9.9499999999999993</v>
      </c>
    </row>
    <row r="2043" spans="1:10" ht="14.4" x14ac:dyDescent="0.3">
      <c r="A2043" s="3"/>
      <c r="E2043" s="3">
        <v>371.41</v>
      </c>
      <c r="F2043" s="3">
        <v>-33.39</v>
      </c>
      <c r="G2043" s="3">
        <v>-55.28</v>
      </c>
      <c r="H2043" s="3">
        <v>1.86</v>
      </c>
      <c r="I2043" s="3">
        <v>30.01</v>
      </c>
      <c r="J2043" s="3">
        <v>2</v>
      </c>
    </row>
    <row r="2044" spans="1:10" ht="14.4" x14ac:dyDescent="0.3">
      <c r="A2044" s="3"/>
      <c r="E2044" s="3">
        <v>116</v>
      </c>
      <c r="F2044" s="3">
        <v>-84.99</v>
      </c>
      <c r="G2044" s="3">
        <v>-93.55</v>
      </c>
      <c r="H2044" s="3">
        <v>-0.91</v>
      </c>
      <c r="I2044" s="3">
        <v>63.2</v>
      </c>
      <c r="J2044" s="3">
        <v>-39.03</v>
      </c>
    </row>
    <row r="2045" spans="1:10" ht="14.4" x14ac:dyDescent="0.3">
      <c r="A2045" s="3"/>
      <c r="E2045" s="3">
        <v>361.07</v>
      </c>
      <c r="F2045" s="3">
        <v>33.22</v>
      </c>
      <c r="G2045" s="3">
        <v>-68.22</v>
      </c>
      <c r="H2045" s="3">
        <v>3.26</v>
      </c>
      <c r="I2045" s="3">
        <v>42.06</v>
      </c>
      <c r="J2045" s="3">
        <v>49.49</v>
      </c>
    </row>
    <row r="2046" spans="1:10" ht="14.4" x14ac:dyDescent="0.3">
      <c r="A2046" s="3"/>
      <c r="E2046" s="3">
        <v>201.53</v>
      </c>
      <c r="F2046" s="3">
        <v>-91.04</v>
      </c>
      <c r="G2046" s="3">
        <v>-58.48</v>
      </c>
      <c r="H2046" s="3">
        <v>-0.5</v>
      </c>
      <c r="I2046" s="3">
        <v>33.96</v>
      </c>
      <c r="J2046" s="3">
        <v>-44.44</v>
      </c>
    </row>
    <row r="2047" spans="1:10" ht="14.4" x14ac:dyDescent="0.3">
      <c r="A2047" s="3"/>
      <c r="E2047" s="3">
        <v>308.89999999999998</v>
      </c>
      <c r="F2047" s="3">
        <v>13.99</v>
      </c>
      <c r="G2047" s="3">
        <v>-86.59</v>
      </c>
      <c r="H2047" s="3">
        <v>2.5</v>
      </c>
      <c r="I2047" s="3">
        <v>56.93</v>
      </c>
      <c r="J2047" s="3">
        <v>36.49</v>
      </c>
    </row>
    <row r="2048" spans="1:10" ht="14.4" x14ac:dyDescent="0.3">
      <c r="A2048" s="3"/>
      <c r="E2048" s="3">
        <v>149.36000000000001</v>
      </c>
      <c r="F2048" s="3">
        <v>-110.28</v>
      </c>
      <c r="G2048" s="3">
        <v>-76.84</v>
      </c>
      <c r="H2048" s="3">
        <v>-1.25</v>
      </c>
      <c r="I2048" s="3">
        <v>48.83</v>
      </c>
      <c r="J2048" s="3">
        <v>-57.44</v>
      </c>
    </row>
    <row r="2049" spans="1:10" ht="14.4" x14ac:dyDescent="0.3">
      <c r="A2049" s="3"/>
      <c r="E2049" s="3">
        <v>161.22</v>
      </c>
      <c r="F2049" s="3">
        <v>-1.47</v>
      </c>
      <c r="G2049" s="3">
        <v>-37.659999999999997</v>
      </c>
      <c r="H2049" s="3">
        <v>2.09</v>
      </c>
      <c r="I2049" s="3">
        <v>17.82</v>
      </c>
      <c r="J2049" s="3">
        <v>19.3</v>
      </c>
    </row>
    <row r="2050" spans="1:10" ht="14.4" x14ac:dyDescent="0.3">
      <c r="A2050" s="3"/>
      <c r="E2050" s="3">
        <v>241.9</v>
      </c>
      <c r="F2050" s="3">
        <v>-24.92</v>
      </c>
      <c r="G2050" s="3">
        <v>-72.77</v>
      </c>
      <c r="H2050" s="3">
        <v>-0.05</v>
      </c>
      <c r="I2050" s="3">
        <v>49.75</v>
      </c>
      <c r="J2050" s="3">
        <v>-1.23</v>
      </c>
    </row>
    <row r="2051" spans="1:10" ht="14.4" x14ac:dyDescent="0.3">
      <c r="A2051" s="3"/>
      <c r="E2051" s="3">
        <v>142.82</v>
      </c>
      <c r="F2051" s="3">
        <v>-34.619999999999997</v>
      </c>
      <c r="G2051" s="3">
        <v>-39.08</v>
      </c>
      <c r="H2051" s="3">
        <v>1.63</v>
      </c>
      <c r="I2051" s="3">
        <v>17.54</v>
      </c>
      <c r="J2051" s="3">
        <v>-4.1500000000000004</v>
      </c>
    </row>
    <row r="2052" spans="1:10" ht="14.4" x14ac:dyDescent="0.3">
      <c r="A2052" s="3"/>
      <c r="E2052" s="3">
        <v>223.5</v>
      </c>
      <c r="F2052" s="3">
        <v>-58.07</v>
      </c>
      <c r="G2052" s="3">
        <v>-74.19</v>
      </c>
      <c r="H2052" s="3">
        <v>-0.51</v>
      </c>
      <c r="I2052" s="3">
        <v>49.47</v>
      </c>
      <c r="J2052" s="3">
        <v>-24.68</v>
      </c>
    </row>
    <row r="2053" spans="1:10" ht="14.4" x14ac:dyDescent="0.3">
      <c r="A2053" s="3"/>
      <c r="E2053" s="3">
        <v>161.22</v>
      </c>
      <c r="F2053" s="3">
        <v>-1.47</v>
      </c>
      <c r="G2053" s="3">
        <v>-37.659999999999997</v>
      </c>
      <c r="H2053" s="3">
        <v>2.09</v>
      </c>
      <c r="I2053" s="3">
        <v>17.82</v>
      </c>
      <c r="J2053" s="3">
        <v>19.3</v>
      </c>
    </row>
    <row r="2054" spans="1:10" ht="14.4" x14ac:dyDescent="0.3">
      <c r="A2054" s="3"/>
      <c r="E2054" s="3">
        <v>241.9</v>
      </c>
      <c r="F2054" s="3">
        <v>-24.92</v>
      </c>
      <c r="G2054" s="3">
        <v>-72.77</v>
      </c>
      <c r="H2054" s="3">
        <v>-0.05</v>
      </c>
      <c r="I2054" s="3">
        <v>49.75</v>
      </c>
      <c r="J2054" s="3">
        <v>-1.23</v>
      </c>
    </row>
    <row r="2055" spans="1:10" ht="14.4" x14ac:dyDescent="0.3">
      <c r="A2055" s="3"/>
      <c r="E2055" s="3">
        <v>142.82</v>
      </c>
      <c r="F2055" s="3">
        <v>-34.619999999999997</v>
      </c>
      <c r="G2055" s="3">
        <v>-39.08</v>
      </c>
      <c r="H2055" s="3">
        <v>1.63</v>
      </c>
      <c r="I2055" s="3">
        <v>17.54</v>
      </c>
      <c r="J2055" s="3">
        <v>-4.1500000000000004</v>
      </c>
    </row>
    <row r="2056" spans="1:10" ht="14.4" x14ac:dyDescent="0.3">
      <c r="A2056" s="3"/>
      <c r="E2056" s="3">
        <v>223.5</v>
      </c>
      <c r="F2056" s="3">
        <v>-58.07</v>
      </c>
      <c r="G2056" s="3">
        <v>-74.19</v>
      </c>
      <c r="H2056" s="3">
        <v>-0.51</v>
      </c>
      <c r="I2056" s="3">
        <v>49.47</v>
      </c>
      <c r="J2056" s="3">
        <v>-24.68</v>
      </c>
    </row>
    <row r="2057" spans="1:10" ht="14.4" x14ac:dyDescent="0.3">
      <c r="A2057" s="3"/>
      <c r="E2057" s="3">
        <v>242.44</v>
      </c>
      <c r="F2057" s="3">
        <v>23.85</v>
      </c>
      <c r="G2057" s="3">
        <v>-56.73</v>
      </c>
      <c r="H2057" s="3">
        <v>1.98</v>
      </c>
      <c r="I2057" s="3">
        <v>35.270000000000003</v>
      </c>
      <c r="J2057" s="3">
        <v>38.340000000000003</v>
      </c>
    </row>
    <row r="2058" spans="1:10" ht="14.4" x14ac:dyDescent="0.3">
      <c r="A2058" s="3"/>
      <c r="E2058" s="3">
        <v>89.73</v>
      </c>
      <c r="F2058" s="3">
        <v>-72.36</v>
      </c>
      <c r="G2058" s="3">
        <v>-37.04</v>
      </c>
      <c r="H2058" s="3">
        <v>0.15</v>
      </c>
      <c r="I2058" s="3">
        <v>17.05</v>
      </c>
      <c r="J2058" s="3">
        <v>-36.9</v>
      </c>
    </row>
    <row r="2059" spans="1:10" ht="14.4" x14ac:dyDescent="0.3">
      <c r="A2059" s="3"/>
      <c r="E2059" s="3">
        <v>294.99</v>
      </c>
      <c r="F2059" s="3">
        <v>12.81</v>
      </c>
      <c r="G2059" s="3">
        <v>-74.81</v>
      </c>
      <c r="H2059" s="3">
        <v>1.42</v>
      </c>
      <c r="I2059" s="3">
        <v>50.24</v>
      </c>
      <c r="J2059" s="3">
        <v>31.53</v>
      </c>
    </row>
    <row r="2060" spans="1:10" ht="14.4" x14ac:dyDescent="0.3">
      <c r="A2060" s="3"/>
      <c r="E2060" s="3">
        <v>142.28</v>
      </c>
      <c r="F2060" s="3">
        <v>-83.39</v>
      </c>
      <c r="G2060" s="3">
        <v>-55.12</v>
      </c>
      <c r="H2060" s="3">
        <v>-0.4</v>
      </c>
      <c r="I2060" s="3">
        <v>32.020000000000003</v>
      </c>
      <c r="J2060" s="3">
        <v>-43.72</v>
      </c>
    </row>
    <row r="2061" spans="1:10" ht="14.4" x14ac:dyDescent="0.3">
      <c r="A2061" s="3"/>
      <c r="E2061" s="3">
        <v>242.44</v>
      </c>
      <c r="F2061" s="3">
        <v>23.85</v>
      </c>
      <c r="G2061" s="3">
        <v>-56.73</v>
      </c>
      <c r="H2061" s="3">
        <v>1.98</v>
      </c>
      <c r="I2061" s="3">
        <v>35.270000000000003</v>
      </c>
      <c r="J2061" s="3">
        <v>38.340000000000003</v>
      </c>
    </row>
    <row r="2062" spans="1:10" ht="14.4" x14ac:dyDescent="0.3">
      <c r="A2062" s="3"/>
      <c r="E2062" s="3">
        <v>89.73</v>
      </c>
      <c r="F2062" s="3">
        <v>-72.36</v>
      </c>
      <c r="G2062" s="3">
        <v>-37.04</v>
      </c>
      <c r="H2062" s="3">
        <v>0.15</v>
      </c>
      <c r="I2062" s="3">
        <v>17.05</v>
      </c>
      <c r="J2062" s="3">
        <v>-36.9</v>
      </c>
    </row>
    <row r="2063" spans="1:10" ht="14.4" x14ac:dyDescent="0.3">
      <c r="A2063" s="3"/>
      <c r="E2063" s="3">
        <v>294.99</v>
      </c>
      <c r="F2063" s="3">
        <v>12.81</v>
      </c>
      <c r="G2063" s="3">
        <v>-74.81</v>
      </c>
      <c r="H2063" s="3">
        <v>1.42</v>
      </c>
      <c r="I2063" s="3">
        <v>50.24</v>
      </c>
      <c r="J2063" s="3">
        <v>31.53</v>
      </c>
    </row>
    <row r="2064" spans="1:10" ht="14.4" x14ac:dyDescent="0.3">
      <c r="A2064" s="3"/>
      <c r="E2064" s="3">
        <v>142.28</v>
      </c>
      <c r="F2064" s="3">
        <v>-83.39</v>
      </c>
      <c r="G2064" s="3">
        <v>-55.12</v>
      </c>
      <c r="H2064" s="3">
        <v>-0.4</v>
      </c>
      <c r="I2064" s="3">
        <v>32.020000000000003</v>
      </c>
      <c r="J2064" s="3">
        <v>-43.72</v>
      </c>
    </row>
    <row r="2065" spans="1:10" ht="14.4" x14ac:dyDescent="0.3">
      <c r="A2065" s="3"/>
      <c r="E2065" s="3">
        <v>335.77</v>
      </c>
      <c r="F2065" s="3">
        <v>16.100000000000001</v>
      </c>
      <c r="G2065" s="3">
        <v>-36.020000000000003</v>
      </c>
      <c r="H2065" s="3">
        <v>2.72</v>
      </c>
      <c r="I2065" s="3">
        <v>16.670000000000002</v>
      </c>
      <c r="J2065" s="3">
        <v>32.28</v>
      </c>
    </row>
    <row r="2066" spans="1:10" ht="14.4" x14ac:dyDescent="0.3">
      <c r="A2066" s="3"/>
      <c r="E2066" s="3">
        <v>71.98</v>
      </c>
      <c r="F2066" s="3">
        <v>-34.32</v>
      </c>
      <c r="G2066" s="3">
        <v>-72.069999999999993</v>
      </c>
      <c r="H2066" s="3">
        <v>-0.09</v>
      </c>
      <c r="I2066" s="3">
        <v>48.3</v>
      </c>
      <c r="J2066" s="3">
        <v>-8.58</v>
      </c>
    </row>
    <row r="2067" spans="1:10" ht="14.4" x14ac:dyDescent="0.3">
      <c r="A2067" s="3"/>
      <c r="E2067" s="3">
        <v>312.74</v>
      </c>
      <c r="F2067" s="3">
        <v>-25.22</v>
      </c>
      <c r="G2067" s="3">
        <v>-39.79</v>
      </c>
      <c r="H2067" s="3">
        <v>1.67</v>
      </c>
      <c r="I2067" s="3">
        <v>18.989999999999998</v>
      </c>
      <c r="J2067" s="3">
        <v>3.2</v>
      </c>
    </row>
    <row r="2068" spans="1:10" ht="14.4" x14ac:dyDescent="0.3">
      <c r="A2068" s="3"/>
      <c r="E2068" s="3">
        <v>48.95</v>
      </c>
      <c r="F2068" s="3">
        <v>-75.650000000000006</v>
      </c>
      <c r="G2068" s="3">
        <v>-75.84</v>
      </c>
      <c r="H2068" s="3">
        <v>-1.1399999999999999</v>
      </c>
      <c r="I2068" s="3">
        <v>50.62</v>
      </c>
      <c r="J2068" s="3">
        <v>-37.65</v>
      </c>
    </row>
    <row r="2069" spans="1:10" ht="14.4" x14ac:dyDescent="0.3">
      <c r="A2069" s="3"/>
      <c r="E2069" s="3">
        <v>302.39999999999998</v>
      </c>
      <c r="F2069" s="3">
        <v>41.4</v>
      </c>
      <c r="G2069" s="3">
        <v>-52.72</v>
      </c>
      <c r="H2069" s="3">
        <v>3.06</v>
      </c>
      <c r="I2069" s="3">
        <v>31.04</v>
      </c>
      <c r="J2069" s="3">
        <v>50.69</v>
      </c>
    </row>
    <row r="2070" spans="1:10" ht="14.4" x14ac:dyDescent="0.3">
      <c r="A2070" s="3"/>
      <c r="E2070" s="3">
        <v>134.47999999999999</v>
      </c>
      <c r="F2070" s="3">
        <v>-81.709999999999994</v>
      </c>
      <c r="G2070" s="3">
        <v>-40.770000000000003</v>
      </c>
      <c r="H2070" s="3">
        <v>-0.72</v>
      </c>
      <c r="I2070" s="3">
        <v>21.37</v>
      </c>
      <c r="J2070" s="3">
        <v>-43.07</v>
      </c>
    </row>
    <row r="2071" spans="1:10" ht="14.4" x14ac:dyDescent="0.3">
      <c r="A2071" s="3"/>
      <c r="E2071" s="3">
        <v>250.24</v>
      </c>
      <c r="F2071" s="3">
        <v>22.16</v>
      </c>
      <c r="G2071" s="3">
        <v>-71.09</v>
      </c>
      <c r="H2071" s="3">
        <v>2.2999999999999998</v>
      </c>
      <c r="I2071" s="3">
        <v>45.92</v>
      </c>
      <c r="J2071" s="3">
        <v>37.69</v>
      </c>
    </row>
    <row r="2072" spans="1:10" ht="14.4" x14ac:dyDescent="0.3">
      <c r="A2072" s="3"/>
      <c r="E2072" s="3">
        <v>158.05000000000001</v>
      </c>
      <c r="F2072" s="3">
        <v>35</v>
      </c>
      <c r="G2072" s="3">
        <v>-46.74</v>
      </c>
      <c r="H2072" s="3">
        <v>1.99</v>
      </c>
      <c r="I2072" s="3">
        <v>28.61</v>
      </c>
      <c r="J2072" s="3">
        <v>39.58</v>
      </c>
    </row>
    <row r="2073" spans="1:10" ht="14.4" x14ac:dyDescent="0.3">
      <c r="A2073" s="3"/>
      <c r="E2073" s="3">
        <v>61.61</v>
      </c>
      <c r="F2073" s="3">
        <v>2.12</v>
      </c>
      <c r="G2073" s="3">
        <v>-5.93</v>
      </c>
      <c r="H2073" s="3">
        <v>3.05</v>
      </c>
      <c r="I2073" s="3">
        <v>-9.6999999999999993</v>
      </c>
      <c r="J2073" s="3">
        <v>21.13</v>
      </c>
    </row>
    <row r="2074" spans="1:10" ht="14.4" x14ac:dyDescent="0.3">
      <c r="A2074" s="3"/>
      <c r="E2074" s="3">
        <v>448.83</v>
      </c>
      <c r="F2074" s="3">
        <v>-79.180000000000007</v>
      </c>
      <c r="G2074" s="3">
        <v>-139.13</v>
      </c>
      <c r="H2074" s="3">
        <v>-1.04</v>
      </c>
      <c r="I2074" s="3">
        <v>100.58</v>
      </c>
      <c r="J2074" s="3">
        <v>-29.08</v>
      </c>
    </row>
    <row r="2075" spans="1:10" ht="14.4" x14ac:dyDescent="0.3">
      <c r="A2075" s="3"/>
      <c r="E2075" s="3">
        <v>323</v>
      </c>
      <c r="F2075" s="3">
        <v>83.61</v>
      </c>
      <c r="G2075" s="3">
        <v>-67.31</v>
      </c>
      <c r="H2075" s="3">
        <v>2.69</v>
      </c>
      <c r="I2075" s="3">
        <v>46.47</v>
      </c>
      <c r="J2075" s="3">
        <v>82.41</v>
      </c>
    </row>
    <row r="2076" spans="1:10" ht="14.4" x14ac:dyDescent="0.3">
      <c r="A2076" s="3"/>
      <c r="E2076" s="3">
        <v>187.43</v>
      </c>
      <c r="F2076" s="3">
        <v>-160.66</v>
      </c>
      <c r="G2076" s="3">
        <v>-77.75</v>
      </c>
      <c r="H2076" s="3">
        <v>-0.69</v>
      </c>
      <c r="I2076" s="3">
        <v>44.42</v>
      </c>
      <c r="J2076" s="3">
        <v>-90.36</v>
      </c>
    </row>
    <row r="2077" spans="1:10" ht="14.4" x14ac:dyDescent="0.3">
      <c r="A2077" s="3"/>
      <c r="E2077" s="3">
        <v>61.61</v>
      </c>
      <c r="F2077" s="3">
        <v>2.12</v>
      </c>
      <c r="G2077" s="3">
        <v>-5.93</v>
      </c>
      <c r="H2077" s="3">
        <v>3.05</v>
      </c>
      <c r="I2077" s="3">
        <v>-9.6999999999999993</v>
      </c>
      <c r="J2077" s="3">
        <v>21.13</v>
      </c>
    </row>
    <row r="2078" spans="1:10" ht="14.4" x14ac:dyDescent="0.3">
      <c r="A2078" s="3"/>
      <c r="E2078" s="3">
        <v>448.83</v>
      </c>
      <c r="F2078" s="3">
        <v>-79.180000000000007</v>
      </c>
      <c r="G2078" s="3">
        <v>-139.13</v>
      </c>
      <c r="H2078" s="3">
        <v>-1.04</v>
      </c>
      <c r="I2078" s="3">
        <v>100.58</v>
      </c>
      <c r="J2078" s="3">
        <v>-29.08</v>
      </c>
    </row>
    <row r="2079" spans="1:10" ht="14.4" x14ac:dyDescent="0.3">
      <c r="A2079" s="3"/>
      <c r="E2079" s="3">
        <v>323</v>
      </c>
      <c r="F2079" s="3">
        <v>83.61</v>
      </c>
      <c r="G2079" s="3">
        <v>-67.31</v>
      </c>
      <c r="H2079" s="3">
        <v>2.69</v>
      </c>
      <c r="I2079" s="3">
        <v>46.47</v>
      </c>
      <c r="J2079" s="3">
        <v>82.41</v>
      </c>
    </row>
    <row r="2080" spans="1:10" ht="14.4" x14ac:dyDescent="0.3">
      <c r="A2080" s="3"/>
      <c r="E2080" s="3">
        <v>187.43</v>
      </c>
      <c r="F2080" s="3">
        <v>-160.66</v>
      </c>
      <c r="G2080" s="3">
        <v>-77.75</v>
      </c>
      <c r="H2080" s="3">
        <v>-0.69</v>
      </c>
      <c r="I2080" s="3">
        <v>44.42</v>
      </c>
      <c r="J2080" s="3">
        <v>-90.36</v>
      </c>
    </row>
    <row r="2081" spans="1:10" ht="14.4" x14ac:dyDescent="0.3">
      <c r="A2081" s="3"/>
      <c r="E2081" s="3">
        <v>-5.04</v>
      </c>
      <c r="F2081" s="3">
        <v>14.39</v>
      </c>
      <c r="G2081" s="3">
        <v>16.79</v>
      </c>
      <c r="H2081" s="3">
        <v>2.68</v>
      </c>
      <c r="I2081" s="3">
        <v>-19.739999999999998</v>
      </c>
      <c r="J2081" s="3">
        <v>21.25</v>
      </c>
    </row>
    <row r="2082" spans="1:10" ht="14.4" x14ac:dyDescent="0.3">
      <c r="A2082" s="3"/>
      <c r="E2082" s="3">
        <v>382.18</v>
      </c>
      <c r="F2082" s="3">
        <v>-66.91</v>
      </c>
      <c r="G2082" s="3">
        <v>-116.41</v>
      </c>
      <c r="H2082" s="3">
        <v>-1.4</v>
      </c>
      <c r="I2082" s="3">
        <v>90.54</v>
      </c>
      <c r="J2082" s="3">
        <v>-28.97</v>
      </c>
    </row>
    <row r="2083" spans="1:10" ht="14.4" x14ac:dyDescent="0.3">
      <c r="A2083" s="3"/>
      <c r="E2083" s="3">
        <v>256.35000000000002</v>
      </c>
      <c r="F2083" s="3">
        <v>95.87</v>
      </c>
      <c r="G2083" s="3">
        <v>-44.59</v>
      </c>
      <c r="H2083" s="3">
        <v>2.33</v>
      </c>
      <c r="I2083" s="3">
        <v>36.43</v>
      </c>
      <c r="J2083" s="3">
        <v>82.52</v>
      </c>
    </row>
    <row r="2084" spans="1:10" ht="14.4" x14ac:dyDescent="0.3">
      <c r="A2084" s="3"/>
      <c r="E2084" s="3">
        <v>120.78</v>
      </c>
      <c r="F2084" s="3">
        <v>-148.38999999999999</v>
      </c>
      <c r="G2084" s="3">
        <v>-55.04</v>
      </c>
      <c r="H2084" s="3">
        <v>-1.05</v>
      </c>
      <c r="I2084" s="3">
        <v>34.380000000000003</v>
      </c>
      <c r="J2084" s="3">
        <v>-90.24</v>
      </c>
    </row>
    <row r="2085" spans="1:10" ht="14.4" x14ac:dyDescent="0.3">
      <c r="A2085" s="3"/>
      <c r="E2085" s="3">
        <v>-5.04</v>
      </c>
      <c r="F2085" s="3">
        <v>14.39</v>
      </c>
      <c r="G2085" s="3">
        <v>16.79</v>
      </c>
      <c r="H2085" s="3">
        <v>2.68</v>
      </c>
      <c r="I2085" s="3">
        <v>-19.739999999999998</v>
      </c>
      <c r="J2085" s="3">
        <v>21.25</v>
      </c>
    </row>
    <row r="2086" spans="1:10" ht="14.4" x14ac:dyDescent="0.3">
      <c r="A2086" s="3"/>
      <c r="E2086" s="3">
        <v>382.18</v>
      </c>
      <c r="F2086" s="3">
        <v>-66.91</v>
      </c>
      <c r="G2086" s="3">
        <v>-116.41</v>
      </c>
      <c r="H2086" s="3">
        <v>-1.4</v>
      </c>
      <c r="I2086" s="3">
        <v>90.54</v>
      </c>
      <c r="J2086" s="3">
        <v>-28.97</v>
      </c>
    </row>
    <row r="2087" spans="1:10" ht="14.4" x14ac:dyDescent="0.3">
      <c r="A2087" s="3"/>
      <c r="E2087" s="3">
        <v>256.35000000000002</v>
      </c>
      <c r="F2087" s="3">
        <v>95.87</v>
      </c>
      <c r="G2087" s="3">
        <v>-44.59</v>
      </c>
      <c r="H2087" s="3">
        <v>2.33</v>
      </c>
      <c r="I2087" s="3">
        <v>36.43</v>
      </c>
      <c r="J2087" s="3">
        <v>82.52</v>
      </c>
    </row>
    <row r="2088" spans="1:10" ht="14.4" x14ac:dyDescent="0.3">
      <c r="A2088" s="3"/>
      <c r="E2088" s="3">
        <v>120.78</v>
      </c>
      <c r="F2088" s="3">
        <v>-148.38999999999999</v>
      </c>
      <c r="G2088" s="3">
        <v>-55.04</v>
      </c>
      <c r="H2088" s="3">
        <v>-1.05</v>
      </c>
      <c r="I2088" s="3">
        <v>34.380000000000003</v>
      </c>
      <c r="J2088" s="3">
        <v>-90.24</v>
      </c>
    </row>
    <row r="2089" spans="1:10" ht="14.4" x14ac:dyDescent="0.3">
      <c r="A2089" s="3"/>
      <c r="E2089" s="3">
        <v>293.32</v>
      </c>
      <c r="F2089" s="3">
        <v>-40.85</v>
      </c>
      <c r="G2089" s="3">
        <v>-77.489999999999995</v>
      </c>
      <c r="H2089" s="3">
        <v>1</v>
      </c>
      <c r="I2089" s="3">
        <v>55.07</v>
      </c>
      <c r="J2089" s="3">
        <v>-6</v>
      </c>
    </row>
    <row r="2090" spans="1:10" ht="14.4" x14ac:dyDescent="0.3">
      <c r="A2090" s="3"/>
      <c r="E2090" s="3">
        <v>260.93</v>
      </c>
      <c r="F2090" s="3">
        <v>-42.34</v>
      </c>
      <c r="G2090" s="3">
        <v>-77.03</v>
      </c>
      <c r="H2090" s="3">
        <v>1.0900000000000001</v>
      </c>
      <c r="I2090" s="3">
        <v>44.42</v>
      </c>
      <c r="J2090" s="3">
        <v>-4.21</v>
      </c>
    </row>
    <row r="2091" spans="1:10" ht="14.4" x14ac:dyDescent="0.3">
      <c r="A2091" s="3"/>
      <c r="E2091" s="3">
        <v>306.08</v>
      </c>
      <c r="F2091" s="3">
        <v>-51.37</v>
      </c>
      <c r="G2091" s="3">
        <v>-90.14</v>
      </c>
      <c r="H2091" s="3">
        <v>1.25</v>
      </c>
      <c r="I2091" s="3">
        <v>51.09</v>
      </c>
      <c r="J2091" s="3">
        <v>-6.38</v>
      </c>
    </row>
    <row r="2092" spans="1:10" ht="14.4" x14ac:dyDescent="0.3">
      <c r="A2092" s="3"/>
      <c r="E2092" s="3">
        <v>258.2</v>
      </c>
      <c r="F2092" s="3">
        <v>-39.74</v>
      </c>
      <c r="G2092" s="3">
        <v>-73.23</v>
      </c>
      <c r="H2092" s="3">
        <v>1.01</v>
      </c>
      <c r="I2092" s="3">
        <v>45.98</v>
      </c>
      <c r="J2092" s="3">
        <v>-4.71</v>
      </c>
    </row>
    <row r="2093" spans="1:10" ht="14.4" x14ac:dyDescent="0.3">
      <c r="A2093" s="3"/>
      <c r="E2093" s="3">
        <v>402.68</v>
      </c>
      <c r="F2093" s="3">
        <v>-68.61</v>
      </c>
      <c r="G2093" s="3">
        <v>-115.19</v>
      </c>
      <c r="H2093" s="3">
        <v>1.54</v>
      </c>
      <c r="I2093" s="3">
        <v>67.319999999999993</v>
      </c>
      <c r="J2093" s="3">
        <v>-11.66</v>
      </c>
    </row>
    <row r="2094" spans="1:10" ht="14.4" x14ac:dyDescent="0.3">
      <c r="A2094" s="3"/>
      <c r="E2094" s="3">
        <v>251.4</v>
      </c>
      <c r="F2094" s="3">
        <v>-33.67</v>
      </c>
      <c r="G2094" s="3">
        <v>-66.959999999999994</v>
      </c>
      <c r="H2094" s="3">
        <v>0.98</v>
      </c>
      <c r="I2094" s="3">
        <v>46.98</v>
      </c>
      <c r="J2094" s="3">
        <v>-4.03</v>
      </c>
    </row>
    <row r="2095" spans="1:10" ht="14.4" x14ac:dyDescent="0.3">
      <c r="A2095" s="3"/>
      <c r="E2095" s="3">
        <v>255.98</v>
      </c>
      <c r="F2095" s="3">
        <v>-31.62</v>
      </c>
      <c r="G2095" s="3">
        <v>-67.489999999999995</v>
      </c>
      <c r="H2095" s="3">
        <v>0.99</v>
      </c>
      <c r="I2095" s="3">
        <v>47.6</v>
      </c>
      <c r="J2095" s="3">
        <v>-2.57</v>
      </c>
    </row>
    <row r="2096" spans="1:10" ht="14.4" x14ac:dyDescent="0.3">
      <c r="A2096" s="3"/>
      <c r="E2096" s="3">
        <v>256.83</v>
      </c>
      <c r="F2096" s="3">
        <v>-35.18</v>
      </c>
      <c r="G2096" s="3">
        <v>-67.39</v>
      </c>
      <c r="H2096" s="3">
        <v>0.84</v>
      </c>
      <c r="I2096" s="3">
        <v>48.18</v>
      </c>
      <c r="J2096" s="3">
        <v>-5.19</v>
      </c>
    </row>
    <row r="2097" spans="1:10" ht="14.4" x14ac:dyDescent="0.3">
      <c r="A2097" s="3"/>
      <c r="E2097" s="3">
        <v>254.64</v>
      </c>
      <c r="F2097" s="3">
        <v>-36.619999999999997</v>
      </c>
      <c r="G2097" s="3">
        <v>-66.98</v>
      </c>
      <c r="H2097" s="3">
        <v>0.82</v>
      </c>
      <c r="I2097" s="3">
        <v>47.88</v>
      </c>
      <c r="J2097" s="3">
        <v>-6.25</v>
      </c>
    </row>
    <row r="2098" spans="1:10" ht="14.4" x14ac:dyDescent="0.3">
      <c r="A2098" s="3"/>
      <c r="E2098" s="3">
        <v>256.91000000000003</v>
      </c>
      <c r="F2098" s="3">
        <v>-35.96</v>
      </c>
      <c r="G2098" s="3">
        <v>-67.5</v>
      </c>
      <c r="H2098" s="3">
        <v>0.87</v>
      </c>
      <c r="I2098" s="3">
        <v>48.33</v>
      </c>
      <c r="J2098" s="3">
        <v>-5.69</v>
      </c>
    </row>
    <row r="2099" spans="1:10" ht="14.4" x14ac:dyDescent="0.3">
      <c r="A2099" s="3"/>
      <c r="E2099" s="3">
        <v>255.09</v>
      </c>
      <c r="F2099" s="3">
        <v>-38.58</v>
      </c>
      <c r="G2099" s="3">
        <v>-67.55</v>
      </c>
      <c r="H2099" s="3">
        <v>0.81</v>
      </c>
      <c r="I2099" s="3">
        <v>48.35</v>
      </c>
      <c r="J2099" s="3">
        <v>-7.68</v>
      </c>
    </row>
    <row r="2100" spans="1:10" ht="14.4" x14ac:dyDescent="0.3">
      <c r="A2100" s="3"/>
      <c r="E2100" s="3">
        <v>251.49</v>
      </c>
      <c r="F2100" s="3">
        <v>-38.68</v>
      </c>
      <c r="G2100" s="3">
        <v>-66.97</v>
      </c>
      <c r="H2100" s="3">
        <v>0.84</v>
      </c>
      <c r="I2100" s="3">
        <v>47.51</v>
      </c>
      <c r="J2100" s="3">
        <v>-7.58</v>
      </c>
    </row>
    <row r="2101" spans="1:10" ht="14.4" x14ac:dyDescent="0.3">
      <c r="A2101" s="3"/>
      <c r="E2101" s="3">
        <v>254.87</v>
      </c>
      <c r="F2101" s="3">
        <v>-40.79</v>
      </c>
      <c r="G2101" s="3">
        <v>-67.17</v>
      </c>
      <c r="H2101" s="3">
        <v>0.73</v>
      </c>
      <c r="I2101" s="3">
        <v>48.49</v>
      </c>
      <c r="J2101" s="3">
        <v>-9.41</v>
      </c>
    </row>
    <row r="2102" spans="1:10" ht="14.4" x14ac:dyDescent="0.3">
      <c r="A2102" s="3"/>
      <c r="E2102" s="3">
        <v>257.39999999999998</v>
      </c>
      <c r="F2102" s="3">
        <v>-38.78</v>
      </c>
      <c r="G2102" s="3">
        <v>-67.260000000000005</v>
      </c>
      <c r="H2102" s="3">
        <v>0.75</v>
      </c>
      <c r="I2102" s="3">
        <v>48.49</v>
      </c>
      <c r="J2102" s="3">
        <v>-7.73</v>
      </c>
    </row>
    <row r="2103" spans="1:10" ht="14.4" x14ac:dyDescent="0.3">
      <c r="A2103" s="3"/>
      <c r="E2103" s="3">
        <v>252.83</v>
      </c>
      <c r="F2103" s="3">
        <v>-40.840000000000003</v>
      </c>
      <c r="G2103" s="3">
        <v>-66.73</v>
      </c>
      <c r="H2103" s="3">
        <v>0.74</v>
      </c>
      <c r="I2103" s="3">
        <v>47.87</v>
      </c>
      <c r="J2103" s="3">
        <v>-9.1999999999999993</v>
      </c>
    </row>
    <row r="2104" spans="1:10" ht="14.4" x14ac:dyDescent="0.3">
      <c r="A2104" s="3"/>
      <c r="E2104" s="3">
        <v>251.97</v>
      </c>
      <c r="F2104" s="3">
        <v>-37.270000000000003</v>
      </c>
      <c r="G2104" s="3">
        <v>-66.83</v>
      </c>
      <c r="H2104" s="3">
        <v>0.9</v>
      </c>
      <c r="I2104" s="3">
        <v>47.29</v>
      </c>
      <c r="J2104" s="3">
        <v>-6.58</v>
      </c>
    </row>
    <row r="2105" spans="1:10" ht="14.4" x14ac:dyDescent="0.3">
      <c r="A2105" s="3"/>
      <c r="E2105" s="3">
        <v>254.17</v>
      </c>
      <c r="F2105" s="3">
        <v>-35.840000000000003</v>
      </c>
      <c r="G2105" s="3">
        <v>-67.239999999999995</v>
      </c>
      <c r="H2105" s="3">
        <v>0.92</v>
      </c>
      <c r="I2105" s="3">
        <v>47.58</v>
      </c>
      <c r="J2105" s="3">
        <v>-5.51</v>
      </c>
    </row>
    <row r="2106" spans="1:10" ht="14.4" x14ac:dyDescent="0.3">
      <c r="A2106" s="3"/>
      <c r="E2106" s="3">
        <v>251.89</v>
      </c>
      <c r="F2106" s="3">
        <v>-36.49</v>
      </c>
      <c r="G2106" s="3">
        <v>-66.72</v>
      </c>
      <c r="H2106" s="3">
        <v>0.87</v>
      </c>
      <c r="I2106" s="3">
        <v>47.13</v>
      </c>
      <c r="J2106" s="3">
        <v>-6.08</v>
      </c>
    </row>
    <row r="2107" spans="1:10" ht="14.4" x14ac:dyDescent="0.3">
      <c r="A2107" s="3"/>
      <c r="E2107" s="3">
        <v>253.71</v>
      </c>
      <c r="F2107" s="3">
        <v>-33.869999999999997</v>
      </c>
      <c r="G2107" s="3">
        <v>-66.67</v>
      </c>
      <c r="H2107" s="3">
        <v>0.92</v>
      </c>
      <c r="I2107" s="3">
        <v>47.12</v>
      </c>
      <c r="J2107" s="3">
        <v>-4.09</v>
      </c>
    </row>
    <row r="2108" spans="1:10" ht="14.4" x14ac:dyDescent="0.3">
      <c r="A2108" s="3"/>
      <c r="E2108" s="3">
        <v>257.32</v>
      </c>
      <c r="F2108" s="3">
        <v>-33.770000000000003</v>
      </c>
      <c r="G2108" s="3">
        <v>-67.25</v>
      </c>
      <c r="H2108" s="3">
        <v>0.89</v>
      </c>
      <c r="I2108" s="3">
        <v>47.95</v>
      </c>
      <c r="J2108" s="3">
        <v>-4.18</v>
      </c>
    </row>
    <row r="2109" spans="1:10" ht="14.4" x14ac:dyDescent="0.3">
      <c r="A2109" s="3"/>
      <c r="E2109" s="3">
        <v>253.93</v>
      </c>
      <c r="F2109" s="3">
        <v>-31.67</v>
      </c>
      <c r="G2109" s="3">
        <v>-67.05</v>
      </c>
      <c r="H2109" s="3">
        <v>1</v>
      </c>
      <c r="I2109" s="3">
        <v>46.98</v>
      </c>
      <c r="J2109" s="3">
        <v>-2.36</v>
      </c>
    </row>
    <row r="2110" spans="1:10" ht="14.4" x14ac:dyDescent="0.3">
      <c r="A2110" s="3"/>
      <c r="E2110" s="3">
        <v>395.89</v>
      </c>
      <c r="F2110" s="3">
        <v>-62.55</v>
      </c>
      <c r="G2110" s="3">
        <v>-108.92</v>
      </c>
      <c r="H2110" s="3">
        <v>1.51</v>
      </c>
      <c r="I2110" s="3">
        <v>68.319999999999993</v>
      </c>
      <c r="J2110" s="3">
        <v>-10.98</v>
      </c>
    </row>
    <row r="2111" spans="1:10" ht="14.4" x14ac:dyDescent="0.3">
      <c r="A2111" s="3"/>
      <c r="E2111" s="3">
        <v>400.46</v>
      </c>
      <c r="F2111" s="3">
        <v>-60.49</v>
      </c>
      <c r="G2111" s="3">
        <v>-109.46</v>
      </c>
      <c r="H2111" s="3">
        <v>1.52</v>
      </c>
      <c r="I2111" s="3">
        <v>68.94</v>
      </c>
      <c r="J2111" s="3">
        <v>-9.52</v>
      </c>
    </row>
    <row r="2112" spans="1:10" ht="14.4" x14ac:dyDescent="0.3">
      <c r="A2112" s="3"/>
      <c r="E2112" s="3">
        <v>401.31</v>
      </c>
      <c r="F2112" s="3">
        <v>-64.06</v>
      </c>
      <c r="G2112" s="3">
        <v>-109.36</v>
      </c>
      <c r="H2112" s="3">
        <v>1.36</v>
      </c>
      <c r="I2112" s="3">
        <v>69.52</v>
      </c>
      <c r="J2112" s="3">
        <v>-12.14</v>
      </c>
    </row>
    <row r="2113" spans="1:10" ht="14.4" x14ac:dyDescent="0.3">
      <c r="A2113" s="3"/>
      <c r="E2113" s="3">
        <v>399.12</v>
      </c>
      <c r="F2113" s="3">
        <v>-65.489999999999995</v>
      </c>
      <c r="G2113" s="3">
        <v>-108.95</v>
      </c>
      <c r="H2113" s="3">
        <v>1.35</v>
      </c>
      <c r="I2113" s="3">
        <v>69.23</v>
      </c>
      <c r="J2113" s="3">
        <v>-13.2</v>
      </c>
    </row>
    <row r="2114" spans="1:10" ht="14.4" x14ac:dyDescent="0.3">
      <c r="A2114" s="3"/>
      <c r="E2114" s="3">
        <v>401.4</v>
      </c>
      <c r="F2114" s="3">
        <v>-64.84</v>
      </c>
      <c r="G2114" s="3">
        <v>-109.47</v>
      </c>
      <c r="H2114" s="3">
        <v>1.4</v>
      </c>
      <c r="I2114" s="3">
        <v>69.680000000000007</v>
      </c>
      <c r="J2114" s="3">
        <v>-12.64</v>
      </c>
    </row>
    <row r="2115" spans="1:10" ht="14.4" x14ac:dyDescent="0.3">
      <c r="A2115" s="3"/>
      <c r="E2115" s="3">
        <v>399.58</v>
      </c>
      <c r="F2115" s="3">
        <v>-67.459999999999994</v>
      </c>
      <c r="G2115" s="3">
        <v>-109.52</v>
      </c>
      <c r="H2115" s="3">
        <v>1.34</v>
      </c>
      <c r="I2115" s="3">
        <v>69.69</v>
      </c>
      <c r="J2115" s="3">
        <v>-14.63</v>
      </c>
    </row>
    <row r="2116" spans="1:10" ht="14.4" x14ac:dyDescent="0.3">
      <c r="A2116" s="3"/>
      <c r="E2116" s="3">
        <v>395.97</v>
      </c>
      <c r="F2116" s="3">
        <v>-67.56</v>
      </c>
      <c r="G2116" s="3">
        <v>-108.94</v>
      </c>
      <c r="H2116" s="3">
        <v>1.37</v>
      </c>
      <c r="I2116" s="3">
        <v>68.86</v>
      </c>
      <c r="J2116" s="3">
        <v>-14.53</v>
      </c>
    </row>
    <row r="2117" spans="1:10" ht="14.4" x14ac:dyDescent="0.3">
      <c r="A2117" s="3"/>
      <c r="E2117" s="3">
        <v>399.36</v>
      </c>
      <c r="F2117" s="3">
        <v>-69.66</v>
      </c>
      <c r="G2117" s="3">
        <v>-109.14</v>
      </c>
      <c r="H2117" s="3">
        <v>1.26</v>
      </c>
      <c r="I2117" s="3">
        <v>69.83</v>
      </c>
      <c r="J2117" s="3">
        <v>-16.36</v>
      </c>
    </row>
    <row r="2118" spans="1:10" ht="14.4" x14ac:dyDescent="0.3">
      <c r="A2118" s="3"/>
      <c r="E2118" s="3">
        <v>401.88</v>
      </c>
      <c r="F2118" s="3">
        <v>-67.66</v>
      </c>
      <c r="G2118" s="3">
        <v>-109.23</v>
      </c>
      <c r="H2118" s="3">
        <v>1.28</v>
      </c>
      <c r="I2118" s="3">
        <v>69.83</v>
      </c>
      <c r="J2118" s="3">
        <v>-14.68</v>
      </c>
    </row>
    <row r="2119" spans="1:10" ht="14.4" x14ac:dyDescent="0.3">
      <c r="A2119" s="3"/>
      <c r="E2119" s="3">
        <v>397.31</v>
      </c>
      <c r="F2119" s="3">
        <v>-69.709999999999994</v>
      </c>
      <c r="G2119" s="3">
        <v>-108.7</v>
      </c>
      <c r="H2119" s="3">
        <v>1.27</v>
      </c>
      <c r="I2119" s="3">
        <v>69.209999999999994</v>
      </c>
      <c r="J2119" s="3">
        <v>-16.14</v>
      </c>
    </row>
    <row r="2120" spans="1:10" ht="14.4" x14ac:dyDescent="0.3">
      <c r="A2120" s="3"/>
      <c r="E2120" s="3">
        <v>396.46</v>
      </c>
      <c r="F2120" s="3">
        <v>-66.14</v>
      </c>
      <c r="G2120" s="3">
        <v>-108.8</v>
      </c>
      <c r="H2120" s="3">
        <v>1.42</v>
      </c>
      <c r="I2120" s="3">
        <v>68.63</v>
      </c>
      <c r="J2120" s="3">
        <v>-13.53</v>
      </c>
    </row>
    <row r="2121" spans="1:10" ht="14.4" x14ac:dyDescent="0.3">
      <c r="A2121" s="3"/>
      <c r="E2121" s="3">
        <v>398.65</v>
      </c>
      <c r="F2121" s="3">
        <v>-64.709999999999994</v>
      </c>
      <c r="G2121" s="3">
        <v>-109.21</v>
      </c>
      <c r="H2121" s="3">
        <v>1.44</v>
      </c>
      <c r="I2121" s="3">
        <v>68.930000000000007</v>
      </c>
      <c r="J2121" s="3">
        <v>-12.46</v>
      </c>
    </row>
    <row r="2122" spans="1:10" ht="14.4" x14ac:dyDescent="0.3">
      <c r="A2122" s="3"/>
      <c r="E2122" s="3">
        <v>396.37</v>
      </c>
      <c r="F2122" s="3">
        <v>-65.37</v>
      </c>
      <c r="G2122" s="3">
        <v>-108.69</v>
      </c>
      <c r="H2122" s="3">
        <v>1.39</v>
      </c>
      <c r="I2122" s="3">
        <v>68.48</v>
      </c>
      <c r="J2122" s="3">
        <v>-13.03</v>
      </c>
    </row>
    <row r="2123" spans="1:10" ht="14.4" x14ac:dyDescent="0.3">
      <c r="A2123" s="3"/>
      <c r="E2123" s="3">
        <v>398.19</v>
      </c>
      <c r="F2123" s="3">
        <v>-62.75</v>
      </c>
      <c r="G2123" s="3">
        <v>-108.64</v>
      </c>
      <c r="H2123" s="3">
        <v>1.45</v>
      </c>
      <c r="I2123" s="3">
        <v>68.459999999999994</v>
      </c>
      <c r="J2123" s="3">
        <v>-11.04</v>
      </c>
    </row>
    <row r="2124" spans="1:10" ht="14.4" x14ac:dyDescent="0.3">
      <c r="A2124" s="3"/>
      <c r="E2124" s="3">
        <v>401.8</v>
      </c>
      <c r="F2124" s="3">
        <v>-62.65</v>
      </c>
      <c r="G2124" s="3">
        <v>-109.22</v>
      </c>
      <c r="H2124" s="3">
        <v>1.42</v>
      </c>
      <c r="I2124" s="3">
        <v>69.3</v>
      </c>
      <c r="J2124" s="3">
        <v>-11.13</v>
      </c>
    </row>
    <row r="2125" spans="1:10" ht="14.4" x14ac:dyDescent="0.3">
      <c r="A2125" s="3"/>
      <c r="E2125" s="3">
        <v>398.41</v>
      </c>
      <c r="F2125" s="3">
        <v>-60.54</v>
      </c>
      <c r="G2125" s="3">
        <v>-109.02</v>
      </c>
      <c r="H2125" s="3">
        <v>1.53</v>
      </c>
      <c r="I2125" s="3">
        <v>68.319999999999993</v>
      </c>
      <c r="J2125" s="3">
        <v>-9.31</v>
      </c>
    </row>
    <row r="2126" spans="1:10" ht="14.4" x14ac:dyDescent="0.3">
      <c r="A2126" s="3"/>
      <c r="E2126" s="3">
        <v>250.15</v>
      </c>
      <c r="F2126" s="3">
        <v>-33.799999999999997</v>
      </c>
      <c r="G2126" s="3">
        <v>-72.44</v>
      </c>
      <c r="H2126" s="3">
        <v>1.24</v>
      </c>
      <c r="I2126" s="3">
        <v>44.1</v>
      </c>
      <c r="J2126" s="3">
        <v>-0.5</v>
      </c>
    </row>
    <row r="2127" spans="1:10" ht="14.4" x14ac:dyDescent="0.3">
      <c r="A2127" s="3"/>
      <c r="E2127" s="3">
        <v>259.3</v>
      </c>
      <c r="F2127" s="3">
        <v>-29.68</v>
      </c>
      <c r="G2127" s="3">
        <v>-73.5</v>
      </c>
      <c r="H2127" s="3">
        <v>1.25</v>
      </c>
      <c r="I2127" s="3">
        <v>45.34</v>
      </c>
      <c r="J2127" s="3">
        <v>2.42</v>
      </c>
    </row>
    <row r="2128" spans="1:10" ht="14.4" x14ac:dyDescent="0.3">
      <c r="A2128" s="3"/>
      <c r="E2128" s="3">
        <v>261.01</v>
      </c>
      <c r="F2128" s="3">
        <v>-36.82</v>
      </c>
      <c r="G2128" s="3">
        <v>-73.31</v>
      </c>
      <c r="H2128" s="3">
        <v>0.95</v>
      </c>
      <c r="I2128" s="3">
        <v>46.5</v>
      </c>
      <c r="J2128" s="3">
        <v>-2.82</v>
      </c>
    </row>
    <row r="2129" spans="1:10" ht="14.4" x14ac:dyDescent="0.3">
      <c r="A2129" s="3"/>
      <c r="E2129" s="3">
        <v>256.62</v>
      </c>
      <c r="F2129" s="3">
        <v>-39.68</v>
      </c>
      <c r="G2129" s="3">
        <v>-72.489999999999995</v>
      </c>
      <c r="H2129" s="3">
        <v>0.91</v>
      </c>
      <c r="I2129" s="3">
        <v>45.91</v>
      </c>
      <c r="J2129" s="3">
        <v>-4.9400000000000004</v>
      </c>
    </row>
    <row r="2130" spans="1:10" ht="14.4" x14ac:dyDescent="0.3">
      <c r="A2130" s="3"/>
      <c r="E2130" s="3">
        <v>261.17</v>
      </c>
      <c r="F2130" s="3">
        <v>-38.369999999999997</v>
      </c>
      <c r="G2130" s="3">
        <v>-73.53</v>
      </c>
      <c r="H2130" s="3">
        <v>1.01</v>
      </c>
      <c r="I2130" s="3">
        <v>46.81</v>
      </c>
      <c r="J2130" s="3">
        <v>-3.81</v>
      </c>
    </row>
    <row r="2131" spans="1:10" ht="14.4" x14ac:dyDescent="0.3">
      <c r="A2131" s="3"/>
      <c r="E2131" s="3">
        <v>257.52999999999997</v>
      </c>
      <c r="F2131" s="3">
        <v>-43.61</v>
      </c>
      <c r="G2131" s="3">
        <v>-73.63</v>
      </c>
      <c r="H2131" s="3">
        <v>0.89</v>
      </c>
      <c r="I2131" s="3">
        <v>46.84</v>
      </c>
      <c r="J2131" s="3">
        <v>-7.8</v>
      </c>
    </row>
    <row r="2132" spans="1:10" ht="14.4" x14ac:dyDescent="0.3">
      <c r="A2132" s="3"/>
      <c r="E2132" s="3">
        <v>250.32</v>
      </c>
      <c r="F2132" s="3">
        <v>-43.81</v>
      </c>
      <c r="G2132" s="3">
        <v>-72.47</v>
      </c>
      <c r="H2132" s="3">
        <v>0.96</v>
      </c>
      <c r="I2132" s="3">
        <v>45.17</v>
      </c>
      <c r="J2132" s="3">
        <v>-7.6</v>
      </c>
    </row>
    <row r="2133" spans="1:10" ht="14.4" x14ac:dyDescent="0.3">
      <c r="A2133" s="3"/>
      <c r="E2133" s="3">
        <v>257.08999999999997</v>
      </c>
      <c r="F2133" s="3">
        <v>-48.02</v>
      </c>
      <c r="G2133" s="3">
        <v>-72.86</v>
      </c>
      <c r="H2133" s="3">
        <v>0.73</v>
      </c>
      <c r="I2133" s="3">
        <v>47.12</v>
      </c>
      <c r="J2133" s="3">
        <v>-11.26</v>
      </c>
    </row>
    <row r="2134" spans="1:10" ht="14.4" x14ac:dyDescent="0.3">
      <c r="A2134" s="3"/>
      <c r="E2134" s="3">
        <v>262.14999999999998</v>
      </c>
      <c r="F2134" s="3">
        <v>-44.01</v>
      </c>
      <c r="G2134" s="3">
        <v>-73.06</v>
      </c>
      <c r="H2134" s="3">
        <v>0.77</v>
      </c>
      <c r="I2134" s="3">
        <v>47.12</v>
      </c>
      <c r="J2134" s="3">
        <v>-7.91</v>
      </c>
    </row>
    <row r="2135" spans="1:10" ht="14.4" x14ac:dyDescent="0.3">
      <c r="A2135" s="3"/>
      <c r="E2135" s="3">
        <v>253</v>
      </c>
      <c r="F2135" s="3">
        <v>-48.13</v>
      </c>
      <c r="G2135" s="3">
        <v>-71.989999999999995</v>
      </c>
      <c r="H2135" s="3">
        <v>0.76</v>
      </c>
      <c r="I2135" s="3">
        <v>45.88</v>
      </c>
      <c r="J2135" s="3">
        <v>-10.83</v>
      </c>
    </row>
    <row r="2136" spans="1:10" ht="14.4" x14ac:dyDescent="0.3">
      <c r="A2136" s="3"/>
      <c r="E2136" s="3">
        <v>251.29</v>
      </c>
      <c r="F2136" s="3">
        <v>-40.99</v>
      </c>
      <c r="G2136" s="3">
        <v>-72.19</v>
      </c>
      <c r="H2136" s="3">
        <v>1.07</v>
      </c>
      <c r="I2136" s="3">
        <v>44.72</v>
      </c>
      <c r="J2136" s="3">
        <v>-5.59</v>
      </c>
    </row>
    <row r="2137" spans="1:10" ht="14.4" x14ac:dyDescent="0.3">
      <c r="A2137" s="3"/>
      <c r="E2137" s="3">
        <v>255.68</v>
      </c>
      <c r="F2137" s="3">
        <v>-38.130000000000003</v>
      </c>
      <c r="G2137" s="3">
        <v>-73.010000000000005</v>
      </c>
      <c r="H2137" s="3">
        <v>1.1000000000000001</v>
      </c>
      <c r="I2137" s="3">
        <v>45.31</v>
      </c>
      <c r="J2137" s="3">
        <v>-3.47</v>
      </c>
    </row>
    <row r="2138" spans="1:10" ht="14.4" x14ac:dyDescent="0.3">
      <c r="A2138" s="3"/>
      <c r="E2138" s="3">
        <v>251.12</v>
      </c>
      <c r="F2138" s="3">
        <v>-39.44</v>
      </c>
      <c r="G2138" s="3">
        <v>-71.97</v>
      </c>
      <c r="H2138" s="3">
        <v>1</v>
      </c>
      <c r="I2138" s="3">
        <v>44.41</v>
      </c>
      <c r="J2138" s="3">
        <v>-4.5999999999999996</v>
      </c>
    </row>
    <row r="2139" spans="1:10" ht="14.4" x14ac:dyDescent="0.3">
      <c r="A2139" s="3"/>
      <c r="E2139" s="3">
        <v>254.76</v>
      </c>
      <c r="F2139" s="3">
        <v>-34.200000000000003</v>
      </c>
      <c r="G2139" s="3">
        <v>-71.87</v>
      </c>
      <c r="H2139" s="3">
        <v>1.1200000000000001</v>
      </c>
      <c r="I2139" s="3">
        <v>44.38</v>
      </c>
      <c r="J2139" s="3">
        <v>-0.61</v>
      </c>
    </row>
    <row r="2140" spans="1:10" ht="14.4" x14ac:dyDescent="0.3">
      <c r="A2140" s="3"/>
      <c r="E2140" s="3">
        <v>261.98</v>
      </c>
      <c r="F2140" s="3">
        <v>-34</v>
      </c>
      <c r="G2140" s="3">
        <v>-73.03</v>
      </c>
      <c r="H2140" s="3">
        <v>1.05</v>
      </c>
      <c r="I2140" s="3">
        <v>46.05</v>
      </c>
      <c r="J2140" s="3">
        <v>-0.8</v>
      </c>
    </row>
    <row r="2141" spans="1:10" ht="14.4" x14ac:dyDescent="0.3">
      <c r="A2141" s="3"/>
      <c r="E2141" s="3">
        <v>247.5</v>
      </c>
      <c r="F2141" s="3">
        <v>-28.52</v>
      </c>
      <c r="G2141" s="3">
        <v>-71.69</v>
      </c>
      <c r="H2141" s="3">
        <v>1.22</v>
      </c>
      <c r="I2141" s="3">
        <v>43.54</v>
      </c>
      <c r="J2141" s="3">
        <v>2.9</v>
      </c>
    </row>
    <row r="2142" spans="1:10" ht="14.4" x14ac:dyDescent="0.3">
      <c r="A2142" s="3"/>
      <c r="E2142" s="3">
        <v>250.15</v>
      </c>
      <c r="F2142" s="3">
        <v>-33.799999999999997</v>
      </c>
      <c r="G2142" s="3">
        <v>-72.44</v>
      </c>
      <c r="H2142" s="3">
        <v>1.24</v>
      </c>
      <c r="I2142" s="3">
        <v>44.1</v>
      </c>
      <c r="J2142" s="3">
        <v>-0.5</v>
      </c>
    </row>
    <row r="2143" spans="1:10" ht="14.4" x14ac:dyDescent="0.3">
      <c r="A2143" s="3"/>
      <c r="E2143" s="3">
        <v>259.3</v>
      </c>
      <c r="F2143" s="3">
        <v>-29.68</v>
      </c>
      <c r="G2143" s="3">
        <v>-73.5</v>
      </c>
      <c r="H2143" s="3">
        <v>1.25</v>
      </c>
      <c r="I2143" s="3">
        <v>45.34</v>
      </c>
      <c r="J2143" s="3">
        <v>2.42</v>
      </c>
    </row>
    <row r="2144" spans="1:10" ht="14.4" x14ac:dyDescent="0.3">
      <c r="A2144" s="3"/>
      <c r="E2144" s="3">
        <v>261.01</v>
      </c>
      <c r="F2144" s="3">
        <v>-36.82</v>
      </c>
      <c r="G2144" s="3">
        <v>-73.31</v>
      </c>
      <c r="H2144" s="3">
        <v>0.95</v>
      </c>
      <c r="I2144" s="3">
        <v>46.5</v>
      </c>
      <c r="J2144" s="3">
        <v>-2.82</v>
      </c>
    </row>
    <row r="2145" spans="1:10" ht="14.4" x14ac:dyDescent="0.3">
      <c r="A2145" s="3"/>
      <c r="E2145" s="3">
        <v>256.62</v>
      </c>
      <c r="F2145" s="3">
        <v>-39.68</v>
      </c>
      <c r="G2145" s="3">
        <v>-72.489999999999995</v>
      </c>
      <c r="H2145" s="3">
        <v>0.91</v>
      </c>
      <c r="I2145" s="3">
        <v>45.91</v>
      </c>
      <c r="J2145" s="3">
        <v>-4.9400000000000004</v>
      </c>
    </row>
    <row r="2146" spans="1:10" ht="14.4" x14ac:dyDescent="0.3">
      <c r="A2146" s="3"/>
      <c r="E2146" s="3">
        <v>261.17</v>
      </c>
      <c r="F2146" s="3">
        <v>-38.369999999999997</v>
      </c>
      <c r="G2146" s="3">
        <v>-73.53</v>
      </c>
      <c r="H2146" s="3">
        <v>1.01</v>
      </c>
      <c r="I2146" s="3">
        <v>46.81</v>
      </c>
      <c r="J2146" s="3">
        <v>-3.81</v>
      </c>
    </row>
    <row r="2147" spans="1:10" ht="14.4" x14ac:dyDescent="0.3">
      <c r="A2147" s="3"/>
      <c r="E2147" s="3">
        <v>257.52999999999997</v>
      </c>
      <c r="F2147" s="3">
        <v>-43.61</v>
      </c>
      <c r="G2147" s="3">
        <v>-73.63</v>
      </c>
      <c r="H2147" s="3">
        <v>0.89</v>
      </c>
      <c r="I2147" s="3">
        <v>46.84</v>
      </c>
      <c r="J2147" s="3">
        <v>-7.8</v>
      </c>
    </row>
    <row r="2148" spans="1:10" ht="14.4" x14ac:dyDescent="0.3">
      <c r="A2148" s="3"/>
      <c r="E2148" s="3">
        <v>250.32</v>
      </c>
      <c r="F2148" s="3">
        <v>-43.81</v>
      </c>
      <c r="G2148" s="3">
        <v>-72.47</v>
      </c>
      <c r="H2148" s="3">
        <v>0.96</v>
      </c>
      <c r="I2148" s="3">
        <v>45.17</v>
      </c>
      <c r="J2148" s="3">
        <v>-7.6</v>
      </c>
    </row>
    <row r="2149" spans="1:10" ht="14.4" x14ac:dyDescent="0.3">
      <c r="A2149" s="3"/>
      <c r="E2149" s="3">
        <v>257.08999999999997</v>
      </c>
      <c r="F2149" s="3">
        <v>-48.02</v>
      </c>
      <c r="G2149" s="3">
        <v>-72.86</v>
      </c>
      <c r="H2149" s="3">
        <v>0.73</v>
      </c>
      <c r="I2149" s="3">
        <v>47.12</v>
      </c>
      <c r="J2149" s="3">
        <v>-11.26</v>
      </c>
    </row>
    <row r="2150" spans="1:10" ht="14.4" x14ac:dyDescent="0.3">
      <c r="A2150" s="3"/>
      <c r="E2150" s="3">
        <v>262.14999999999998</v>
      </c>
      <c r="F2150" s="3">
        <v>-44.01</v>
      </c>
      <c r="G2150" s="3">
        <v>-73.06</v>
      </c>
      <c r="H2150" s="3">
        <v>0.77</v>
      </c>
      <c r="I2150" s="3">
        <v>47.12</v>
      </c>
      <c r="J2150" s="3">
        <v>-7.91</v>
      </c>
    </row>
    <row r="2151" spans="1:10" ht="14.4" x14ac:dyDescent="0.3">
      <c r="A2151" s="3"/>
      <c r="E2151" s="3">
        <v>253</v>
      </c>
      <c r="F2151" s="3">
        <v>-48.13</v>
      </c>
      <c r="G2151" s="3">
        <v>-71.989999999999995</v>
      </c>
      <c r="H2151" s="3">
        <v>0.76</v>
      </c>
      <c r="I2151" s="3">
        <v>45.88</v>
      </c>
      <c r="J2151" s="3">
        <v>-10.83</v>
      </c>
    </row>
    <row r="2152" spans="1:10" ht="14.4" x14ac:dyDescent="0.3">
      <c r="A2152" s="3"/>
      <c r="E2152" s="3">
        <v>251.29</v>
      </c>
      <c r="F2152" s="3">
        <v>-40.99</v>
      </c>
      <c r="G2152" s="3">
        <v>-72.19</v>
      </c>
      <c r="H2152" s="3">
        <v>1.07</v>
      </c>
      <c r="I2152" s="3">
        <v>44.72</v>
      </c>
      <c r="J2152" s="3">
        <v>-5.59</v>
      </c>
    </row>
    <row r="2153" spans="1:10" ht="14.4" x14ac:dyDescent="0.3">
      <c r="A2153" s="3"/>
      <c r="E2153" s="3">
        <v>255.68</v>
      </c>
      <c r="F2153" s="3">
        <v>-38.130000000000003</v>
      </c>
      <c r="G2153" s="3">
        <v>-73.010000000000005</v>
      </c>
      <c r="H2153" s="3">
        <v>1.1000000000000001</v>
      </c>
      <c r="I2153" s="3">
        <v>45.31</v>
      </c>
      <c r="J2153" s="3">
        <v>-3.47</v>
      </c>
    </row>
    <row r="2154" spans="1:10" ht="14.4" x14ac:dyDescent="0.3">
      <c r="A2154" s="3"/>
      <c r="E2154" s="3">
        <v>251.12</v>
      </c>
      <c r="F2154" s="3">
        <v>-39.44</v>
      </c>
      <c r="G2154" s="3">
        <v>-71.97</v>
      </c>
      <c r="H2154" s="3">
        <v>1</v>
      </c>
      <c r="I2154" s="3">
        <v>44.41</v>
      </c>
      <c r="J2154" s="3">
        <v>-4.5999999999999996</v>
      </c>
    </row>
    <row r="2155" spans="1:10" ht="14.4" x14ac:dyDescent="0.3">
      <c r="A2155" s="3"/>
      <c r="E2155" s="3">
        <v>254.76</v>
      </c>
      <c r="F2155" s="3">
        <v>-34.200000000000003</v>
      </c>
      <c r="G2155" s="3">
        <v>-71.87</v>
      </c>
      <c r="H2155" s="3">
        <v>1.1200000000000001</v>
      </c>
      <c r="I2155" s="3">
        <v>44.38</v>
      </c>
      <c r="J2155" s="3">
        <v>-0.61</v>
      </c>
    </row>
    <row r="2156" spans="1:10" ht="14.4" x14ac:dyDescent="0.3">
      <c r="A2156" s="3"/>
      <c r="E2156" s="3">
        <v>261.98</v>
      </c>
      <c r="F2156" s="3">
        <v>-34</v>
      </c>
      <c r="G2156" s="3">
        <v>-73.03</v>
      </c>
      <c r="H2156" s="3">
        <v>1.05</v>
      </c>
      <c r="I2156" s="3">
        <v>46.05</v>
      </c>
      <c r="J2156" s="3">
        <v>-0.8</v>
      </c>
    </row>
    <row r="2157" spans="1:10" ht="14.4" x14ac:dyDescent="0.3">
      <c r="A2157" s="3"/>
      <c r="E2157" s="3">
        <v>261.98</v>
      </c>
      <c r="F2157" s="3">
        <v>-34</v>
      </c>
      <c r="G2157" s="3">
        <v>-73.03</v>
      </c>
      <c r="H2157" s="3">
        <v>1.05</v>
      </c>
      <c r="I2157" s="3">
        <v>46.05</v>
      </c>
      <c r="J2157" s="3">
        <v>-0.8</v>
      </c>
    </row>
    <row r="2158" spans="1:10" ht="14.4" x14ac:dyDescent="0.3">
      <c r="A2158" s="3"/>
      <c r="E2158" s="3">
        <v>182.57</v>
      </c>
      <c r="F2158" s="3">
        <v>-21.16</v>
      </c>
      <c r="G2158" s="3">
        <v>-49.51</v>
      </c>
      <c r="H2158" s="3">
        <v>0.87</v>
      </c>
      <c r="I2158" s="3">
        <v>33.89</v>
      </c>
      <c r="J2158" s="3">
        <v>-0.16</v>
      </c>
    </row>
    <row r="2159" spans="1:10" ht="14.4" x14ac:dyDescent="0.3">
      <c r="A2159" s="3"/>
      <c r="E2159" s="3">
        <v>191.72</v>
      </c>
      <c r="F2159" s="3">
        <v>-17.04</v>
      </c>
      <c r="G2159" s="3">
        <v>-50.57</v>
      </c>
      <c r="H2159" s="3">
        <v>0.89</v>
      </c>
      <c r="I2159" s="3">
        <v>35.130000000000003</v>
      </c>
      <c r="J2159" s="3">
        <v>2.77</v>
      </c>
    </row>
    <row r="2160" spans="1:10" ht="14.4" x14ac:dyDescent="0.3">
      <c r="A2160" s="3"/>
      <c r="E2160" s="3">
        <v>193.42</v>
      </c>
      <c r="F2160" s="3">
        <v>-24.18</v>
      </c>
      <c r="G2160" s="3">
        <v>-50.37</v>
      </c>
      <c r="H2160" s="3">
        <v>0.57999999999999996</v>
      </c>
      <c r="I2160" s="3">
        <v>36.29</v>
      </c>
      <c r="J2160" s="3">
        <v>-2.4700000000000002</v>
      </c>
    </row>
    <row r="2161" spans="1:10" ht="14.4" x14ac:dyDescent="0.3">
      <c r="A2161" s="3"/>
      <c r="E2161" s="3">
        <v>189.03</v>
      </c>
      <c r="F2161" s="3">
        <v>-27.04</v>
      </c>
      <c r="G2161" s="3">
        <v>-49.55</v>
      </c>
      <c r="H2161" s="3">
        <v>0.54</v>
      </c>
      <c r="I2161" s="3">
        <v>35.700000000000003</v>
      </c>
      <c r="J2161" s="3">
        <v>-4.5999999999999996</v>
      </c>
    </row>
    <row r="2162" spans="1:10" ht="14.4" x14ac:dyDescent="0.3">
      <c r="A2162" s="3"/>
      <c r="E2162" s="3">
        <v>193.59</v>
      </c>
      <c r="F2162" s="3">
        <v>-25.73</v>
      </c>
      <c r="G2162" s="3">
        <v>-50.59</v>
      </c>
      <c r="H2162" s="3">
        <v>0.64</v>
      </c>
      <c r="I2162" s="3">
        <v>36.6</v>
      </c>
      <c r="J2162" s="3">
        <v>-3.47</v>
      </c>
    </row>
    <row r="2163" spans="1:10" ht="14.4" x14ac:dyDescent="0.3">
      <c r="A2163" s="3"/>
      <c r="E2163" s="3">
        <v>189.95</v>
      </c>
      <c r="F2163" s="3">
        <v>-30.97</v>
      </c>
      <c r="G2163" s="3">
        <v>-50.7</v>
      </c>
      <c r="H2163" s="3">
        <v>0.53</v>
      </c>
      <c r="I2163" s="3">
        <v>36.630000000000003</v>
      </c>
      <c r="J2163" s="3">
        <v>-7.45</v>
      </c>
    </row>
    <row r="2164" spans="1:10" ht="14.4" x14ac:dyDescent="0.3">
      <c r="A2164" s="3"/>
      <c r="E2164" s="3">
        <v>182.74</v>
      </c>
      <c r="F2164" s="3">
        <v>-31.17</v>
      </c>
      <c r="G2164" s="3">
        <v>-49.53</v>
      </c>
      <c r="H2164" s="3">
        <v>0.59</v>
      </c>
      <c r="I2164" s="3">
        <v>34.96</v>
      </c>
      <c r="J2164" s="3">
        <v>-7.26</v>
      </c>
    </row>
    <row r="2165" spans="1:10" ht="14.4" x14ac:dyDescent="0.3">
      <c r="A2165" s="3"/>
      <c r="E2165" s="3">
        <v>189.51</v>
      </c>
      <c r="F2165" s="3">
        <v>-35.380000000000003</v>
      </c>
      <c r="G2165" s="3">
        <v>-49.93</v>
      </c>
      <c r="H2165" s="3">
        <v>0.37</v>
      </c>
      <c r="I2165" s="3">
        <v>36.909999999999997</v>
      </c>
      <c r="J2165" s="3">
        <v>-10.91</v>
      </c>
    </row>
    <row r="2166" spans="1:10" ht="14.4" x14ac:dyDescent="0.3">
      <c r="A2166" s="3"/>
      <c r="E2166" s="3">
        <v>194.56</v>
      </c>
      <c r="F2166" s="3">
        <v>-31.37</v>
      </c>
      <c r="G2166" s="3">
        <v>-50.12</v>
      </c>
      <c r="H2166" s="3">
        <v>0.41</v>
      </c>
      <c r="I2166" s="3">
        <v>36.909999999999997</v>
      </c>
      <c r="J2166" s="3">
        <v>-7.56</v>
      </c>
    </row>
    <row r="2167" spans="1:10" ht="14.4" x14ac:dyDescent="0.3">
      <c r="A2167" s="3"/>
      <c r="E2167" s="3">
        <v>185.41</v>
      </c>
      <c r="F2167" s="3">
        <v>-35.479999999999997</v>
      </c>
      <c r="G2167" s="3">
        <v>-49.06</v>
      </c>
      <c r="H2167" s="3">
        <v>0.39</v>
      </c>
      <c r="I2167" s="3">
        <v>35.67</v>
      </c>
      <c r="J2167" s="3">
        <v>-10.48</v>
      </c>
    </row>
    <row r="2168" spans="1:10" ht="14.4" x14ac:dyDescent="0.3">
      <c r="A2168" s="3"/>
      <c r="E2168" s="3">
        <v>183.71</v>
      </c>
      <c r="F2168" s="3">
        <v>-28.35</v>
      </c>
      <c r="G2168" s="3">
        <v>-49.25</v>
      </c>
      <c r="H2168" s="3">
        <v>0.7</v>
      </c>
      <c r="I2168" s="3">
        <v>34.51</v>
      </c>
      <c r="J2168" s="3">
        <v>-5.25</v>
      </c>
    </row>
    <row r="2169" spans="1:10" ht="14.4" x14ac:dyDescent="0.3">
      <c r="A2169" s="3"/>
      <c r="E2169" s="3">
        <v>188.1</v>
      </c>
      <c r="F2169" s="3">
        <v>-25.49</v>
      </c>
      <c r="G2169" s="3">
        <v>-50.07</v>
      </c>
      <c r="H2169" s="3">
        <v>0.74</v>
      </c>
      <c r="I2169" s="3">
        <v>35.1</v>
      </c>
      <c r="J2169" s="3">
        <v>-3.12</v>
      </c>
    </row>
    <row r="2170" spans="1:10" ht="14.4" x14ac:dyDescent="0.3">
      <c r="A2170" s="3"/>
      <c r="E2170" s="3">
        <v>183.54</v>
      </c>
      <c r="F2170" s="3">
        <v>-26.8</v>
      </c>
      <c r="G2170" s="3">
        <v>-49.03</v>
      </c>
      <c r="H2170" s="3">
        <v>0.64</v>
      </c>
      <c r="I2170" s="3">
        <v>34.200000000000003</v>
      </c>
      <c r="J2170" s="3">
        <v>-4.25</v>
      </c>
    </row>
    <row r="2171" spans="1:10" ht="14.4" x14ac:dyDescent="0.3">
      <c r="A2171" s="3"/>
      <c r="E2171" s="3">
        <v>187.18</v>
      </c>
      <c r="F2171" s="3">
        <v>-21.56</v>
      </c>
      <c r="G2171" s="3">
        <v>-48.93</v>
      </c>
      <c r="H2171" s="3">
        <v>0.75</v>
      </c>
      <c r="I2171" s="3">
        <v>34.17</v>
      </c>
      <c r="J2171" s="3">
        <v>-0.27</v>
      </c>
    </row>
    <row r="2172" spans="1:10" ht="14.4" x14ac:dyDescent="0.3">
      <c r="A2172" s="3"/>
      <c r="E2172" s="3">
        <v>194.39</v>
      </c>
      <c r="F2172" s="3">
        <v>-21.36</v>
      </c>
      <c r="G2172" s="3">
        <v>-50.09</v>
      </c>
      <c r="H2172" s="3">
        <v>0.69</v>
      </c>
      <c r="I2172" s="3">
        <v>35.840000000000003</v>
      </c>
      <c r="J2172" s="3">
        <v>-0.46</v>
      </c>
    </row>
    <row r="2173" spans="1:10" ht="14.4" x14ac:dyDescent="0.3">
      <c r="A2173" s="3"/>
      <c r="E2173" s="3">
        <v>187.62</v>
      </c>
      <c r="F2173" s="3">
        <v>-17.14</v>
      </c>
      <c r="G2173" s="3">
        <v>-49.7</v>
      </c>
      <c r="H2173" s="3">
        <v>0.91</v>
      </c>
      <c r="I2173" s="3">
        <v>33.89</v>
      </c>
      <c r="J2173" s="3">
        <v>3.19</v>
      </c>
    </row>
    <row r="2174" spans="1:10" ht="14.4" x14ac:dyDescent="0.3">
      <c r="A2174" s="3"/>
      <c r="E2174" s="3">
        <v>219.89</v>
      </c>
      <c r="F2174" s="3">
        <v>-9.3000000000000007</v>
      </c>
      <c r="G2174" s="3">
        <v>-52.2</v>
      </c>
      <c r="H2174" s="3">
        <v>2.29</v>
      </c>
      <c r="I2174" s="3">
        <v>28.83</v>
      </c>
      <c r="J2174" s="3">
        <v>18.100000000000001</v>
      </c>
    </row>
    <row r="2175" spans="1:10" ht="14.4" x14ac:dyDescent="0.3">
      <c r="A2175" s="3"/>
      <c r="E2175" s="3">
        <v>308.94</v>
      </c>
      <c r="F2175" s="3">
        <v>-34.06</v>
      </c>
      <c r="G2175" s="3">
        <v>-91.48</v>
      </c>
      <c r="H2175" s="3">
        <v>0.18</v>
      </c>
      <c r="I2175" s="3">
        <v>62.33</v>
      </c>
      <c r="J2175" s="3">
        <v>-2.6</v>
      </c>
    </row>
    <row r="2176" spans="1:10" ht="14.4" x14ac:dyDescent="0.3">
      <c r="A2176" s="3"/>
      <c r="E2176" s="3">
        <v>201.49</v>
      </c>
      <c r="F2176" s="3">
        <v>-42.99</v>
      </c>
      <c r="G2176" s="3">
        <v>-53.58</v>
      </c>
      <c r="H2176" s="3">
        <v>1.83</v>
      </c>
      <c r="I2176" s="3">
        <v>28.56</v>
      </c>
      <c r="J2176" s="3">
        <v>-5.35</v>
      </c>
    </row>
    <row r="2177" spans="1:10" ht="14.4" x14ac:dyDescent="0.3">
      <c r="A2177" s="3"/>
      <c r="E2177" s="3">
        <v>290.55</v>
      </c>
      <c r="F2177" s="3">
        <v>-67.75</v>
      </c>
      <c r="G2177" s="3">
        <v>-92.86</v>
      </c>
      <c r="H2177" s="3">
        <v>-0.28000000000000003</v>
      </c>
      <c r="I2177" s="3">
        <v>62.05</v>
      </c>
      <c r="J2177" s="3">
        <v>-26.05</v>
      </c>
    </row>
    <row r="2178" spans="1:10" ht="14.4" x14ac:dyDescent="0.3">
      <c r="A2178" s="3"/>
      <c r="E2178" s="3">
        <v>219.89</v>
      </c>
      <c r="F2178" s="3">
        <v>-9.3000000000000007</v>
      </c>
      <c r="G2178" s="3">
        <v>-52.2</v>
      </c>
      <c r="H2178" s="3">
        <v>2.29</v>
      </c>
      <c r="I2178" s="3">
        <v>28.83</v>
      </c>
      <c r="J2178" s="3">
        <v>18.100000000000001</v>
      </c>
    </row>
    <row r="2179" spans="1:10" ht="14.4" x14ac:dyDescent="0.3">
      <c r="A2179" s="3"/>
      <c r="E2179" s="3">
        <v>308.94</v>
      </c>
      <c r="F2179" s="3">
        <v>-34.06</v>
      </c>
      <c r="G2179" s="3">
        <v>-91.48</v>
      </c>
      <c r="H2179" s="3">
        <v>0.18</v>
      </c>
      <c r="I2179" s="3">
        <v>62.33</v>
      </c>
      <c r="J2179" s="3">
        <v>-2.6</v>
      </c>
    </row>
    <row r="2180" spans="1:10" ht="14.4" x14ac:dyDescent="0.3">
      <c r="A2180" s="3"/>
      <c r="E2180" s="3">
        <v>201.49</v>
      </c>
      <c r="F2180" s="3">
        <v>-42.99</v>
      </c>
      <c r="G2180" s="3">
        <v>-53.58</v>
      </c>
      <c r="H2180" s="3">
        <v>1.83</v>
      </c>
      <c r="I2180" s="3">
        <v>28.56</v>
      </c>
      <c r="J2180" s="3">
        <v>-5.35</v>
      </c>
    </row>
    <row r="2181" spans="1:10" ht="14.4" x14ac:dyDescent="0.3">
      <c r="A2181" s="3"/>
      <c r="E2181" s="3">
        <v>290.55</v>
      </c>
      <c r="F2181" s="3">
        <v>-67.75</v>
      </c>
      <c r="G2181" s="3">
        <v>-92.86</v>
      </c>
      <c r="H2181" s="3">
        <v>-0.28000000000000003</v>
      </c>
      <c r="I2181" s="3">
        <v>62.05</v>
      </c>
      <c r="J2181" s="3">
        <v>-26.05</v>
      </c>
    </row>
    <row r="2182" spans="1:10" ht="14.4" x14ac:dyDescent="0.3">
      <c r="A2182" s="3"/>
      <c r="E2182" s="3">
        <v>301.10000000000002</v>
      </c>
      <c r="F2182" s="3">
        <v>16.59</v>
      </c>
      <c r="G2182" s="3">
        <v>-72</v>
      </c>
      <c r="H2182" s="3">
        <v>2.1800000000000002</v>
      </c>
      <c r="I2182" s="3">
        <v>46.28</v>
      </c>
      <c r="J2182" s="3">
        <v>37.14</v>
      </c>
    </row>
    <row r="2183" spans="1:10" ht="14.4" x14ac:dyDescent="0.3">
      <c r="A2183" s="3"/>
      <c r="E2183" s="3">
        <v>156.78</v>
      </c>
      <c r="F2183" s="3">
        <v>-82.57</v>
      </c>
      <c r="G2183" s="3">
        <v>-54.4</v>
      </c>
      <c r="H2183" s="3">
        <v>0.38</v>
      </c>
      <c r="I2183" s="3">
        <v>29.64</v>
      </c>
      <c r="J2183" s="3">
        <v>-38.270000000000003</v>
      </c>
    </row>
    <row r="2184" spans="1:10" ht="14.4" x14ac:dyDescent="0.3">
      <c r="A2184" s="3"/>
      <c r="E2184" s="3">
        <v>353.66</v>
      </c>
      <c r="F2184" s="3">
        <v>5.52</v>
      </c>
      <c r="G2184" s="3">
        <v>-90.67</v>
      </c>
      <c r="H2184" s="3">
        <v>1.62</v>
      </c>
      <c r="I2184" s="3">
        <v>61.25</v>
      </c>
      <c r="J2184" s="3">
        <v>30.32</v>
      </c>
    </row>
    <row r="2185" spans="1:10" ht="14.4" x14ac:dyDescent="0.3">
      <c r="A2185" s="3"/>
      <c r="E2185" s="3">
        <v>209.33</v>
      </c>
      <c r="F2185" s="3">
        <v>-93.64</v>
      </c>
      <c r="G2185" s="3">
        <v>-73.069999999999993</v>
      </c>
      <c r="H2185" s="3">
        <v>-0.17</v>
      </c>
      <c r="I2185" s="3">
        <v>44.6</v>
      </c>
      <c r="J2185" s="3">
        <v>-45.09</v>
      </c>
    </row>
    <row r="2186" spans="1:10" ht="14.4" x14ac:dyDescent="0.3">
      <c r="A2186" s="3"/>
      <c r="E2186" s="3">
        <v>301.10000000000002</v>
      </c>
      <c r="F2186" s="3">
        <v>16.59</v>
      </c>
      <c r="G2186" s="3">
        <v>-72</v>
      </c>
      <c r="H2186" s="3">
        <v>2.1800000000000002</v>
      </c>
      <c r="I2186" s="3">
        <v>46.28</v>
      </c>
      <c r="J2186" s="3">
        <v>37.14</v>
      </c>
    </row>
    <row r="2187" spans="1:10" ht="14.4" x14ac:dyDescent="0.3">
      <c r="A2187" s="3"/>
      <c r="E2187" s="3">
        <v>156.78</v>
      </c>
      <c r="F2187" s="3">
        <v>-82.57</v>
      </c>
      <c r="G2187" s="3">
        <v>-54.4</v>
      </c>
      <c r="H2187" s="3">
        <v>0.38</v>
      </c>
      <c r="I2187" s="3">
        <v>29.64</v>
      </c>
      <c r="J2187" s="3">
        <v>-38.270000000000003</v>
      </c>
    </row>
    <row r="2188" spans="1:10" ht="14.4" x14ac:dyDescent="0.3">
      <c r="A2188" s="3"/>
      <c r="E2188" s="3">
        <v>353.66</v>
      </c>
      <c r="F2188" s="3">
        <v>5.52</v>
      </c>
      <c r="G2188" s="3">
        <v>-90.67</v>
      </c>
      <c r="H2188" s="3">
        <v>1.62</v>
      </c>
      <c r="I2188" s="3">
        <v>61.25</v>
      </c>
      <c r="J2188" s="3">
        <v>30.32</v>
      </c>
    </row>
    <row r="2189" spans="1:10" ht="14.4" x14ac:dyDescent="0.3">
      <c r="A2189" s="3"/>
      <c r="E2189" s="3">
        <v>209.33</v>
      </c>
      <c r="F2189" s="3">
        <v>-93.64</v>
      </c>
      <c r="G2189" s="3">
        <v>-73.069999999999993</v>
      </c>
      <c r="H2189" s="3">
        <v>-0.17</v>
      </c>
      <c r="I2189" s="3">
        <v>44.6</v>
      </c>
      <c r="J2189" s="3">
        <v>-45.09</v>
      </c>
    </row>
    <row r="2190" spans="1:10" ht="14.4" x14ac:dyDescent="0.3">
      <c r="A2190" s="3"/>
      <c r="E2190" s="3">
        <v>394.45</v>
      </c>
      <c r="F2190" s="3">
        <v>8.7200000000000006</v>
      </c>
      <c r="G2190" s="3">
        <v>-50.79</v>
      </c>
      <c r="H2190" s="3">
        <v>2.92</v>
      </c>
      <c r="I2190" s="3">
        <v>27.68</v>
      </c>
      <c r="J2190" s="3">
        <v>31.08</v>
      </c>
    </row>
    <row r="2191" spans="1:10" ht="14.4" x14ac:dyDescent="0.3">
      <c r="A2191" s="3"/>
      <c r="E2191" s="3">
        <v>139.02000000000001</v>
      </c>
      <c r="F2191" s="3">
        <v>-43.77</v>
      </c>
      <c r="G2191" s="3">
        <v>-90.36</v>
      </c>
      <c r="H2191" s="3">
        <v>0.14000000000000001</v>
      </c>
      <c r="I2191" s="3">
        <v>60.88</v>
      </c>
      <c r="J2191" s="3">
        <v>-9.9499999999999993</v>
      </c>
    </row>
    <row r="2192" spans="1:10" ht="14.4" x14ac:dyDescent="0.3">
      <c r="A2192" s="3"/>
      <c r="E2192" s="3">
        <v>371.41</v>
      </c>
      <c r="F2192" s="3">
        <v>-33.28</v>
      </c>
      <c r="G2192" s="3">
        <v>-54.71</v>
      </c>
      <c r="H2192" s="3">
        <v>1.86</v>
      </c>
      <c r="I2192" s="3">
        <v>30.01</v>
      </c>
      <c r="J2192" s="3">
        <v>2</v>
      </c>
    </row>
    <row r="2193" spans="1:10" ht="14.4" x14ac:dyDescent="0.3">
      <c r="A2193" s="3"/>
      <c r="E2193" s="3">
        <v>115.98</v>
      </c>
      <c r="F2193" s="3">
        <v>-85.77</v>
      </c>
      <c r="G2193" s="3">
        <v>-94.27</v>
      </c>
      <c r="H2193" s="3">
        <v>-0.91</v>
      </c>
      <c r="I2193" s="3">
        <v>63.2</v>
      </c>
      <c r="J2193" s="3">
        <v>-39.03</v>
      </c>
    </row>
    <row r="2194" spans="1:10" ht="14.4" x14ac:dyDescent="0.3">
      <c r="A2194" s="3"/>
      <c r="E2194" s="3">
        <v>361.09</v>
      </c>
      <c r="F2194" s="3">
        <v>34.47</v>
      </c>
      <c r="G2194" s="3">
        <v>-67.78</v>
      </c>
      <c r="H2194" s="3">
        <v>3.26</v>
      </c>
      <c r="I2194" s="3">
        <v>42.06</v>
      </c>
      <c r="J2194" s="3">
        <v>49.49</v>
      </c>
    </row>
    <row r="2195" spans="1:10" ht="14.4" x14ac:dyDescent="0.3">
      <c r="A2195" s="3"/>
      <c r="E2195" s="3">
        <v>201.52</v>
      </c>
      <c r="F2195" s="3">
        <v>-92.02</v>
      </c>
      <c r="G2195" s="3">
        <v>-58.53</v>
      </c>
      <c r="H2195" s="3">
        <v>-0.5</v>
      </c>
      <c r="I2195" s="3">
        <v>33.96</v>
      </c>
      <c r="J2195" s="3">
        <v>-44.44</v>
      </c>
    </row>
    <row r="2196" spans="1:10" ht="14.4" x14ac:dyDescent="0.3">
      <c r="A2196" s="3"/>
      <c r="E2196" s="3">
        <v>308.92</v>
      </c>
      <c r="F2196" s="3">
        <v>14.97</v>
      </c>
      <c r="G2196" s="3">
        <v>-86.54</v>
      </c>
      <c r="H2196" s="3">
        <v>2.5</v>
      </c>
      <c r="I2196" s="3">
        <v>56.93</v>
      </c>
      <c r="J2196" s="3">
        <v>36.49</v>
      </c>
    </row>
    <row r="2197" spans="1:10" ht="14.4" x14ac:dyDescent="0.3">
      <c r="A2197" s="3"/>
      <c r="E2197" s="3">
        <v>149.34</v>
      </c>
      <c r="F2197" s="3">
        <v>-111.53</v>
      </c>
      <c r="G2197" s="3">
        <v>-77.28</v>
      </c>
      <c r="H2197" s="3">
        <v>-1.25</v>
      </c>
      <c r="I2197" s="3">
        <v>48.83</v>
      </c>
      <c r="J2197" s="3">
        <v>-57.44</v>
      </c>
    </row>
    <row r="2198" spans="1:10" ht="14.4" x14ac:dyDescent="0.3">
      <c r="A2198" s="3"/>
      <c r="E2198" s="3">
        <v>161.22</v>
      </c>
      <c r="F2198" s="3">
        <v>-1.1299999999999999</v>
      </c>
      <c r="G2198" s="3">
        <v>-36.700000000000003</v>
      </c>
      <c r="H2198" s="3">
        <v>2.09</v>
      </c>
      <c r="I2198" s="3">
        <v>17.82</v>
      </c>
      <c r="J2198" s="3">
        <v>19.3</v>
      </c>
    </row>
    <row r="2199" spans="1:10" ht="14.4" x14ac:dyDescent="0.3">
      <c r="A2199" s="3"/>
      <c r="E2199" s="3">
        <v>241.9</v>
      </c>
      <c r="F2199" s="3">
        <v>-24.72</v>
      </c>
      <c r="G2199" s="3">
        <v>-73.77</v>
      </c>
      <c r="H2199" s="3">
        <v>-0.05</v>
      </c>
      <c r="I2199" s="3">
        <v>49.75</v>
      </c>
      <c r="J2199" s="3">
        <v>-1.23</v>
      </c>
    </row>
    <row r="2200" spans="1:10" ht="14.4" x14ac:dyDescent="0.3">
      <c r="A2200" s="3"/>
      <c r="E2200" s="3">
        <v>142.82</v>
      </c>
      <c r="F2200" s="3">
        <v>-34.82</v>
      </c>
      <c r="G2200" s="3">
        <v>-38.08</v>
      </c>
      <c r="H2200" s="3">
        <v>1.63</v>
      </c>
      <c r="I2200" s="3">
        <v>17.54</v>
      </c>
      <c r="J2200" s="3">
        <v>-4.1500000000000004</v>
      </c>
    </row>
    <row r="2201" spans="1:10" ht="14.4" x14ac:dyDescent="0.3">
      <c r="A2201" s="3"/>
      <c r="E2201" s="3">
        <v>223.5</v>
      </c>
      <c r="F2201" s="3">
        <v>-58.41</v>
      </c>
      <c r="G2201" s="3">
        <v>-75.150000000000006</v>
      </c>
      <c r="H2201" s="3">
        <v>-0.51</v>
      </c>
      <c r="I2201" s="3">
        <v>49.47</v>
      </c>
      <c r="J2201" s="3">
        <v>-24.68</v>
      </c>
    </row>
    <row r="2202" spans="1:10" ht="14.4" x14ac:dyDescent="0.3">
      <c r="A2202" s="3"/>
      <c r="E2202" s="3">
        <v>161.22</v>
      </c>
      <c r="F2202" s="3">
        <v>-1.1299999999999999</v>
      </c>
      <c r="G2202" s="3">
        <v>-36.700000000000003</v>
      </c>
      <c r="H2202" s="3">
        <v>2.09</v>
      </c>
      <c r="I2202" s="3">
        <v>17.82</v>
      </c>
      <c r="J2202" s="3">
        <v>19.3</v>
      </c>
    </row>
    <row r="2203" spans="1:10" ht="14.4" x14ac:dyDescent="0.3">
      <c r="A2203" s="3"/>
      <c r="E2203" s="3">
        <v>241.9</v>
      </c>
      <c r="F2203" s="3">
        <v>-24.72</v>
      </c>
      <c r="G2203" s="3">
        <v>-73.77</v>
      </c>
      <c r="H2203" s="3">
        <v>-0.05</v>
      </c>
      <c r="I2203" s="3">
        <v>49.75</v>
      </c>
      <c r="J2203" s="3">
        <v>-1.23</v>
      </c>
    </row>
    <row r="2204" spans="1:10" ht="14.4" x14ac:dyDescent="0.3">
      <c r="A2204" s="3"/>
      <c r="E2204" s="3">
        <v>142.82</v>
      </c>
      <c r="F2204" s="3">
        <v>-34.82</v>
      </c>
      <c r="G2204" s="3">
        <v>-38.08</v>
      </c>
      <c r="H2204" s="3">
        <v>1.63</v>
      </c>
      <c r="I2204" s="3">
        <v>17.54</v>
      </c>
      <c r="J2204" s="3">
        <v>-4.1500000000000004</v>
      </c>
    </row>
    <row r="2205" spans="1:10" ht="14.4" x14ac:dyDescent="0.3">
      <c r="A2205" s="3"/>
      <c r="E2205" s="3">
        <v>223.5</v>
      </c>
      <c r="F2205" s="3">
        <v>-58.41</v>
      </c>
      <c r="G2205" s="3">
        <v>-75.150000000000006</v>
      </c>
      <c r="H2205" s="3">
        <v>-0.51</v>
      </c>
      <c r="I2205" s="3">
        <v>49.47</v>
      </c>
      <c r="J2205" s="3">
        <v>-24.68</v>
      </c>
    </row>
    <row r="2206" spans="1:10" ht="14.4" x14ac:dyDescent="0.3">
      <c r="A2206" s="3"/>
      <c r="E2206" s="3">
        <v>242.44</v>
      </c>
      <c r="F2206" s="3">
        <v>24.76</v>
      </c>
      <c r="G2206" s="3">
        <v>-56.5</v>
      </c>
      <c r="H2206" s="3">
        <v>1.98</v>
      </c>
      <c r="I2206" s="3">
        <v>35.270000000000003</v>
      </c>
      <c r="J2206" s="3">
        <v>38.340000000000003</v>
      </c>
    </row>
    <row r="2207" spans="1:10" ht="14.4" x14ac:dyDescent="0.3">
      <c r="A2207" s="3"/>
      <c r="E2207" s="3">
        <v>89.73</v>
      </c>
      <c r="F2207" s="3">
        <v>-73.23</v>
      </c>
      <c r="G2207" s="3">
        <v>-36.69</v>
      </c>
      <c r="H2207" s="3">
        <v>0.15</v>
      </c>
      <c r="I2207" s="3">
        <v>17.05</v>
      </c>
      <c r="J2207" s="3">
        <v>-36.9</v>
      </c>
    </row>
    <row r="2208" spans="1:10" ht="14.4" x14ac:dyDescent="0.3">
      <c r="A2208" s="3"/>
      <c r="E2208" s="3">
        <v>294.99</v>
      </c>
      <c r="F2208" s="3">
        <v>13.69</v>
      </c>
      <c r="G2208" s="3">
        <v>-75.17</v>
      </c>
      <c r="H2208" s="3">
        <v>1.42</v>
      </c>
      <c r="I2208" s="3">
        <v>50.24</v>
      </c>
      <c r="J2208" s="3">
        <v>31.53</v>
      </c>
    </row>
    <row r="2209" spans="1:10" ht="14.4" x14ac:dyDescent="0.3">
      <c r="A2209" s="3"/>
      <c r="E2209" s="3">
        <v>142.28</v>
      </c>
      <c r="F2209" s="3">
        <v>-84.31</v>
      </c>
      <c r="G2209" s="3">
        <v>-55.36</v>
      </c>
      <c r="H2209" s="3">
        <v>-0.4</v>
      </c>
      <c r="I2209" s="3">
        <v>32.020000000000003</v>
      </c>
      <c r="J2209" s="3">
        <v>-43.72</v>
      </c>
    </row>
    <row r="2210" spans="1:10" ht="14.4" x14ac:dyDescent="0.3">
      <c r="A2210" s="3"/>
      <c r="E2210" s="3">
        <v>242.44</v>
      </c>
      <c r="F2210" s="3">
        <v>24.76</v>
      </c>
      <c r="G2210" s="3">
        <v>-56.5</v>
      </c>
      <c r="H2210" s="3">
        <v>1.98</v>
      </c>
      <c r="I2210" s="3">
        <v>35.270000000000003</v>
      </c>
      <c r="J2210" s="3">
        <v>38.340000000000003</v>
      </c>
    </row>
    <row r="2211" spans="1:10" ht="14.4" x14ac:dyDescent="0.3">
      <c r="A2211" s="3"/>
      <c r="E2211" s="3">
        <v>89.73</v>
      </c>
      <c r="F2211" s="3">
        <v>-73.23</v>
      </c>
      <c r="G2211" s="3">
        <v>-36.69</v>
      </c>
      <c r="H2211" s="3">
        <v>0.15</v>
      </c>
      <c r="I2211" s="3">
        <v>17.05</v>
      </c>
      <c r="J2211" s="3">
        <v>-36.9</v>
      </c>
    </row>
    <row r="2212" spans="1:10" ht="14.4" x14ac:dyDescent="0.3">
      <c r="A2212" s="3"/>
      <c r="E2212" s="3">
        <v>294.99</v>
      </c>
      <c r="F2212" s="3">
        <v>13.69</v>
      </c>
      <c r="G2212" s="3">
        <v>-75.17</v>
      </c>
      <c r="H2212" s="3">
        <v>1.42</v>
      </c>
      <c r="I2212" s="3">
        <v>50.24</v>
      </c>
      <c r="J2212" s="3">
        <v>31.53</v>
      </c>
    </row>
    <row r="2213" spans="1:10" ht="14.4" x14ac:dyDescent="0.3">
      <c r="A2213" s="3"/>
      <c r="E2213" s="3">
        <v>142.28</v>
      </c>
      <c r="F2213" s="3">
        <v>-84.31</v>
      </c>
      <c r="G2213" s="3">
        <v>-55.36</v>
      </c>
      <c r="H2213" s="3">
        <v>-0.4</v>
      </c>
      <c r="I2213" s="3">
        <v>32.020000000000003</v>
      </c>
      <c r="J2213" s="3">
        <v>-43.72</v>
      </c>
    </row>
    <row r="2214" spans="1:10" ht="14.4" x14ac:dyDescent="0.3">
      <c r="A2214" s="3"/>
      <c r="E2214" s="3">
        <v>335.78</v>
      </c>
      <c r="F2214" s="3">
        <v>16.89</v>
      </c>
      <c r="G2214" s="3">
        <v>-35.299999999999997</v>
      </c>
      <c r="H2214" s="3">
        <v>2.72</v>
      </c>
      <c r="I2214" s="3">
        <v>16.670000000000002</v>
      </c>
      <c r="J2214" s="3">
        <v>32.28</v>
      </c>
    </row>
    <row r="2215" spans="1:10" ht="14.4" x14ac:dyDescent="0.3">
      <c r="A2215" s="3"/>
      <c r="E2215" s="3">
        <v>71.97</v>
      </c>
      <c r="F2215" s="3">
        <v>-34.43</v>
      </c>
      <c r="G2215" s="3">
        <v>-72.64</v>
      </c>
      <c r="H2215" s="3">
        <v>-0.09</v>
      </c>
      <c r="I2215" s="3">
        <v>48.3</v>
      </c>
      <c r="J2215" s="3">
        <v>-8.58</v>
      </c>
    </row>
    <row r="2216" spans="1:10" ht="14.4" x14ac:dyDescent="0.3">
      <c r="A2216" s="3"/>
      <c r="E2216" s="3">
        <v>312.75</v>
      </c>
      <c r="F2216" s="3">
        <v>-25.11</v>
      </c>
      <c r="G2216" s="3">
        <v>-39.21</v>
      </c>
      <c r="H2216" s="3">
        <v>1.67</v>
      </c>
      <c r="I2216" s="3">
        <v>18.989999999999998</v>
      </c>
      <c r="J2216" s="3">
        <v>3.2</v>
      </c>
    </row>
    <row r="2217" spans="1:10" ht="14.4" x14ac:dyDescent="0.3">
      <c r="A2217" s="3"/>
      <c r="E2217" s="3">
        <v>48.94</v>
      </c>
      <c r="F2217" s="3">
        <v>-76.44</v>
      </c>
      <c r="G2217" s="3">
        <v>-76.56</v>
      </c>
      <c r="H2217" s="3">
        <v>-1.1399999999999999</v>
      </c>
      <c r="I2217" s="3">
        <v>50.62</v>
      </c>
      <c r="J2217" s="3">
        <v>-37.65</v>
      </c>
    </row>
    <row r="2218" spans="1:10" ht="14.4" x14ac:dyDescent="0.3">
      <c r="A2218" s="3"/>
      <c r="E2218" s="3">
        <v>302.42</v>
      </c>
      <c r="F2218" s="3">
        <v>42.64</v>
      </c>
      <c r="G2218" s="3">
        <v>-52.28</v>
      </c>
      <c r="H2218" s="3">
        <v>3.06</v>
      </c>
      <c r="I2218" s="3">
        <v>31.04</v>
      </c>
      <c r="J2218" s="3">
        <v>50.69</v>
      </c>
    </row>
    <row r="2219" spans="1:10" ht="14.4" x14ac:dyDescent="0.3">
      <c r="A2219" s="3"/>
      <c r="E2219" s="3">
        <v>134.47</v>
      </c>
      <c r="F2219" s="3">
        <v>-82.68</v>
      </c>
      <c r="G2219" s="3">
        <v>-40.81</v>
      </c>
      <c r="H2219" s="3">
        <v>-0.72</v>
      </c>
      <c r="I2219" s="3">
        <v>21.37</v>
      </c>
      <c r="J2219" s="3">
        <v>-43.07</v>
      </c>
    </row>
    <row r="2220" spans="1:10" ht="14.4" x14ac:dyDescent="0.3">
      <c r="A2220" s="3"/>
      <c r="E2220" s="3">
        <v>250.25</v>
      </c>
      <c r="F2220" s="3">
        <v>23.14</v>
      </c>
      <c r="G2220" s="3">
        <v>-71.040000000000006</v>
      </c>
      <c r="H2220" s="3">
        <v>2.2999999999999998</v>
      </c>
      <c r="I2220" s="3">
        <v>45.92</v>
      </c>
      <c r="J2220" s="3">
        <v>37.69</v>
      </c>
    </row>
    <row r="2221" spans="1:10" ht="14.4" x14ac:dyDescent="0.3">
      <c r="A2221" s="3"/>
      <c r="E2221" s="3">
        <v>158.06</v>
      </c>
      <c r="F2221" s="3">
        <v>35.979999999999997</v>
      </c>
      <c r="G2221" s="3">
        <v>-46.69</v>
      </c>
      <c r="H2221" s="3">
        <v>1.99</v>
      </c>
      <c r="I2221" s="3">
        <v>28.61</v>
      </c>
      <c r="J2221" s="3">
        <v>39.58</v>
      </c>
    </row>
    <row r="2222" spans="1:10" ht="14.4" x14ac:dyDescent="0.3">
      <c r="A2222" s="3"/>
      <c r="E2222" s="3">
        <v>61.61</v>
      </c>
      <c r="F2222" s="3">
        <v>2.27</v>
      </c>
      <c r="G2222" s="3">
        <v>-3.74</v>
      </c>
      <c r="H2222" s="3">
        <v>3.05</v>
      </c>
      <c r="I2222" s="3">
        <v>-9.6999999999999993</v>
      </c>
      <c r="J2222" s="3">
        <v>21.13</v>
      </c>
    </row>
    <row r="2223" spans="1:10" ht="14.4" x14ac:dyDescent="0.3">
      <c r="A2223" s="3"/>
      <c r="E2223" s="3">
        <v>448.83</v>
      </c>
      <c r="F2223" s="3">
        <v>-79.33</v>
      </c>
      <c r="G2223" s="3">
        <v>-141.32</v>
      </c>
      <c r="H2223" s="3">
        <v>-1.04</v>
      </c>
      <c r="I2223" s="3">
        <v>100.58</v>
      </c>
      <c r="J2223" s="3">
        <v>-29.08</v>
      </c>
    </row>
    <row r="2224" spans="1:10" ht="14.4" x14ac:dyDescent="0.3">
      <c r="A2224" s="3"/>
      <c r="E2224" s="3">
        <v>323</v>
      </c>
      <c r="F2224" s="3">
        <v>85.61</v>
      </c>
      <c r="G2224" s="3">
        <v>-67.45</v>
      </c>
      <c r="H2224" s="3">
        <v>2.69</v>
      </c>
      <c r="I2224" s="3">
        <v>46.47</v>
      </c>
      <c r="J2224" s="3">
        <v>82.41</v>
      </c>
    </row>
    <row r="2225" spans="1:10" ht="14.4" x14ac:dyDescent="0.3">
      <c r="A2225" s="3"/>
      <c r="E2225" s="3">
        <v>187.43</v>
      </c>
      <c r="F2225" s="3">
        <v>-162.66</v>
      </c>
      <c r="G2225" s="3">
        <v>-77.62</v>
      </c>
      <c r="H2225" s="3">
        <v>-0.69</v>
      </c>
      <c r="I2225" s="3">
        <v>44.42</v>
      </c>
      <c r="J2225" s="3">
        <v>-90.36</v>
      </c>
    </row>
    <row r="2226" spans="1:10" ht="14.4" x14ac:dyDescent="0.3">
      <c r="A2226" s="3"/>
      <c r="E2226" s="3">
        <v>61.61</v>
      </c>
      <c r="F2226" s="3">
        <v>2.27</v>
      </c>
      <c r="G2226" s="3">
        <v>-3.74</v>
      </c>
      <c r="H2226" s="3">
        <v>3.05</v>
      </c>
      <c r="I2226" s="3">
        <v>-9.6999999999999993</v>
      </c>
      <c r="J2226" s="3">
        <v>21.13</v>
      </c>
    </row>
    <row r="2227" spans="1:10" ht="14.4" x14ac:dyDescent="0.3">
      <c r="A2227" s="3"/>
      <c r="E2227" s="3">
        <v>448.83</v>
      </c>
      <c r="F2227" s="3">
        <v>-79.33</v>
      </c>
      <c r="G2227" s="3">
        <v>-141.32</v>
      </c>
      <c r="H2227" s="3">
        <v>-1.04</v>
      </c>
      <c r="I2227" s="3">
        <v>100.58</v>
      </c>
      <c r="J2227" s="3">
        <v>-29.08</v>
      </c>
    </row>
    <row r="2228" spans="1:10" ht="14.4" x14ac:dyDescent="0.3">
      <c r="A2228" s="3"/>
      <c r="E2228" s="3">
        <v>323</v>
      </c>
      <c r="F2228" s="3">
        <v>85.61</v>
      </c>
      <c r="G2228" s="3">
        <v>-67.45</v>
      </c>
      <c r="H2228" s="3">
        <v>2.69</v>
      </c>
      <c r="I2228" s="3">
        <v>46.47</v>
      </c>
      <c r="J2228" s="3">
        <v>82.41</v>
      </c>
    </row>
    <row r="2229" spans="1:10" ht="14.4" x14ac:dyDescent="0.3">
      <c r="A2229" s="3"/>
      <c r="E2229" s="3">
        <v>187.43</v>
      </c>
      <c r="F2229" s="3">
        <v>-162.66</v>
      </c>
      <c r="G2229" s="3">
        <v>-77.62</v>
      </c>
      <c r="H2229" s="3">
        <v>-0.69</v>
      </c>
      <c r="I2229" s="3">
        <v>44.42</v>
      </c>
      <c r="J2229" s="3">
        <v>-90.36</v>
      </c>
    </row>
    <row r="2230" spans="1:10" ht="14.4" x14ac:dyDescent="0.3">
      <c r="A2230" s="3"/>
      <c r="E2230" s="3">
        <v>-5.04</v>
      </c>
      <c r="F2230" s="3">
        <v>14.54</v>
      </c>
      <c r="G2230" s="3">
        <v>18.98</v>
      </c>
      <c r="H2230" s="3">
        <v>2.68</v>
      </c>
      <c r="I2230" s="3">
        <v>-19.739999999999998</v>
      </c>
      <c r="J2230" s="3">
        <v>21.25</v>
      </c>
    </row>
    <row r="2231" spans="1:10" ht="14.4" x14ac:dyDescent="0.3">
      <c r="A2231" s="3"/>
      <c r="E2231" s="3">
        <v>382.18</v>
      </c>
      <c r="F2231" s="3">
        <v>-67.06</v>
      </c>
      <c r="G2231" s="3">
        <v>-118.6</v>
      </c>
      <c r="H2231" s="3">
        <v>-1.4</v>
      </c>
      <c r="I2231" s="3">
        <v>90.54</v>
      </c>
      <c r="J2231" s="3">
        <v>-28.97</v>
      </c>
    </row>
    <row r="2232" spans="1:10" ht="14.4" x14ac:dyDescent="0.3">
      <c r="A2232" s="3"/>
      <c r="E2232" s="3">
        <v>256.35000000000002</v>
      </c>
      <c r="F2232" s="3">
        <v>97.87</v>
      </c>
      <c r="G2232" s="3">
        <v>-44.73</v>
      </c>
      <c r="H2232" s="3">
        <v>2.33</v>
      </c>
      <c r="I2232" s="3">
        <v>36.43</v>
      </c>
      <c r="J2232" s="3">
        <v>82.52</v>
      </c>
    </row>
    <row r="2233" spans="1:10" ht="14.4" x14ac:dyDescent="0.3">
      <c r="A2233" s="3"/>
      <c r="E2233" s="3">
        <v>120.78</v>
      </c>
      <c r="F2233" s="3">
        <v>-150.4</v>
      </c>
      <c r="G2233" s="3">
        <v>-54.9</v>
      </c>
      <c r="H2233" s="3">
        <v>-1.05</v>
      </c>
      <c r="I2233" s="3">
        <v>34.380000000000003</v>
      </c>
      <c r="J2233" s="3">
        <v>-90.24</v>
      </c>
    </row>
    <row r="2234" spans="1:10" ht="14.4" x14ac:dyDescent="0.3">
      <c r="A2234" s="3"/>
      <c r="E2234" s="3">
        <v>-5.04</v>
      </c>
      <c r="F2234" s="3">
        <v>14.54</v>
      </c>
      <c r="G2234" s="3">
        <v>18.98</v>
      </c>
      <c r="H2234" s="3">
        <v>2.68</v>
      </c>
      <c r="I2234" s="3">
        <v>-19.739999999999998</v>
      </c>
      <c r="J2234" s="3">
        <v>21.25</v>
      </c>
    </row>
    <row r="2235" spans="1:10" ht="14.4" x14ac:dyDescent="0.3">
      <c r="A2235" s="3"/>
      <c r="E2235" s="3">
        <v>382.18</v>
      </c>
      <c r="F2235" s="3">
        <v>-67.06</v>
      </c>
      <c r="G2235" s="3">
        <v>-118.6</v>
      </c>
      <c r="H2235" s="3">
        <v>-1.4</v>
      </c>
      <c r="I2235" s="3">
        <v>90.54</v>
      </c>
      <c r="J2235" s="3">
        <v>-28.97</v>
      </c>
    </row>
    <row r="2236" spans="1:10" ht="14.4" x14ac:dyDescent="0.3">
      <c r="A2236" s="3"/>
      <c r="E2236" s="3">
        <v>256.35000000000002</v>
      </c>
      <c r="F2236" s="3">
        <v>97.87</v>
      </c>
      <c r="G2236" s="3">
        <v>-44.73</v>
      </c>
      <c r="H2236" s="3">
        <v>2.33</v>
      </c>
      <c r="I2236" s="3">
        <v>36.43</v>
      </c>
      <c r="J2236" s="3">
        <v>82.52</v>
      </c>
    </row>
    <row r="2237" spans="1:10" ht="14.4" x14ac:dyDescent="0.3">
      <c r="A2237" s="3"/>
      <c r="E2237" s="3">
        <v>120.78</v>
      </c>
      <c r="F2237" s="3">
        <v>-150.4</v>
      </c>
      <c r="G2237" s="3">
        <v>-54.9</v>
      </c>
      <c r="H2237" s="3">
        <v>-1.05</v>
      </c>
      <c r="I2237" s="3">
        <v>34.380000000000003</v>
      </c>
      <c r="J2237" s="3">
        <v>-90.24</v>
      </c>
    </row>
    <row r="2238" spans="1:10" ht="14.4" x14ac:dyDescent="0.3">
      <c r="A2238" s="3"/>
      <c r="E2238" s="3">
        <v>309.19</v>
      </c>
      <c r="F2238" s="3">
        <v>-40.85</v>
      </c>
      <c r="G2238" s="3">
        <v>-77.489999999999995</v>
      </c>
      <c r="H2238" s="3">
        <v>1</v>
      </c>
      <c r="I2238" s="3">
        <v>-99.91</v>
      </c>
      <c r="J2238" s="3">
        <v>75.7</v>
      </c>
    </row>
    <row r="2239" spans="1:10" ht="14.4" x14ac:dyDescent="0.3">
      <c r="A2239" s="3"/>
      <c r="E2239" s="3">
        <v>274.52999999999997</v>
      </c>
      <c r="F2239" s="3">
        <v>-42.34</v>
      </c>
      <c r="G2239" s="3">
        <v>-77.03</v>
      </c>
      <c r="H2239" s="3">
        <v>1.0900000000000001</v>
      </c>
      <c r="I2239" s="3">
        <v>-109.64</v>
      </c>
      <c r="J2239" s="3">
        <v>80.48</v>
      </c>
    </row>
    <row r="2240" spans="1:10" ht="14.4" x14ac:dyDescent="0.3">
      <c r="A2240" s="3"/>
      <c r="E2240" s="3">
        <v>325.33999999999997</v>
      </c>
      <c r="F2240" s="3">
        <v>-51.37</v>
      </c>
      <c r="G2240" s="3">
        <v>-90.14</v>
      </c>
      <c r="H2240" s="3">
        <v>1.25</v>
      </c>
      <c r="I2240" s="3">
        <v>-129.19999999999999</v>
      </c>
      <c r="J2240" s="3">
        <v>96.35</v>
      </c>
    </row>
    <row r="2241" spans="1:10" ht="14.4" x14ac:dyDescent="0.3">
      <c r="A2241" s="3"/>
      <c r="E2241" s="3">
        <v>271.79000000000002</v>
      </c>
      <c r="F2241" s="3">
        <v>-39.74</v>
      </c>
      <c r="G2241" s="3">
        <v>-73.23</v>
      </c>
      <c r="H2241" s="3">
        <v>1.01</v>
      </c>
      <c r="I2241" s="3">
        <v>-100.48</v>
      </c>
      <c r="J2241" s="3">
        <v>74.760000000000005</v>
      </c>
    </row>
    <row r="2242" spans="1:10" ht="14.4" x14ac:dyDescent="0.3">
      <c r="A2242" s="3"/>
      <c r="E2242" s="3">
        <v>434.41</v>
      </c>
      <c r="F2242" s="3">
        <v>-68.61</v>
      </c>
      <c r="G2242" s="3">
        <v>-115.19</v>
      </c>
      <c r="H2242" s="3">
        <v>1.54</v>
      </c>
      <c r="I2242" s="3">
        <v>-163.07</v>
      </c>
      <c r="J2242" s="3">
        <v>125.56</v>
      </c>
    </row>
    <row r="2243" spans="1:10" ht="14.4" x14ac:dyDescent="0.3">
      <c r="A2243" s="3"/>
      <c r="E2243" s="3">
        <v>265</v>
      </c>
      <c r="F2243" s="3">
        <v>-33.68</v>
      </c>
      <c r="G2243" s="3">
        <v>-65.58</v>
      </c>
      <c r="H2243" s="3">
        <v>0.98</v>
      </c>
      <c r="I2243" s="3">
        <v>-85.56</v>
      </c>
      <c r="J2243" s="3">
        <v>63.33</v>
      </c>
    </row>
    <row r="2244" spans="1:10" ht="14.4" x14ac:dyDescent="0.3">
      <c r="A2244" s="3"/>
      <c r="E2244" s="3">
        <v>269.57</v>
      </c>
      <c r="F2244" s="3">
        <v>-31.65</v>
      </c>
      <c r="G2244" s="3">
        <v>-66.67</v>
      </c>
      <c r="H2244" s="3">
        <v>0.99</v>
      </c>
      <c r="I2244" s="3">
        <v>-86.56</v>
      </c>
      <c r="J2244" s="3">
        <v>60.69</v>
      </c>
    </row>
    <row r="2245" spans="1:10" ht="14.4" x14ac:dyDescent="0.3">
      <c r="A2245" s="3"/>
      <c r="E2245" s="3">
        <v>270.43</v>
      </c>
      <c r="F2245" s="3">
        <v>-35.229999999999997</v>
      </c>
      <c r="G2245" s="3">
        <v>-67.650000000000006</v>
      </c>
      <c r="H2245" s="3">
        <v>0.84</v>
      </c>
      <c r="I2245" s="3">
        <v>-86.87</v>
      </c>
      <c r="J2245" s="3">
        <v>65.22</v>
      </c>
    </row>
    <row r="2246" spans="1:10" ht="14.4" x14ac:dyDescent="0.3">
      <c r="A2246" s="3"/>
      <c r="E2246" s="3">
        <v>268.23</v>
      </c>
      <c r="F2246" s="3">
        <v>-36.67</v>
      </c>
      <c r="G2246" s="3">
        <v>-67.14</v>
      </c>
      <c r="H2246" s="3">
        <v>0.82</v>
      </c>
      <c r="I2246" s="3">
        <v>-86.24</v>
      </c>
      <c r="J2246" s="3">
        <v>67.03</v>
      </c>
    </row>
    <row r="2247" spans="1:10" ht="14.4" x14ac:dyDescent="0.3">
      <c r="A2247" s="3"/>
      <c r="E2247" s="3">
        <v>270.51</v>
      </c>
      <c r="F2247" s="3">
        <v>-35.96</v>
      </c>
      <c r="G2247" s="3">
        <v>-67.900000000000006</v>
      </c>
      <c r="H2247" s="3">
        <v>0.87</v>
      </c>
      <c r="I2247" s="3">
        <v>-87.06</v>
      </c>
      <c r="J2247" s="3">
        <v>66.23</v>
      </c>
    </row>
    <row r="2248" spans="1:10" ht="14.4" x14ac:dyDescent="0.3">
      <c r="A2248" s="3"/>
      <c r="E2248" s="3">
        <v>268.69</v>
      </c>
      <c r="F2248" s="3">
        <v>-38.65</v>
      </c>
      <c r="G2248" s="3">
        <v>-67.78</v>
      </c>
      <c r="H2248" s="3">
        <v>0.81</v>
      </c>
      <c r="I2248" s="3">
        <v>-86.98</v>
      </c>
      <c r="J2248" s="3">
        <v>69.55</v>
      </c>
    </row>
    <row r="2249" spans="1:10" ht="14.4" x14ac:dyDescent="0.3">
      <c r="A2249" s="3"/>
      <c r="E2249" s="3">
        <v>265.08</v>
      </c>
      <c r="F2249" s="3">
        <v>-38.700000000000003</v>
      </c>
      <c r="G2249" s="3">
        <v>-66.650000000000006</v>
      </c>
      <c r="H2249" s="3">
        <v>0.84</v>
      </c>
      <c r="I2249" s="3">
        <v>-86.1</v>
      </c>
      <c r="J2249" s="3">
        <v>69.8</v>
      </c>
    </row>
    <row r="2250" spans="1:10" ht="14.4" x14ac:dyDescent="0.3">
      <c r="A2250" s="3"/>
      <c r="E2250" s="3">
        <v>268.47000000000003</v>
      </c>
      <c r="F2250" s="3">
        <v>-40.700000000000003</v>
      </c>
      <c r="G2250" s="3">
        <v>-67.83</v>
      </c>
      <c r="H2250" s="3">
        <v>0.73</v>
      </c>
      <c r="I2250" s="3">
        <v>-86.51</v>
      </c>
      <c r="J2250" s="3">
        <v>72.08</v>
      </c>
    </row>
    <row r="2251" spans="1:10" ht="14.4" x14ac:dyDescent="0.3">
      <c r="A2251" s="3"/>
      <c r="E2251" s="3">
        <v>271</v>
      </c>
      <c r="F2251" s="3">
        <v>-38.770000000000003</v>
      </c>
      <c r="G2251" s="3">
        <v>-68.64</v>
      </c>
      <c r="H2251" s="3">
        <v>0.75</v>
      </c>
      <c r="I2251" s="3">
        <v>-87.42</v>
      </c>
      <c r="J2251" s="3">
        <v>69.81</v>
      </c>
    </row>
    <row r="2252" spans="1:10" ht="14.4" x14ac:dyDescent="0.3">
      <c r="A2252" s="3"/>
      <c r="E2252" s="3">
        <v>266.42</v>
      </c>
      <c r="F2252" s="3">
        <v>-40.81</v>
      </c>
      <c r="G2252" s="3">
        <v>-67.55</v>
      </c>
      <c r="H2252" s="3">
        <v>0.74</v>
      </c>
      <c r="I2252" s="3">
        <v>-86.41</v>
      </c>
      <c r="J2252" s="3">
        <v>72.45</v>
      </c>
    </row>
    <row r="2253" spans="1:10" ht="14.4" x14ac:dyDescent="0.3">
      <c r="A2253" s="3"/>
      <c r="E2253" s="3">
        <v>265.57</v>
      </c>
      <c r="F2253" s="3">
        <v>-37.229999999999997</v>
      </c>
      <c r="G2253" s="3">
        <v>-66.569999999999993</v>
      </c>
      <c r="H2253" s="3">
        <v>0.9</v>
      </c>
      <c r="I2253" s="3">
        <v>-86.11</v>
      </c>
      <c r="J2253" s="3">
        <v>67.92</v>
      </c>
    </row>
    <row r="2254" spans="1:10" ht="14.4" x14ac:dyDescent="0.3">
      <c r="A2254" s="3"/>
      <c r="E2254" s="3">
        <v>267.76</v>
      </c>
      <c r="F2254" s="3">
        <v>-35.79</v>
      </c>
      <c r="G2254" s="3">
        <v>-67.08</v>
      </c>
      <c r="H2254" s="3">
        <v>0.92</v>
      </c>
      <c r="I2254" s="3">
        <v>-86.73</v>
      </c>
      <c r="J2254" s="3">
        <v>66.11</v>
      </c>
    </row>
    <row r="2255" spans="1:10" ht="14.4" x14ac:dyDescent="0.3">
      <c r="A2255" s="3"/>
      <c r="E2255" s="3">
        <v>265.49</v>
      </c>
      <c r="F2255" s="3">
        <v>-36.5</v>
      </c>
      <c r="G2255" s="3">
        <v>-66.319999999999993</v>
      </c>
      <c r="H2255" s="3">
        <v>0.87</v>
      </c>
      <c r="I2255" s="3">
        <v>-85.91</v>
      </c>
      <c r="J2255" s="3">
        <v>66.91</v>
      </c>
    </row>
    <row r="2256" spans="1:10" ht="14.4" x14ac:dyDescent="0.3">
      <c r="A2256" s="3"/>
      <c r="E2256" s="3">
        <v>267.31</v>
      </c>
      <c r="F2256" s="3">
        <v>-33.81</v>
      </c>
      <c r="G2256" s="3">
        <v>-66.44</v>
      </c>
      <c r="H2256" s="3">
        <v>0.92</v>
      </c>
      <c r="I2256" s="3">
        <v>-86</v>
      </c>
      <c r="J2256" s="3">
        <v>63.59</v>
      </c>
    </row>
    <row r="2257" spans="1:10" ht="14.4" x14ac:dyDescent="0.3">
      <c r="A2257" s="3"/>
      <c r="E2257" s="3">
        <v>270.91000000000003</v>
      </c>
      <c r="F2257" s="3">
        <v>-33.75</v>
      </c>
      <c r="G2257" s="3">
        <v>-67.58</v>
      </c>
      <c r="H2257" s="3">
        <v>0.89</v>
      </c>
      <c r="I2257" s="3">
        <v>-86.87</v>
      </c>
      <c r="J2257" s="3">
        <v>63.34</v>
      </c>
    </row>
    <row r="2258" spans="1:10" ht="14.4" x14ac:dyDescent="0.3">
      <c r="A2258" s="3"/>
      <c r="E2258" s="3">
        <v>267.52999999999997</v>
      </c>
      <c r="F2258" s="3">
        <v>-31.75</v>
      </c>
      <c r="G2258" s="3">
        <v>-66.400000000000006</v>
      </c>
      <c r="H2258" s="3">
        <v>1</v>
      </c>
      <c r="I2258" s="3">
        <v>-86.47</v>
      </c>
      <c r="J2258" s="3">
        <v>61.06</v>
      </c>
    </row>
    <row r="2259" spans="1:10" ht="14.4" x14ac:dyDescent="0.3">
      <c r="A2259" s="3"/>
      <c r="E2259" s="3">
        <v>427.61</v>
      </c>
      <c r="F2259" s="3">
        <v>-62.56</v>
      </c>
      <c r="G2259" s="3">
        <v>-107.55</v>
      </c>
      <c r="H2259" s="3">
        <v>1.51</v>
      </c>
      <c r="I2259" s="3">
        <v>-148.15</v>
      </c>
      <c r="J2259" s="3">
        <v>114.13</v>
      </c>
    </row>
    <row r="2260" spans="1:10" ht="14.4" x14ac:dyDescent="0.3">
      <c r="A2260" s="3"/>
      <c r="E2260" s="3">
        <v>432.19</v>
      </c>
      <c r="F2260" s="3">
        <v>-60.52</v>
      </c>
      <c r="G2260" s="3">
        <v>-108.64</v>
      </c>
      <c r="H2260" s="3">
        <v>1.52</v>
      </c>
      <c r="I2260" s="3">
        <v>-149.16</v>
      </c>
      <c r="J2260" s="3">
        <v>111.5</v>
      </c>
    </row>
    <row r="2261" spans="1:10" ht="14.4" x14ac:dyDescent="0.3">
      <c r="A2261" s="3"/>
      <c r="E2261" s="3">
        <v>433.04</v>
      </c>
      <c r="F2261" s="3">
        <v>-64.099999999999994</v>
      </c>
      <c r="G2261" s="3">
        <v>-109.62</v>
      </c>
      <c r="H2261" s="3">
        <v>1.36</v>
      </c>
      <c r="I2261" s="3">
        <v>-149.46</v>
      </c>
      <c r="J2261" s="3">
        <v>116.03</v>
      </c>
    </row>
    <row r="2262" spans="1:10" ht="14.4" x14ac:dyDescent="0.3">
      <c r="A2262" s="3"/>
      <c r="E2262" s="3">
        <v>430.85</v>
      </c>
      <c r="F2262" s="3">
        <v>-65.540000000000006</v>
      </c>
      <c r="G2262" s="3">
        <v>-109.11</v>
      </c>
      <c r="H2262" s="3">
        <v>1.35</v>
      </c>
      <c r="I2262" s="3">
        <v>-148.83000000000001</v>
      </c>
      <c r="J2262" s="3">
        <v>117.83</v>
      </c>
    </row>
    <row r="2263" spans="1:10" ht="14.4" x14ac:dyDescent="0.3">
      <c r="A2263" s="3"/>
      <c r="E2263" s="3">
        <v>433.13</v>
      </c>
      <c r="F2263" s="3">
        <v>-64.83</v>
      </c>
      <c r="G2263" s="3">
        <v>-109.86</v>
      </c>
      <c r="H2263" s="3">
        <v>1.4</v>
      </c>
      <c r="I2263" s="3">
        <v>-149.66</v>
      </c>
      <c r="J2263" s="3">
        <v>117.03</v>
      </c>
    </row>
    <row r="2264" spans="1:10" ht="14.4" x14ac:dyDescent="0.3">
      <c r="A2264" s="3"/>
      <c r="E2264" s="3">
        <v>431.31</v>
      </c>
      <c r="F2264" s="3">
        <v>-67.52</v>
      </c>
      <c r="G2264" s="3">
        <v>-109.75</v>
      </c>
      <c r="H2264" s="3">
        <v>1.34</v>
      </c>
      <c r="I2264" s="3">
        <v>-149.57</v>
      </c>
      <c r="J2264" s="3">
        <v>120.35</v>
      </c>
    </row>
    <row r="2265" spans="1:10" ht="14.4" x14ac:dyDescent="0.3">
      <c r="A2265" s="3"/>
      <c r="E2265" s="3">
        <v>427.7</v>
      </c>
      <c r="F2265" s="3">
        <v>-67.58</v>
      </c>
      <c r="G2265" s="3">
        <v>-108.61</v>
      </c>
      <c r="H2265" s="3">
        <v>1.37</v>
      </c>
      <c r="I2265" s="3">
        <v>-148.69999999999999</v>
      </c>
      <c r="J2265" s="3">
        <v>120.6</v>
      </c>
    </row>
    <row r="2266" spans="1:10" ht="14.4" x14ac:dyDescent="0.3">
      <c r="A2266" s="3"/>
      <c r="E2266" s="3">
        <v>431.09</v>
      </c>
      <c r="F2266" s="3">
        <v>-69.58</v>
      </c>
      <c r="G2266" s="3">
        <v>-109.79</v>
      </c>
      <c r="H2266" s="3">
        <v>1.26</v>
      </c>
      <c r="I2266" s="3">
        <v>-149.1</v>
      </c>
      <c r="J2266" s="3">
        <v>122.88</v>
      </c>
    </row>
    <row r="2267" spans="1:10" ht="14.4" x14ac:dyDescent="0.3">
      <c r="A2267" s="3"/>
      <c r="E2267" s="3">
        <v>433.61</v>
      </c>
      <c r="F2267" s="3">
        <v>-67.650000000000006</v>
      </c>
      <c r="G2267" s="3">
        <v>-110.61</v>
      </c>
      <c r="H2267" s="3">
        <v>1.28</v>
      </c>
      <c r="I2267" s="3">
        <v>-150.01</v>
      </c>
      <c r="J2267" s="3">
        <v>120.62</v>
      </c>
    </row>
    <row r="2268" spans="1:10" ht="14.4" x14ac:dyDescent="0.3">
      <c r="A2268" s="3"/>
      <c r="E2268" s="3">
        <v>429.04</v>
      </c>
      <c r="F2268" s="3">
        <v>-69.680000000000007</v>
      </c>
      <c r="G2268" s="3">
        <v>-109.52</v>
      </c>
      <c r="H2268" s="3">
        <v>1.27</v>
      </c>
      <c r="I2268" s="3">
        <v>-149</v>
      </c>
      <c r="J2268" s="3">
        <v>123.25</v>
      </c>
    </row>
    <row r="2269" spans="1:10" ht="14.4" x14ac:dyDescent="0.3">
      <c r="A2269" s="3"/>
      <c r="E2269" s="3">
        <v>428.18</v>
      </c>
      <c r="F2269" s="3">
        <v>-66.099999999999994</v>
      </c>
      <c r="G2269" s="3">
        <v>-108.54</v>
      </c>
      <c r="H2269" s="3">
        <v>1.42</v>
      </c>
      <c r="I2269" s="3">
        <v>-148.69999999999999</v>
      </c>
      <c r="J2269" s="3">
        <v>118.72</v>
      </c>
    </row>
    <row r="2270" spans="1:10" ht="14.4" x14ac:dyDescent="0.3">
      <c r="A2270" s="3"/>
      <c r="E2270" s="3">
        <v>430.38</v>
      </c>
      <c r="F2270" s="3">
        <v>-64.66</v>
      </c>
      <c r="G2270" s="3">
        <v>-109.05</v>
      </c>
      <c r="H2270" s="3">
        <v>1.44</v>
      </c>
      <c r="I2270" s="3">
        <v>-149.33000000000001</v>
      </c>
      <c r="J2270" s="3">
        <v>116.91</v>
      </c>
    </row>
    <row r="2271" spans="1:10" ht="14.4" x14ac:dyDescent="0.3">
      <c r="A2271" s="3"/>
      <c r="E2271" s="3">
        <v>428.1</v>
      </c>
      <c r="F2271" s="3">
        <v>-65.37</v>
      </c>
      <c r="G2271" s="3">
        <v>-108.29</v>
      </c>
      <c r="H2271" s="3">
        <v>1.39</v>
      </c>
      <c r="I2271" s="3">
        <v>-148.5</v>
      </c>
      <c r="J2271" s="3">
        <v>117.71</v>
      </c>
    </row>
    <row r="2272" spans="1:10" ht="14.4" x14ac:dyDescent="0.3">
      <c r="A2272" s="3"/>
      <c r="E2272" s="3">
        <v>429.92</v>
      </c>
      <c r="F2272" s="3">
        <v>-62.68</v>
      </c>
      <c r="G2272" s="3">
        <v>-108.41</v>
      </c>
      <c r="H2272" s="3">
        <v>1.45</v>
      </c>
      <c r="I2272" s="3">
        <v>-148.59</v>
      </c>
      <c r="J2272" s="3">
        <v>114.4</v>
      </c>
    </row>
    <row r="2273" spans="1:10" ht="14.4" x14ac:dyDescent="0.3">
      <c r="A2273" s="3"/>
      <c r="E2273" s="3">
        <v>433.53</v>
      </c>
      <c r="F2273" s="3">
        <v>-62.63</v>
      </c>
      <c r="G2273" s="3">
        <v>-109.54</v>
      </c>
      <c r="H2273" s="3">
        <v>1.42</v>
      </c>
      <c r="I2273" s="3">
        <v>-149.46</v>
      </c>
      <c r="J2273" s="3">
        <v>114.14</v>
      </c>
    </row>
    <row r="2274" spans="1:10" ht="14.4" x14ac:dyDescent="0.3">
      <c r="A2274" s="3"/>
      <c r="E2274" s="3">
        <v>430.14</v>
      </c>
      <c r="F2274" s="3">
        <v>-60.63</v>
      </c>
      <c r="G2274" s="3">
        <v>-108.36</v>
      </c>
      <c r="H2274" s="3">
        <v>1.53</v>
      </c>
      <c r="I2274" s="3">
        <v>-149.06</v>
      </c>
      <c r="J2274" s="3">
        <v>111.86</v>
      </c>
    </row>
    <row r="2275" spans="1:10" ht="14.4" x14ac:dyDescent="0.3">
      <c r="A2275" s="3"/>
      <c r="E2275" s="3">
        <v>263.75</v>
      </c>
      <c r="F2275" s="3">
        <v>-33.82</v>
      </c>
      <c r="G2275" s="3">
        <v>-69.69</v>
      </c>
      <c r="H2275" s="3">
        <v>1.24</v>
      </c>
      <c r="I2275" s="3">
        <v>-98.03</v>
      </c>
      <c r="J2275" s="3">
        <v>67.12</v>
      </c>
    </row>
    <row r="2276" spans="1:10" ht="14.4" x14ac:dyDescent="0.3">
      <c r="A2276" s="3"/>
      <c r="E2276" s="3">
        <v>272.89999999999998</v>
      </c>
      <c r="F2276" s="3">
        <v>-29.75</v>
      </c>
      <c r="G2276" s="3">
        <v>-71.87</v>
      </c>
      <c r="H2276" s="3">
        <v>1.25</v>
      </c>
      <c r="I2276" s="3">
        <v>-100.04</v>
      </c>
      <c r="J2276" s="3">
        <v>61.85</v>
      </c>
    </row>
    <row r="2277" spans="1:10" ht="14.4" x14ac:dyDescent="0.3">
      <c r="A2277" s="3"/>
      <c r="E2277" s="3">
        <v>274.60000000000002</v>
      </c>
      <c r="F2277" s="3">
        <v>-36.909999999999997</v>
      </c>
      <c r="G2277" s="3">
        <v>-73.83</v>
      </c>
      <c r="H2277" s="3">
        <v>0.95</v>
      </c>
      <c r="I2277" s="3">
        <v>-100.64</v>
      </c>
      <c r="J2277" s="3">
        <v>70.91</v>
      </c>
    </row>
    <row r="2278" spans="1:10" ht="14.4" x14ac:dyDescent="0.3">
      <c r="A2278" s="3"/>
      <c r="E2278" s="3">
        <v>270.20999999999998</v>
      </c>
      <c r="F2278" s="3">
        <v>-39.78</v>
      </c>
      <c r="G2278" s="3">
        <v>-72.81</v>
      </c>
      <c r="H2278" s="3">
        <v>0.91</v>
      </c>
      <c r="I2278" s="3">
        <v>-99.39</v>
      </c>
      <c r="J2278" s="3">
        <v>74.53</v>
      </c>
    </row>
    <row r="2279" spans="1:10" ht="14.4" x14ac:dyDescent="0.3">
      <c r="A2279" s="3"/>
      <c r="E2279" s="3">
        <v>274.77</v>
      </c>
      <c r="F2279" s="3">
        <v>-38.36</v>
      </c>
      <c r="G2279" s="3">
        <v>-74.319999999999993</v>
      </c>
      <c r="H2279" s="3">
        <v>1.01</v>
      </c>
      <c r="I2279" s="3">
        <v>-101.04</v>
      </c>
      <c r="J2279" s="3">
        <v>72.92</v>
      </c>
    </row>
    <row r="2280" spans="1:10" ht="14.4" x14ac:dyDescent="0.3">
      <c r="A2280" s="3"/>
      <c r="E2280" s="3">
        <v>271.13</v>
      </c>
      <c r="F2280" s="3">
        <v>-43.74</v>
      </c>
      <c r="G2280" s="3">
        <v>-74.08</v>
      </c>
      <c r="H2280" s="3">
        <v>0.89</v>
      </c>
      <c r="I2280" s="3">
        <v>-100.87</v>
      </c>
      <c r="J2280" s="3">
        <v>79.56</v>
      </c>
    </row>
    <row r="2281" spans="1:10" ht="14.4" x14ac:dyDescent="0.3">
      <c r="A2281" s="3"/>
      <c r="E2281" s="3">
        <v>263.92</v>
      </c>
      <c r="F2281" s="3">
        <v>-43.86</v>
      </c>
      <c r="G2281" s="3">
        <v>-71.819999999999993</v>
      </c>
      <c r="H2281" s="3">
        <v>0.96</v>
      </c>
      <c r="I2281" s="3">
        <v>-99.12</v>
      </c>
      <c r="J2281" s="3">
        <v>80.06</v>
      </c>
    </row>
    <row r="2282" spans="1:10" ht="14.4" x14ac:dyDescent="0.3">
      <c r="A2282" s="3"/>
      <c r="E2282" s="3">
        <v>270.69</v>
      </c>
      <c r="F2282" s="3">
        <v>-47.86</v>
      </c>
      <c r="G2282" s="3">
        <v>-74.180000000000007</v>
      </c>
      <c r="H2282" s="3">
        <v>0.73</v>
      </c>
      <c r="I2282" s="3">
        <v>-99.92</v>
      </c>
      <c r="J2282" s="3">
        <v>84.62</v>
      </c>
    </row>
    <row r="2283" spans="1:10" ht="14.4" x14ac:dyDescent="0.3">
      <c r="A2283" s="3"/>
      <c r="E2283" s="3">
        <v>275.74</v>
      </c>
      <c r="F2283" s="3">
        <v>-43.99</v>
      </c>
      <c r="G2283" s="3">
        <v>-75.81</v>
      </c>
      <c r="H2283" s="3">
        <v>0.77</v>
      </c>
      <c r="I2283" s="3">
        <v>-101.75</v>
      </c>
      <c r="J2283" s="3">
        <v>80.09</v>
      </c>
    </row>
    <row r="2284" spans="1:10" ht="14.4" x14ac:dyDescent="0.3">
      <c r="A2284" s="3"/>
      <c r="E2284" s="3">
        <v>266.58999999999997</v>
      </c>
      <c r="F2284" s="3">
        <v>-48.06</v>
      </c>
      <c r="G2284" s="3">
        <v>-73.63</v>
      </c>
      <c r="H2284" s="3">
        <v>0.76</v>
      </c>
      <c r="I2284" s="3">
        <v>-99.74</v>
      </c>
      <c r="J2284" s="3">
        <v>85.36</v>
      </c>
    </row>
    <row r="2285" spans="1:10" ht="14.4" x14ac:dyDescent="0.3">
      <c r="A2285" s="3"/>
      <c r="E2285" s="3">
        <v>264.89</v>
      </c>
      <c r="F2285" s="3">
        <v>-40.9</v>
      </c>
      <c r="G2285" s="3">
        <v>-71.67</v>
      </c>
      <c r="H2285" s="3">
        <v>1.07</v>
      </c>
      <c r="I2285" s="3">
        <v>-99.13</v>
      </c>
      <c r="J2285" s="3">
        <v>76.3</v>
      </c>
    </row>
    <row r="2286" spans="1:10" ht="14.4" x14ac:dyDescent="0.3">
      <c r="A2286" s="3"/>
      <c r="E2286" s="3">
        <v>269.27999999999997</v>
      </c>
      <c r="F2286" s="3">
        <v>-38.020000000000003</v>
      </c>
      <c r="G2286" s="3">
        <v>-72.680000000000007</v>
      </c>
      <c r="H2286" s="3">
        <v>1.1000000000000001</v>
      </c>
      <c r="I2286" s="3">
        <v>-100.38</v>
      </c>
      <c r="J2286" s="3">
        <v>72.680000000000007</v>
      </c>
    </row>
    <row r="2287" spans="1:10" ht="14.4" x14ac:dyDescent="0.3">
      <c r="A2287" s="3"/>
      <c r="E2287" s="3">
        <v>264.72000000000003</v>
      </c>
      <c r="F2287" s="3">
        <v>-39.450000000000003</v>
      </c>
      <c r="G2287" s="3">
        <v>-71.180000000000007</v>
      </c>
      <c r="H2287" s="3">
        <v>1</v>
      </c>
      <c r="I2287" s="3">
        <v>-98.74</v>
      </c>
      <c r="J2287" s="3">
        <v>74.290000000000006</v>
      </c>
    </row>
    <row r="2288" spans="1:10" ht="14.4" x14ac:dyDescent="0.3">
      <c r="A2288" s="3"/>
      <c r="E2288" s="3">
        <v>268.36</v>
      </c>
      <c r="F2288" s="3">
        <v>-34.06</v>
      </c>
      <c r="G2288" s="3">
        <v>-71.41</v>
      </c>
      <c r="H2288" s="3">
        <v>1.1200000000000001</v>
      </c>
      <c r="I2288" s="3">
        <v>-98.9</v>
      </c>
      <c r="J2288" s="3">
        <v>67.650000000000006</v>
      </c>
    </row>
    <row r="2289" spans="1:10" ht="14.4" x14ac:dyDescent="0.3">
      <c r="A2289" s="3"/>
      <c r="E2289" s="3">
        <v>275.57</v>
      </c>
      <c r="F2289" s="3">
        <v>-33.950000000000003</v>
      </c>
      <c r="G2289" s="3">
        <v>-73.680000000000007</v>
      </c>
      <c r="H2289" s="3">
        <v>1.05</v>
      </c>
      <c r="I2289" s="3">
        <v>-100.66</v>
      </c>
      <c r="J2289" s="3">
        <v>67.14</v>
      </c>
    </row>
    <row r="2290" spans="1:10" ht="14.4" x14ac:dyDescent="0.3">
      <c r="A2290" s="3"/>
      <c r="E2290" s="3">
        <v>261.10000000000002</v>
      </c>
      <c r="F2290" s="3">
        <v>-28.68</v>
      </c>
      <c r="G2290" s="3">
        <v>-70.38</v>
      </c>
      <c r="H2290" s="3">
        <v>1.22</v>
      </c>
      <c r="I2290" s="3">
        <v>-98.53</v>
      </c>
      <c r="J2290" s="3">
        <v>60.11</v>
      </c>
    </row>
    <row r="2291" spans="1:10" ht="14.4" x14ac:dyDescent="0.3">
      <c r="A2291" s="3"/>
      <c r="E2291" s="3">
        <v>263.75</v>
      </c>
      <c r="F2291" s="3">
        <v>-33.82</v>
      </c>
      <c r="G2291" s="3">
        <v>-69.69</v>
      </c>
      <c r="H2291" s="3">
        <v>1.24</v>
      </c>
      <c r="I2291" s="3">
        <v>-98.03</v>
      </c>
      <c r="J2291" s="3">
        <v>67.12</v>
      </c>
    </row>
    <row r="2292" spans="1:10" ht="14.4" x14ac:dyDescent="0.3">
      <c r="A2292" s="3"/>
      <c r="E2292" s="3">
        <v>272.89999999999998</v>
      </c>
      <c r="F2292" s="3">
        <v>-29.75</v>
      </c>
      <c r="G2292" s="3">
        <v>-71.87</v>
      </c>
      <c r="H2292" s="3">
        <v>1.25</v>
      </c>
      <c r="I2292" s="3">
        <v>-100.04</v>
      </c>
      <c r="J2292" s="3">
        <v>61.85</v>
      </c>
    </row>
    <row r="2293" spans="1:10" ht="14.4" x14ac:dyDescent="0.3">
      <c r="A2293" s="3"/>
      <c r="E2293" s="3">
        <v>274.60000000000002</v>
      </c>
      <c r="F2293" s="3">
        <v>-36.909999999999997</v>
      </c>
      <c r="G2293" s="3">
        <v>-73.83</v>
      </c>
      <c r="H2293" s="3">
        <v>0.95</v>
      </c>
      <c r="I2293" s="3">
        <v>-100.64</v>
      </c>
      <c r="J2293" s="3">
        <v>70.91</v>
      </c>
    </row>
    <row r="2294" spans="1:10" ht="14.4" x14ac:dyDescent="0.3">
      <c r="A2294" s="3"/>
      <c r="E2294" s="3">
        <v>270.20999999999998</v>
      </c>
      <c r="F2294" s="3">
        <v>-39.78</v>
      </c>
      <c r="G2294" s="3">
        <v>-72.81</v>
      </c>
      <c r="H2294" s="3">
        <v>0.91</v>
      </c>
      <c r="I2294" s="3">
        <v>-99.39</v>
      </c>
      <c r="J2294" s="3">
        <v>74.53</v>
      </c>
    </row>
    <row r="2295" spans="1:10" ht="14.4" x14ac:dyDescent="0.3">
      <c r="A2295" s="3"/>
      <c r="E2295" s="3">
        <v>274.77</v>
      </c>
      <c r="F2295" s="3">
        <v>-38.36</v>
      </c>
      <c r="G2295" s="3">
        <v>-74.319999999999993</v>
      </c>
      <c r="H2295" s="3">
        <v>1.01</v>
      </c>
      <c r="I2295" s="3">
        <v>-101.04</v>
      </c>
      <c r="J2295" s="3">
        <v>72.92</v>
      </c>
    </row>
    <row r="2296" spans="1:10" ht="14.4" x14ac:dyDescent="0.3">
      <c r="A2296" s="3"/>
      <c r="E2296" s="3">
        <v>271.13</v>
      </c>
      <c r="F2296" s="3">
        <v>-43.74</v>
      </c>
      <c r="G2296" s="3">
        <v>-74.08</v>
      </c>
      <c r="H2296" s="3">
        <v>0.89</v>
      </c>
      <c r="I2296" s="3">
        <v>-100.87</v>
      </c>
      <c r="J2296" s="3">
        <v>79.56</v>
      </c>
    </row>
    <row r="2297" spans="1:10" ht="14.4" x14ac:dyDescent="0.3">
      <c r="A2297" s="3"/>
      <c r="E2297" s="3">
        <v>263.92</v>
      </c>
      <c r="F2297" s="3">
        <v>-43.86</v>
      </c>
      <c r="G2297" s="3">
        <v>-71.819999999999993</v>
      </c>
      <c r="H2297" s="3">
        <v>0.96</v>
      </c>
      <c r="I2297" s="3">
        <v>-99.12</v>
      </c>
      <c r="J2297" s="3">
        <v>80.06</v>
      </c>
    </row>
    <row r="2298" spans="1:10" ht="14.4" x14ac:dyDescent="0.3">
      <c r="A2298" s="3"/>
      <c r="E2298" s="3">
        <v>270.69</v>
      </c>
      <c r="F2298" s="3">
        <v>-47.86</v>
      </c>
      <c r="G2298" s="3">
        <v>-74.180000000000007</v>
      </c>
      <c r="H2298" s="3">
        <v>0.73</v>
      </c>
      <c r="I2298" s="3">
        <v>-99.92</v>
      </c>
      <c r="J2298" s="3">
        <v>84.62</v>
      </c>
    </row>
    <row r="2299" spans="1:10" ht="14.4" x14ac:dyDescent="0.3">
      <c r="A2299" s="3"/>
      <c r="E2299" s="3">
        <v>275.74</v>
      </c>
      <c r="F2299" s="3">
        <v>-43.99</v>
      </c>
      <c r="G2299" s="3">
        <v>-75.81</v>
      </c>
      <c r="H2299" s="3">
        <v>0.77</v>
      </c>
      <c r="I2299" s="3">
        <v>-101.75</v>
      </c>
      <c r="J2299" s="3">
        <v>80.09</v>
      </c>
    </row>
    <row r="2300" spans="1:10" ht="14.4" x14ac:dyDescent="0.3">
      <c r="A2300" s="3"/>
      <c r="E2300" s="3">
        <v>266.58999999999997</v>
      </c>
      <c r="F2300" s="3">
        <v>-48.06</v>
      </c>
      <c r="G2300" s="3">
        <v>-73.63</v>
      </c>
      <c r="H2300" s="3">
        <v>0.76</v>
      </c>
      <c r="I2300" s="3">
        <v>-99.74</v>
      </c>
      <c r="J2300" s="3">
        <v>85.36</v>
      </c>
    </row>
    <row r="2301" spans="1:10" ht="14.4" x14ac:dyDescent="0.3">
      <c r="A2301" s="3"/>
      <c r="E2301" s="3">
        <v>264.89</v>
      </c>
      <c r="F2301" s="3">
        <v>-40.9</v>
      </c>
      <c r="G2301" s="3">
        <v>-71.67</v>
      </c>
      <c r="H2301" s="3">
        <v>1.07</v>
      </c>
      <c r="I2301" s="3">
        <v>-99.13</v>
      </c>
      <c r="J2301" s="3">
        <v>76.3</v>
      </c>
    </row>
    <row r="2302" spans="1:10" ht="14.4" x14ac:dyDescent="0.3">
      <c r="A2302" s="3"/>
      <c r="E2302" s="3">
        <v>269.27999999999997</v>
      </c>
      <c r="F2302" s="3">
        <v>-38.020000000000003</v>
      </c>
      <c r="G2302" s="3">
        <v>-72.680000000000007</v>
      </c>
      <c r="H2302" s="3">
        <v>1.1000000000000001</v>
      </c>
      <c r="I2302" s="3">
        <v>-100.38</v>
      </c>
      <c r="J2302" s="3">
        <v>72.680000000000007</v>
      </c>
    </row>
    <row r="2303" spans="1:10" ht="14.4" x14ac:dyDescent="0.3">
      <c r="A2303" s="3"/>
      <c r="E2303" s="3">
        <v>264.72000000000003</v>
      </c>
      <c r="F2303" s="3">
        <v>-39.450000000000003</v>
      </c>
      <c r="G2303" s="3">
        <v>-71.180000000000007</v>
      </c>
      <c r="H2303" s="3">
        <v>1</v>
      </c>
      <c r="I2303" s="3">
        <v>-98.74</v>
      </c>
      <c r="J2303" s="3">
        <v>74.290000000000006</v>
      </c>
    </row>
    <row r="2304" spans="1:10" ht="14.4" x14ac:dyDescent="0.3">
      <c r="A2304" s="3"/>
      <c r="E2304" s="3">
        <v>268.36</v>
      </c>
      <c r="F2304" s="3">
        <v>-34.06</v>
      </c>
      <c r="G2304" s="3">
        <v>-71.41</v>
      </c>
      <c r="H2304" s="3">
        <v>1.1200000000000001</v>
      </c>
      <c r="I2304" s="3">
        <v>-98.9</v>
      </c>
      <c r="J2304" s="3">
        <v>67.650000000000006</v>
      </c>
    </row>
    <row r="2305" spans="1:10" ht="14.4" x14ac:dyDescent="0.3">
      <c r="A2305" s="3"/>
      <c r="E2305" s="3">
        <v>275.57</v>
      </c>
      <c r="F2305" s="3">
        <v>-33.950000000000003</v>
      </c>
      <c r="G2305" s="3">
        <v>-73.680000000000007</v>
      </c>
      <c r="H2305" s="3">
        <v>1.05</v>
      </c>
      <c r="I2305" s="3">
        <v>-100.66</v>
      </c>
      <c r="J2305" s="3">
        <v>67.14</v>
      </c>
    </row>
    <row r="2306" spans="1:10" ht="14.4" x14ac:dyDescent="0.3">
      <c r="A2306" s="3"/>
      <c r="E2306" s="3">
        <v>275.57</v>
      </c>
      <c r="F2306" s="3">
        <v>-33.950000000000003</v>
      </c>
      <c r="G2306" s="3">
        <v>-73.680000000000007</v>
      </c>
      <c r="H2306" s="3">
        <v>1.05</v>
      </c>
      <c r="I2306" s="3">
        <v>-100.66</v>
      </c>
      <c r="J2306" s="3">
        <v>67.14</v>
      </c>
    </row>
    <row r="2307" spans="1:10" ht="14.4" x14ac:dyDescent="0.3">
      <c r="A2307" s="3"/>
      <c r="E2307" s="3">
        <v>192.77</v>
      </c>
      <c r="F2307" s="3">
        <v>-21.18</v>
      </c>
      <c r="G2307" s="3">
        <v>-46.75</v>
      </c>
      <c r="H2307" s="3">
        <v>0.87</v>
      </c>
      <c r="I2307" s="3">
        <v>-62.37</v>
      </c>
      <c r="J2307" s="3">
        <v>42.18</v>
      </c>
    </row>
    <row r="2308" spans="1:10" ht="14.4" x14ac:dyDescent="0.3">
      <c r="A2308" s="3"/>
      <c r="E2308" s="3">
        <v>201.91</v>
      </c>
      <c r="F2308" s="3">
        <v>-17.100000000000001</v>
      </c>
      <c r="G2308" s="3">
        <v>-48.94</v>
      </c>
      <c r="H2308" s="3">
        <v>0.89</v>
      </c>
      <c r="I2308" s="3">
        <v>-64.38</v>
      </c>
      <c r="J2308" s="3">
        <v>36.909999999999997</v>
      </c>
    </row>
    <row r="2309" spans="1:10" ht="14.4" x14ac:dyDescent="0.3">
      <c r="A2309" s="3"/>
      <c r="E2309" s="3">
        <v>203.62</v>
      </c>
      <c r="F2309" s="3">
        <v>-24.26</v>
      </c>
      <c r="G2309" s="3">
        <v>-50.89</v>
      </c>
      <c r="H2309" s="3">
        <v>0.57999999999999996</v>
      </c>
      <c r="I2309" s="3">
        <v>-64.98</v>
      </c>
      <c r="J2309" s="3">
        <v>45.97</v>
      </c>
    </row>
    <row r="2310" spans="1:10" ht="14.4" x14ac:dyDescent="0.3">
      <c r="A2310" s="3"/>
      <c r="E2310" s="3">
        <v>199.23</v>
      </c>
      <c r="F2310" s="3">
        <v>-27.14</v>
      </c>
      <c r="G2310" s="3">
        <v>-49.88</v>
      </c>
      <c r="H2310" s="3">
        <v>0.54</v>
      </c>
      <c r="I2310" s="3">
        <v>-63.73</v>
      </c>
      <c r="J2310" s="3">
        <v>49.59</v>
      </c>
    </row>
    <row r="2311" spans="1:10" ht="14.4" x14ac:dyDescent="0.3">
      <c r="A2311" s="3"/>
      <c r="E2311" s="3">
        <v>203.79</v>
      </c>
      <c r="F2311" s="3">
        <v>-25.72</v>
      </c>
      <c r="G2311" s="3">
        <v>-51.38</v>
      </c>
      <c r="H2311" s="3">
        <v>0.64</v>
      </c>
      <c r="I2311" s="3">
        <v>-65.38</v>
      </c>
      <c r="J2311" s="3">
        <v>47.98</v>
      </c>
    </row>
    <row r="2312" spans="1:10" ht="14.4" x14ac:dyDescent="0.3">
      <c r="A2312" s="3"/>
      <c r="E2312" s="3">
        <v>200.15</v>
      </c>
      <c r="F2312" s="3">
        <v>-31.1</v>
      </c>
      <c r="G2312" s="3">
        <v>-51.15</v>
      </c>
      <c r="H2312" s="3">
        <v>0.53</v>
      </c>
      <c r="I2312" s="3">
        <v>-65.209999999999994</v>
      </c>
      <c r="J2312" s="3">
        <v>54.62</v>
      </c>
    </row>
    <row r="2313" spans="1:10" ht="14.4" x14ac:dyDescent="0.3">
      <c r="A2313" s="3"/>
      <c r="E2313" s="3">
        <v>192.93</v>
      </c>
      <c r="F2313" s="3">
        <v>-31.22</v>
      </c>
      <c r="G2313" s="3">
        <v>-48.88</v>
      </c>
      <c r="H2313" s="3">
        <v>0.59</v>
      </c>
      <c r="I2313" s="3">
        <v>-63.46</v>
      </c>
      <c r="J2313" s="3">
        <v>55.12</v>
      </c>
    </row>
    <row r="2314" spans="1:10" ht="14.4" x14ac:dyDescent="0.3">
      <c r="A2314" s="3"/>
      <c r="E2314" s="3">
        <v>199.71</v>
      </c>
      <c r="F2314" s="3">
        <v>-35.22</v>
      </c>
      <c r="G2314" s="3">
        <v>-51.24</v>
      </c>
      <c r="H2314" s="3">
        <v>0.37</v>
      </c>
      <c r="I2314" s="3">
        <v>-64.260000000000005</v>
      </c>
      <c r="J2314" s="3">
        <v>59.68</v>
      </c>
    </row>
    <row r="2315" spans="1:10" ht="14.4" x14ac:dyDescent="0.3">
      <c r="A2315" s="3"/>
      <c r="E2315" s="3">
        <v>204.76</v>
      </c>
      <c r="F2315" s="3">
        <v>-31.35</v>
      </c>
      <c r="G2315" s="3">
        <v>-52.87</v>
      </c>
      <c r="H2315" s="3">
        <v>0.41</v>
      </c>
      <c r="I2315" s="3">
        <v>-66.08</v>
      </c>
      <c r="J2315" s="3">
        <v>55.15</v>
      </c>
    </row>
    <row r="2316" spans="1:10" ht="14.4" x14ac:dyDescent="0.3">
      <c r="A2316" s="3"/>
      <c r="E2316" s="3">
        <v>195.61</v>
      </c>
      <c r="F2316" s="3">
        <v>-35.42</v>
      </c>
      <c r="G2316" s="3">
        <v>-50.69</v>
      </c>
      <c r="H2316" s="3">
        <v>0.39</v>
      </c>
      <c r="I2316" s="3">
        <v>-64.069999999999993</v>
      </c>
      <c r="J2316" s="3">
        <v>60.42</v>
      </c>
    </row>
    <row r="2317" spans="1:10" ht="14.4" x14ac:dyDescent="0.3">
      <c r="A2317" s="3"/>
      <c r="E2317" s="3">
        <v>193.91</v>
      </c>
      <c r="F2317" s="3">
        <v>-28.26</v>
      </c>
      <c r="G2317" s="3">
        <v>-48.73</v>
      </c>
      <c r="H2317" s="3">
        <v>0.7</v>
      </c>
      <c r="I2317" s="3">
        <v>-63.47</v>
      </c>
      <c r="J2317" s="3">
        <v>51.36</v>
      </c>
    </row>
    <row r="2318" spans="1:10" ht="14.4" x14ac:dyDescent="0.3">
      <c r="A2318" s="3"/>
      <c r="E2318" s="3">
        <v>198.29</v>
      </c>
      <c r="F2318" s="3">
        <v>-25.38</v>
      </c>
      <c r="G2318" s="3">
        <v>-49.75</v>
      </c>
      <c r="H2318" s="3">
        <v>0.74</v>
      </c>
      <c r="I2318" s="3">
        <v>-64.72</v>
      </c>
      <c r="J2318" s="3">
        <v>47.74</v>
      </c>
    </row>
    <row r="2319" spans="1:10" ht="14.4" x14ac:dyDescent="0.3">
      <c r="A2319" s="3"/>
      <c r="E2319" s="3">
        <v>193.74</v>
      </c>
      <c r="F2319" s="3">
        <v>-26.8</v>
      </c>
      <c r="G2319" s="3">
        <v>-48.24</v>
      </c>
      <c r="H2319" s="3">
        <v>0.64</v>
      </c>
      <c r="I2319" s="3">
        <v>-63.07</v>
      </c>
      <c r="J2319" s="3">
        <v>49.35</v>
      </c>
    </row>
    <row r="2320" spans="1:10" ht="14.4" x14ac:dyDescent="0.3">
      <c r="A2320" s="3"/>
      <c r="E2320" s="3">
        <v>197.38</v>
      </c>
      <c r="F2320" s="3">
        <v>-21.42</v>
      </c>
      <c r="G2320" s="3">
        <v>-48.48</v>
      </c>
      <c r="H2320" s="3">
        <v>0.75</v>
      </c>
      <c r="I2320" s="3">
        <v>-63.24</v>
      </c>
      <c r="J2320" s="3">
        <v>42.71</v>
      </c>
    </row>
    <row r="2321" spans="1:10" ht="14.4" x14ac:dyDescent="0.3">
      <c r="A2321" s="3"/>
      <c r="E2321" s="3">
        <v>204.59</v>
      </c>
      <c r="F2321" s="3">
        <v>-21.31</v>
      </c>
      <c r="G2321" s="3">
        <v>-50.74</v>
      </c>
      <c r="H2321" s="3">
        <v>0.69</v>
      </c>
      <c r="I2321" s="3">
        <v>-64.989999999999995</v>
      </c>
      <c r="J2321" s="3">
        <v>42.2</v>
      </c>
    </row>
    <row r="2322" spans="1:10" ht="14.4" x14ac:dyDescent="0.3">
      <c r="A2322" s="3"/>
      <c r="E2322" s="3">
        <v>197.82</v>
      </c>
      <c r="F2322" s="3">
        <v>-17.309999999999999</v>
      </c>
      <c r="G2322" s="3">
        <v>-48.38</v>
      </c>
      <c r="H2322" s="3">
        <v>0.91</v>
      </c>
      <c r="I2322" s="3">
        <v>-64.19</v>
      </c>
      <c r="J2322" s="3">
        <v>37.65</v>
      </c>
    </row>
    <row r="2323" spans="1:10" ht="14.4" x14ac:dyDescent="0.3">
      <c r="A2323" s="3"/>
      <c r="E2323" s="3">
        <v>235.75</v>
      </c>
      <c r="F2323" s="3">
        <v>-9.3000000000000007</v>
      </c>
      <c r="G2323" s="3">
        <v>-52.2</v>
      </c>
      <c r="H2323" s="3">
        <v>2.29</v>
      </c>
      <c r="I2323" s="3">
        <v>-75.569999999999993</v>
      </c>
      <c r="J2323" s="3">
        <v>36.700000000000003</v>
      </c>
    </row>
    <row r="2324" spans="1:10" ht="14.4" x14ac:dyDescent="0.3">
      <c r="A2324" s="3"/>
      <c r="E2324" s="3">
        <v>320.27999999999997</v>
      </c>
      <c r="F2324" s="3">
        <v>-34.06</v>
      </c>
      <c r="G2324" s="3">
        <v>-91.48</v>
      </c>
      <c r="H2324" s="3">
        <v>0.18</v>
      </c>
      <c r="I2324" s="3">
        <v>-120.63</v>
      </c>
      <c r="J2324" s="3">
        <v>65.510000000000005</v>
      </c>
    </row>
    <row r="2325" spans="1:10" ht="14.4" x14ac:dyDescent="0.3">
      <c r="A2325" s="3"/>
      <c r="E2325" s="3">
        <v>217.35</v>
      </c>
      <c r="F2325" s="3">
        <v>-42.99</v>
      </c>
      <c r="G2325" s="3">
        <v>-53.58</v>
      </c>
      <c r="H2325" s="3">
        <v>1.83</v>
      </c>
      <c r="I2325" s="3">
        <v>-78.61</v>
      </c>
      <c r="J2325" s="3">
        <v>80.64</v>
      </c>
    </row>
    <row r="2326" spans="1:10" ht="14.4" x14ac:dyDescent="0.3">
      <c r="A2326" s="3"/>
      <c r="E2326" s="3">
        <v>301.88</v>
      </c>
      <c r="F2326" s="3">
        <v>-67.75</v>
      </c>
      <c r="G2326" s="3">
        <v>-92.86</v>
      </c>
      <c r="H2326" s="3">
        <v>-0.28000000000000003</v>
      </c>
      <c r="I2326" s="3">
        <v>-123.67</v>
      </c>
      <c r="J2326" s="3">
        <v>109.45</v>
      </c>
    </row>
    <row r="2327" spans="1:10" ht="14.4" x14ac:dyDescent="0.3">
      <c r="A2327" s="3"/>
      <c r="E2327" s="3">
        <v>235.75</v>
      </c>
      <c r="F2327" s="3">
        <v>-9.3000000000000007</v>
      </c>
      <c r="G2327" s="3">
        <v>-52.2</v>
      </c>
      <c r="H2327" s="3">
        <v>2.29</v>
      </c>
      <c r="I2327" s="3">
        <v>-75.569999999999993</v>
      </c>
      <c r="J2327" s="3">
        <v>36.700000000000003</v>
      </c>
    </row>
    <row r="2328" spans="1:10" ht="14.4" x14ac:dyDescent="0.3">
      <c r="A2328" s="3"/>
      <c r="E2328" s="3">
        <v>320.27999999999997</v>
      </c>
      <c r="F2328" s="3">
        <v>-34.06</v>
      </c>
      <c r="G2328" s="3">
        <v>-91.48</v>
      </c>
      <c r="H2328" s="3">
        <v>0.18</v>
      </c>
      <c r="I2328" s="3">
        <v>-120.63</v>
      </c>
      <c r="J2328" s="3">
        <v>65.510000000000005</v>
      </c>
    </row>
    <row r="2329" spans="1:10" ht="14.4" x14ac:dyDescent="0.3">
      <c r="A2329" s="3"/>
      <c r="E2329" s="3">
        <v>217.35</v>
      </c>
      <c r="F2329" s="3">
        <v>-42.99</v>
      </c>
      <c r="G2329" s="3">
        <v>-53.58</v>
      </c>
      <c r="H2329" s="3">
        <v>1.83</v>
      </c>
      <c r="I2329" s="3">
        <v>-78.61</v>
      </c>
      <c r="J2329" s="3">
        <v>80.64</v>
      </c>
    </row>
    <row r="2330" spans="1:10" ht="14.4" x14ac:dyDescent="0.3">
      <c r="A2330" s="3"/>
      <c r="E2330" s="3">
        <v>301.88</v>
      </c>
      <c r="F2330" s="3">
        <v>-67.75</v>
      </c>
      <c r="G2330" s="3">
        <v>-92.86</v>
      </c>
      <c r="H2330" s="3">
        <v>-0.28000000000000003</v>
      </c>
      <c r="I2330" s="3">
        <v>-123.67</v>
      </c>
      <c r="J2330" s="3">
        <v>109.45</v>
      </c>
    </row>
    <row r="2331" spans="1:10" ht="14.4" x14ac:dyDescent="0.3">
      <c r="A2331" s="3"/>
      <c r="E2331" s="3">
        <v>316.97000000000003</v>
      </c>
      <c r="F2331" s="3">
        <v>16.59</v>
      </c>
      <c r="G2331" s="3">
        <v>-72</v>
      </c>
      <c r="H2331" s="3">
        <v>2.1800000000000002</v>
      </c>
      <c r="I2331" s="3">
        <v>-97.71</v>
      </c>
      <c r="J2331" s="3">
        <v>3.96</v>
      </c>
    </row>
    <row r="2332" spans="1:10" ht="14.4" x14ac:dyDescent="0.3">
      <c r="A2332" s="3"/>
      <c r="E2332" s="3">
        <v>168.11</v>
      </c>
      <c r="F2332" s="3">
        <v>-82.57</v>
      </c>
      <c r="G2332" s="3">
        <v>-54.4</v>
      </c>
      <c r="H2332" s="3">
        <v>0.38</v>
      </c>
      <c r="I2332" s="3">
        <v>-79.16</v>
      </c>
      <c r="J2332" s="3">
        <v>126.87</v>
      </c>
    </row>
    <row r="2333" spans="1:10" ht="14.4" x14ac:dyDescent="0.3">
      <c r="A2333" s="3"/>
      <c r="E2333" s="3">
        <v>369.52</v>
      </c>
      <c r="F2333" s="3">
        <v>5.52</v>
      </c>
      <c r="G2333" s="3">
        <v>-90.67</v>
      </c>
      <c r="H2333" s="3">
        <v>1.62</v>
      </c>
      <c r="I2333" s="3">
        <v>-120.08</v>
      </c>
      <c r="J2333" s="3">
        <v>19.29</v>
      </c>
    </row>
    <row r="2334" spans="1:10" ht="14.4" x14ac:dyDescent="0.3">
      <c r="A2334" s="3"/>
      <c r="E2334" s="3">
        <v>220.66</v>
      </c>
      <c r="F2334" s="3">
        <v>-93.64</v>
      </c>
      <c r="G2334" s="3">
        <v>-73.069999999999993</v>
      </c>
      <c r="H2334" s="3">
        <v>-0.17</v>
      </c>
      <c r="I2334" s="3">
        <v>-101.53</v>
      </c>
      <c r="J2334" s="3">
        <v>142.19999999999999</v>
      </c>
    </row>
    <row r="2335" spans="1:10" ht="14.4" x14ac:dyDescent="0.3">
      <c r="A2335" s="3"/>
      <c r="E2335" s="3">
        <v>316.97000000000003</v>
      </c>
      <c r="F2335" s="3">
        <v>16.59</v>
      </c>
      <c r="G2335" s="3">
        <v>-72</v>
      </c>
      <c r="H2335" s="3">
        <v>2.1800000000000002</v>
      </c>
      <c r="I2335" s="3">
        <v>-97.71</v>
      </c>
      <c r="J2335" s="3">
        <v>3.96</v>
      </c>
    </row>
    <row r="2336" spans="1:10" ht="14.4" x14ac:dyDescent="0.3">
      <c r="A2336" s="3"/>
      <c r="E2336" s="3">
        <v>168.11</v>
      </c>
      <c r="F2336" s="3">
        <v>-82.57</v>
      </c>
      <c r="G2336" s="3">
        <v>-54.4</v>
      </c>
      <c r="H2336" s="3">
        <v>0.38</v>
      </c>
      <c r="I2336" s="3">
        <v>-79.16</v>
      </c>
      <c r="J2336" s="3">
        <v>126.87</v>
      </c>
    </row>
    <row r="2337" spans="1:10" ht="14.4" x14ac:dyDescent="0.3">
      <c r="A2337" s="3"/>
      <c r="E2337" s="3">
        <v>369.52</v>
      </c>
      <c r="F2337" s="3">
        <v>5.52</v>
      </c>
      <c r="G2337" s="3">
        <v>-90.67</v>
      </c>
      <c r="H2337" s="3">
        <v>1.62</v>
      </c>
      <c r="I2337" s="3">
        <v>-120.08</v>
      </c>
      <c r="J2337" s="3">
        <v>19.29</v>
      </c>
    </row>
    <row r="2338" spans="1:10" ht="14.4" x14ac:dyDescent="0.3">
      <c r="A2338" s="3"/>
      <c r="E2338" s="3">
        <v>220.66</v>
      </c>
      <c r="F2338" s="3">
        <v>-93.64</v>
      </c>
      <c r="G2338" s="3">
        <v>-73.069999999999993</v>
      </c>
      <c r="H2338" s="3">
        <v>-0.17</v>
      </c>
      <c r="I2338" s="3">
        <v>-101.53</v>
      </c>
      <c r="J2338" s="3">
        <v>142.19999999999999</v>
      </c>
    </row>
    <row r="2339" spans="1:10" ht="14.4" x14ac:dyDescent="0.3">
      <c r="A2339" s="3"/>
      <c r="E2339" s="3">
        <v>410.31</v>
      </c>
      <c r="F2339" s="3">
        <v>8.7200000000000006</v>
      </c>
      <c r="G2339" s="3">
        <v>-50.79</v>
      </c>
      <c r="H2339" s="3">
        <v>2.92</v>
      </c>
      <c r="I2339" s="3">
        <v>-154.31</v>
      </c>
      <c r="J2339" s="3">
        <v>154.18</v>
      </c>
    </row>
    <row r="2340" spans="1:10" ht="14.4" x14ac:dyDescent="0.3">
      <c r="A2340" s="3"/>
      <c r="E2340" s="3">
        <v>150.35</v>
      </c>
      <c r="F2340" s="3">
        <v>-43.77</v>
      </c>
      <c r="G2340" s="3">
        <v>-90.36</v>
      </c>
      <c r="H2340" s="3">
        <v>0.14000000000000001</v>
      </c>
      <c r="I2340" s="3">
        <v>-50.91</v>
      </c>
      <c r="J2340" s="3">
        <v>46.9</v>
      </c>
    </row>
    <row r="2341" spans="1:10" ht="14.4" x14ac:dyDescent="0.3">
      <c r="A2341" s="3"/>
      <c r="E2341" s="3">
        <v>387.28</v>
      </c>
      <c r="F2341" s="3">
        <v>-33.28</v>
      </c>
      <c r="G2341" s="3">
        <v>-54.71</v>
      </c>
      <c r="H2341" s="3">
        <v>1.86</v>
      </c>
      <c r="I2341" s="3">
        <v>-148.33000000000001</v>
      </c>
      <c r="J2341" s="3">
        <v>99.25</v>
      </c>
    </row>
    <row r="2342" spans="1:10" ht="14.4" x14ac:dyDescent="0.3">
      <c r="A2342" s="3"/>
      <c r="E2342" s="3">
        <v>127.32</v>
      </c>
      <c r="F2342" s="3">
        <v>-85.77</v>
      </c>
      <c r="G2342" s="3">
        <v>-94.27</v>
      </c>
      <c r="H2342" s="3">
        <v>-0.91</v>
      </c>
      <c r="I2342" s="3">
        <v>-44.93</v>
      </c>
      <c r="J2342" s="3">
        <v>-8.0299999999999994</v>
      </c>
    </row>
    <row r="2343" spans="1:10" ht="14.4" x14ac:dyDescent="0.3">
      <c r="A2343" s="3"/>
      <c r="E2343" s="3">
        <v>376.95</v>
      </c>
      <c r="F2343" s="3">
        <v>34.47</v>
      </c>
      <c r="G2343" s="3">
        <v>-67.78</v>
      </c>
      <c r="H2343" s="3">
        <v>3.26</v>
      </c>
      <c r="I2343" s="3">
        <v>-135.1</v>
      </c>
      <c r="J2343" s="3">
        <v>187.26</v>
      </c>
    </row>
    <row r="2344" spans="1:10" ht="14.4" x14ac:dyDescent="0.3">
      <c r="A2344" s="3"/>
      <c r="E2344" s="3">
        <v>212.85</v>
      </c>
      <c r="F2344" s="3">
        <v>-92.02</v>
      </c>
      <c r="G2344" s="3">
        <v>-58.53</v>
      </c>
      <c r="H2344" s="3">
        <v>-0.5</v>
      </c>
      <c r="I2344" s="3">
        <v>-86.89</v>
      </c>
      <c r="J2344" s="3">
        <v>-15.06</v>
      </c>
    </row>
    <row r="2345" spans="1:10" ht="14.4" x14ac:dyDescent="0.3">
      <c r="A2345" s="3"/>
      <c r="E2345" s="3">
        <v>324.77999999999997</v>
      </c>
      <c r="F2345" s="3">
        <v>14.97</v>
      </c>
      <c r="G2345" s="3">
        <v>-86.54</v>
      </c>
      <c r="H2345" s="3">
        <v>2.5</v>
      </c>
      <c r="I2345" s="3">
        <v>-112.35</v>
      </c>
      <c r="J2345" s="3">
        <v>161.22</v>
      </c>
    </row>
    <row r="2346" spans="1:10" ht="14.4" x14ac:dyDescent="0.3">
      <c r="A2346" s="3"/>
      <c r="E2346" s="3">
        <v>160.66999999999999</v>
      </c>
      <c r="F2346" s="3">
        <v>-111.53</v>
      </c>
      <c r="G2346" s="3">
        <v>-77.28</v>
      </c>
      <c r="H2346" s="3">
        <v>-1.25</v>
      </c>
      <c r="I2346" s="3">
        <v>-64.14</v>
      </c>
      <c r="J2346" s="3">
        <v>-41.1</v>
      </c>
    </row>
    <row r="2347" spans="1:10" ht="14.4" x14ac:dyDescent="0.3">
      <c r="A2347" s="3"/>
      <c r="E2347" s="3">
        <v>173.91</v>
      </c>
      <c r="F2347" s="3">
        <v>-1.1299999999999999</v>
      </c>
      <c r="G2347" s="3">
        <v>-36.700000000000003</v>
      </c>
      <c r="H2347" s="3">
        <v>2.09</v>
      </c>
      <c r="I2347" s="3">
        <v>-55.59</v>
      </c>
      <c r="J2347" s="3">
        <v>21.56</v>
      </c>
    </row>
    <row r="2348" spans="1:10" ht="14.4" x14ac:dyDescent="0.3">
      <c r="A2348" s="3"/>
      <c r="E2348" s="3">
        <v>249.6</v>
      </c>
      <c r="F2348" s="3">
        <v>-24.72</v>
      </c>
      <c r="G2348" s="3">
        <v>-73.77</v>
      </c>
      <c r="H2348" s="3">
        <v>-0.05</v>
      </c>
      <c r="I2348" s="3">
        <v>-97.8</v>
      </c>
      <c r="J2348" s="3">
        <v>48.21</v>
      </c>
    </row>
    <row r="2349" spans="1:10" ht="14.4" x14ac:dyDescent="0.3">
      <c r="A2349" s="3"/>
      <c r="E2349" s="3">
        <v>155.51</v>
      </c>
      <c r="F2349" s="3">
        <v>-34.82</v>
      </c>
      <c r="G2349" s="3">
        <v>-38.08</v>
      </c>
      <c r="H2349" s="3">
        <v>1.63</v>
      </c>
      <c r="I2349" s="3">
        <v>-58.63</v>
      </c>
      <c r="J2349" s="3">
        <v>65.5</v>
      </c>
    </row>
    <row r="2350" spans="1:10" ht="14.4" x14ac:dyDescent="0.3">
      <c r="A2350" s="3"/>
      <c r="E2350" s="3">
        <v>231.21</v>
      </c>
      <c r="F2350" s="3">
        <v>-58.41</v>
      </c>
      <c r="G2350" s="3">
        <v>-75.150000000000006</v>
      </c>
      <c r="H2350" s="3">
        <v>-0.51</v>
      </c>
      <c r="I2350" s="3">
        <v>-100.84</v>
      </c>
      <c r="J2350" s="3">
        <v>92.15</v>
      </c>
    </row>
    <row r="2351" spans="1:10" ht="14.4" x14ac:dyDescent="0.3">
      <c r="A2351" s="3"/>
      <c r="E2351" s="3">
        <v>173.91</v>
      </c>
      <c r="F2351" s="3">
        <v>-1.1299999999999999</v>
      </c>
      <c r="G2351" s="3">
        <v>-36.700000000000003</v>
      </c>
      <c r="H2351" s="3">
        <v>2.09</v>
      </c>
      <c r="I2351" s="3">
        <v>-55.59</v>
      </c>
      <c r="J2351" s="3">
        <v>21.56</v>
      </c>
    </row>
    <row r="2352" spans="1:10" ht="14.4" x14ac:dyDescent="0.3">
      <c r="A2352" s="3"/>
      <c r="E2352" s="3">
        <v>249.6</v>
      </c>
      <c r="F2352" s="3">
        <v>-24.72</v>
      </c>
      <c r="G2352" s="3">
        <v>-73.77</v>
      </c>
      <c r="H2352" s="3">
        <v>-0.05</v>
      </c>
      <c r="I2352" s="3">
        <v>-97.8</v>
      </c>
      <c r="J2352" s="3">
        <v>48.21</v>
      </c>
    </row>
    <row r="2353" spans="1:10" ht="14.4" x14ac:dyDescent="0.3">
      <c r="A2353" s="3"/>
      <c r="E2353" s="3">
        <v>155.51</v>
      </c>
      <c r="F2353" s="3">
        <v>-34.82</v>
      </c>
      <c r="G2353" s="3">
        <v>-38.08</v>
      </c>
      <c r="H2353" s="3">
        <v>1.63</v>
      </c>
      <c r="I2353" s="3">
        <v>-58.63</v>
      </c>
      <c r="J2353" s="3">
        <v>65.5</v>
      </c>
    </row>
    <row r="2354" spans="1:10" ht="14.4" x14ac:dyDescent="0.3">
      <c r="A2354" s="3"/>
      <c r="E2354" s="3">
        <v>231.21</v>
      </c>
      <c r="F2354" s="3">
        <v>-58.41</v>
      </c>
      <c r="G2354" s="3">
        <v>-75.150000000000006</v>
      </c>
      <c r="H2354" s="3">
        <v>-0.51</v>
      </c>
      <c r="I2354" s="3">
        <v>-100.84</v>
      </c>
      <c r="J2354" s="3">
        <v>92.15</v>
      </c>
    </row>
    <row r="2355" spans="1:10" ht="14.4" x14ac:dyDescent="0.3">
      <c r="A2355" s="3"/>
      <c r="E2355" s="3">
        <v>255.13</v>
      </c>
      <c r="F2355" s="3">
        <v>24.76</v>
      </c>
      <c r="G2355" s="3">
        <v>-56.5</v>
      </c>
      <c r="H2355" s="3">
        <v>1.98</v>
      </c>
      <c r="I2355" s="3">
        <v>-77.72</v>
      </c>
      <c r="J2355" s="3">
        <v>-11.19</v>
      </c>
    </row>
    <row r="2356" spans="1:10" ht="14.4" x14ac:dyDescent="0.3">
      <c r="A2356" s="3"/>
      <c r="E2356" s="3">
        <v>97.44</v>
      </c>
      <c r="F2356" s="3">
        <v>-73.23</v>
      </c>
      <c r="G2356" s="3">
        <v>-36.69</v>
      </c>
      <c r="H2356" s="3">
        <v>0.15</v>
      </c>
      <c r="I2356" s="3">
        <v>-56.32</v>
      </c>
      <c r="J2356" s="3">
        <v>109.56</v>
      </c>
    </row>
    <row r="2357" spans="1:10" ht="14.4" x14ac:dyDescent="0.3">
      <c r="A2357" s="3"/>
      <c r="E2357" s="3">
        <v>307.68</v>
      </c>
      <c r="F2357" s="3">
        <v>13.69</v>
      </c>
      <c r="G2357" s="3">
        <v>-75.17</v>
      </c>
      <c r="H2357" s="3">
        <v>1.42</v>
      </c>
      <c r="I2357" s="3">
        <v>-100.1</v>
      </c>
      <c r="J2357" s="3">
        <v>4.1500000000000004</v>
      </c>
    </row>
    <row r="2358" spans="1:10" ht="14.4" x14ac:dyDescent="0.3">
      <c r="A2358" s="3"/>
      <c r="E2358" s="3">
        <v>149.99</v>
      </c>
      <c r="F2358" s="3">
        <v>-84.31</v>
      </c>
      <c r="G2358" s="3">
        <v>-55.36</v>
      </c>
      <c r="H2358" s="3">
        <v>-0.4</v>
      </c>
      <c r="I2358" s="3">
        <v>-78.7</v>
      </c>
      <c r="J2358" s="3">
        <v>124.9</v>
      </c>
    </row>
    <row r="2359" spans="1:10" ht="14.4" x14ac:dyDescent="0.3">
      <c r="A2359" s="3"/>
      <c r="E2359" s="3">
        <v>255.13</v>
      </c>
      <c r="F2359" s="3">
        <v>24.76</v>
      </c>
      <c r="G2359" s="3">
        <v>-56.5</v>
      </c>
      <c r="H2359" s="3">
        <v>1.98</v>
      </c>
      <c r="I2359" s="3">
        <v>-77.72</v>
      </c>
      <c r="J2359" s="3">
        <v>-11.19</v>
      </c>
    </row>
    <row r="2360" spans="1:10" ht="14.4" x14ac:dyDescent="0.3">
      <c r="A2360" s="3"/>
      <c r="E2360" s="3">
        <v>97.44</v>
      </c>
      <c r="F2360" s="3">
        <v>-73.23</v>
      </c>
      <c r="G2360" s="3">
        <v>-36.69</v>
      </c>
      <c r="H2360" s="3">
        <v>0.15</v>
      </c>
      <c r="I2360" s="3">
        <v>-56.32</v>
      </c>
      <c r="J2360" s="3">
        <v>109.56</v>
      </c>
    </row>
    <row r="2361" spans="1:10" ht="14.4" x14ac:dyDescent="0.3">
      <c r="A2361" s="3"/>
      <c r="E2361" s="3">
        <v>307.68</v>
      </c>
      <c r="F2361" s="3">
        <v>13.69</v>
      </c>
      <c r="G2361" s="3">
        <v>-75.17</v>
      </c>
      <c r="H2361" s="3">
        <v>1.42</v>
      </c>
      <c r="I2361" s="3">
        <v>-100.1</v>
      </c>
      <c r="J2361" s="3">
        <v>4.1500000000000004</v>
      </c>
    </row>
    <row r="2362" spans="1:10" ht="14.4" x14ac:dyDescent="0.3">
      <c r="A2362" s="3"/>
      <c r="E2362" s="3">
        <v>149.99</v>
      </c>
      <c r="F2362" s="3">
        <v>-84.31</v>
      </c>
      <c r="G2362" s="3">
        <v>-55.36</v>
      </c>
      <c r="H2362" s="3">
        <v>-0.4</v>
      </c>
      <c r="I2362" s="3">
        <v>-78.7</v>
      </c>
      <c r="J2362" s="3">
        <v>124.9</v>
      </c>
    </row>
    <row r="2363" spans="1:10" ht="14.4" x14ac:dyDescent="0.3">
      <c r="A2363" s="3"/>
      <c r="E2363" s="3">
        <v>348.47</v>
      </c>
      <c r="F2363" s="3">
        <v>16.89</v>
      </c>
      <c r="G2363" s="3">
        <v>-35.299999999999997</v>
      </c>
      <c r="H2363" s="3">
        <v>2.72</v>
      </c>
      <c r="I2363" s="3">
        <v>-134.33000000000001</v>
      </c>
      <c r="J2363" s="3">
        <v>139.04</v>
      </c>
    </row>
    <row r="2364" spans="1:10" ht="14.4" x14ac:dyDescent="0.3">
      <c r="A2364" s="3"/>
      <c r="E2364" s="3">
        <v>79.680000000000007</v>
      </c>
      <c r="F2364" s="3">
        <v>-34.43</v>
      </c>
      <c r="G2364" s="3">
        <v>-72.64</v>
      </c>
      <c r="H2364" s="3">
        <v>-0.09</v>
      </c>
      <c r="I2364" s="3">
        <v>-28.08</v>
      </c>
      <c r="J2364" s="3">
        <v>29.6</v>
      </c>
    </row>
    <row r="2365" spans="1:10" ht="14.4" x14ac:dyDescent="0.3">
      <c r="A2365" s="3"/>
      <c r="E2365" s="3">
        <v>325.44</v>
      </c>
      <c r="F2365" s="3">
        <v>-25.11</v>
      </c>
      <c r="G2365" s="3">
        <v>-39.21</v>
      </c>
      <c r="H2365" s="3">
        <v>1.67</v>
      </c>
      <c r="I2365" s="3">
        <v>-128.35</v>
      </c>
      <c r="J2365" s="3">
        <v>84.11</v>
      </c>
    </row>
    <row r="2366" spans="1:10" ht="14.4" x14ac:dyDescent="0.3">
      <c r="A2366" s="3"/>
      <c r="E2366" s="3">
        <v>56.64</v>
      </c>
      <c r="F2366" s="3">
        <v>-76.44</v>
      </c>
      <c r="G2366" s="3">
        <v>-76.56</v>
      </c>
      <c r="H2366" s="3">
        <v>-1.1399999999999999</v>
      </c>
      <c r="I2366" s="3">
        <v>-22.1</v>
      </c>
      <c r="J2366" s="3">
        <v>-25.33</v>
      </c>
    </row>
    <row r="2367" spans="1:10" ht="14.4" x14ac:dyDescent="0.3">
      <c r="A2367" s="3"/>
      <c r="E2367" s="3">
        <v>315.12</v>
      </c>
      <c r="F2367" s="3">
        <v>42.64</v>
      </c>
      <c r="G2367" s="3">
        <v>-52.28</v>
      </c>
      <c r="H2367" s="3">
        <v>3.06</v>
      </c>
      <c r="I2367" s="3">
        <v>-115.12</v>
      </c>
      <c r="J2367" s="3">
        <v>172.12</v>
      </c>
    </row>
    <row r="2368" spans="1:10" ht="14.4" x14ac:dyDescent="0.3">
      <c r="A2368" s="3"/>
      <c r="E2368" s="3">
        <v>142.18</v>
      </c>
      <c r="F2368" s="3">
        <v>-82.68</v>
      </c>
      <c r="G2368" s="3">
        <v>-40.81</v>
      </c>
      <c r="H2368" s="3">
        <v>-0.72</v>
      </c>
      <c r="I2368" s="3">
        <v>-64.06</v>
      </c>
      <c r="J2368" s="3">
        <v>-32.369999999999997</v>
      </c>
    </row>
    <row r="2369" spans="1:10" ht="14.4" x14ac:dyDescent="0.3">
      <c r="A2369" s="3"/>
      <c r="E2369" s="3">
        <v>262.94</v>
      </c>
      <c r="F2369" s="3">
        <v>23.14</v>
      </c>
      <c r="G2369" s="3">
        <v>-71.040000000000006</v>
      </c>
      <c r="H2369" s="3">
        <v>2.2999999999999998</v>
      </c>
      <c r="I2369" s="3">
        <v>-92.37</v>
      </c>
      <c r="J2369" s="3">
        <v>146.08000000000001</v>
      </c>
    </row>
    <row r="2370" spans="1:10" ht="14.4" x14ac:dyDescent="0.3">
      <c r="A2370" s="3"/>
      <c r="E2370" s="3">
        <v>165.77</v>
      </c>
      <c r="F2370" s="3">
        <v>35.979999999999997</v>
      </c>
      <c r="G2370" s="3">
        <v>-46.69</v>
      </c>
      <c r="H2370" s="3">
        <v>1.99</v>
      </c>
      <c r="I2370" s="3">
        <v>-60.97</v>
      </c>
      <c r="J2370" s="3">
        <v>122.29</v>
      </c>
    </row>
    <row r="2371" spans="1:10" ht="14.4" x14ac:dyDescent="0.3">
      <c r="A2371" s="3"/>
      <c r="E2371" s="3">
        <v>75.2</v>
      </c>
      <c r="F2371" s="3">
        <v>2.27</v>
      </c>
      <c r="G2371" s="3">
        <v>-3.74</v>
      </c>
      <c r="H2371" s="3">
        <v>3.05</v>
      </c>
      <c r="I2371" s="3">
        <v>-17.18</v>
      </c>
      <c r="J2371" s="3">
        <v>16.579999999999998</v>
      </c>
    </row>
    <row r="2372" spans="1:10" ht="14.4" x14ac:dyDescent="0.3">
      <c r="A2372" s="3"/>
      <c r="E2372" s="3">
        <v>462.42</v>
      </c>
      <c r="F2372" s="3">
        <v>-79.33</v>
      </c>
      <c r="G2372" s="3">
        <v>-141.32</v>
      </c>
      <c r="H2372" s="3">
        <v>-1.04</v>
      </c>
      <c r="I2372" s="3">
        <v>-182.06</v>
      </c>
      <c r="J2372" s="3">
        <v>129.57</v>
      </c>
    </row>
    <row r="2373" spans="1:10" ht="14.4" x14ac:dyDescent="0.3">
      <c r="A2373" s="3"/>
      <c r="E2373" s="3">
        <v>336.6</v>
      </c>
      <c r="F2373" s="3">
        <v>85.61</v>
      </c>
      <c r="G2373" s="3">
        <v>-67.45</v>
      </c>
      <c r="H2373" s="3">
        <v>2.69</v>
      </c>
      <c r="I2373" s="3">
        <v>-88.43</v>
      </c>
      <c r="J2373" s="3">
        <v>-88.81</v>
      </c>
    </row>
    <row r="2374" spans="1:10" ht="14.4" x14ac:dyDescent="0.3">
      <c r="A2374" s="3"/>
      <c r="E2374" s="3">
        <v>201.03</v>
      </c>
      <c r="F2374" s="3">
        <v>-162.66</v>
      </c>
      <c r="G2374" s="3">
        <v>-77.62</v>
      </c>
      <c r="H2374" s="3">
        <v>-0.69</v>
      </c>
      <c r="I2374" s="3">
        <v>-110.82</v>
      </c>
      <c r="J2374" s="3">
        <v>234.96</v>
      </c>
    </row>
    <row r="2375" spans="1:10" ht="14.4" x14ac:dyDescent="0.3">
      <c r="A2375" s="3"/>
      <c r="E2375" s="3">
        <v>75.2</v>
      </c>
      <c r="F2375" s="3">
        <v>2.27</v>
      </c>
      <c r="G2375" s="3">
        <v>-3.74</v>
      </c>
      <c r="H2375" s="3">
        <v>3.05</v>
      </c>
      <c r="I2375" s="3">
        <v>-17.18</v>
      </c>
      <c r="J2375" s="3">
        <v>16.579999999999998</v>
      </c>
    </row>
    <row r="2376" spans="1:10" ht="14.4" x14ac:dyDescent="0.3">
      <c r="A2376" s="3"/>
      <c r="E2376" s="3">
        <v>462.42</v>
      </c>
      <c r="F2376" s="3">
        <v>-79.33</v>
      </c>
      <c r="G2376" s="3">
        <v>-141.32</v>
      </c>
      <c r="H2376" s="3">
        <v>-1.04</v>
      </c>
      <c r="I2376" s="3">
        <v>-182.06</v>
      </c>
      <c r="J2376" s="3">
        <v>129.57</v>
      </c>
    </row>
    <row r="2377" spans="1:10" ht="14.4" x14ac:dyDescent="0.3">
      <c r="A2377" s="3"/>
      <c r="E2377" s="3">
        <v>336.6</v>
      </c>
      <c r="F2377" s="3">
        <v>85.61</v>
      </c>
      <c r="G2377" s="3">
        <v>-67.45</v>
      </c>
      <c r="H2377" s="3">
        <v>2.69</v>
      </c>
      <c r="I2377" s="3">
        <v>-88.43</v>
      </c>
      <c r="J2377" s="3">
        <v>-88.81</v>
      </c>
    </row>
    <row r="2378" spans="1:10" ht="14.4" x14ac:dyDescent="0.3">
      <c r="A2378" s="3"/>
      <c r="E2378" s="3">
        <v>201.03</v>
      </c>
      <c r="F2378" s="3">
        <v>-162.66</v>
      </c>
      <c r="G2378" s="3">
        <v>-77.62</v>
      </c>
      <c r="H2378" s="3">
        <v>-0.69</v>
      </c>
      <c r="I2378" s="3">
        <v>-110.82</v>
      </c>
      <c r="J2378" s="3">
        <v>234.96</v>
      </c>
    </row>
    <row r="2379" spans="1:10" ht="14.4" x14ac:dyDescent="0.3">
      <c r="A2379" s="3"/>
      <c r="E2379" s="3">
        <v>5.15</v>
      </c>
      <c r="F2379" s="3">
        <v>14.54</v>
      </c>
      <c r="G2379" s="3">
        <v>18.98</v>
      </c>
      <c r="H2379" s="3">
        <v>2.68</v>
      </c>
      <c r="I2379" s="3">
        <v>18.22</v>
      </c>
      <c r="J2379" s="3">
        <v>-7.83</v>
      </c>
    </row>
    <row r="2380" spans="1:10" ht="14.4" x14ac:dyDescent="0.3">
      <c r="A2380" s="3"/>
      <c r="E2380" s="3">
        <v>392.37</v>
      </c>
      <c r="F2380" s="3">
        <v>-67.06</v>
      </c>
      <c r="G2380" s="3">
        <v>-118.6</v>
      </c>
      <c r="H2380" s="3">
        <v>-1.4</v>
      </c>
      <c r="I2380" s="3">
        <v>-146.66999999999999</v>
      </c>
      <c r="J2380" s="3">
        <v>105.16</v>
      </c>
    </row>
    <row r="2381" spans="1:10" ht="14.4" x14ac:dyDescent="0.3">
      <c r="A2381" s="3"/>
      <c r="E2381" s="3">
        <v>266.55</v>
      </c>
      <c r="F2381" s="3">
        <v>97.87</v>
      </c>
      <c r="G2381" s="3">
        <v>-44.73</v>
      </c>
      <c r="H2381" s="3">
        <v>2.33</v>
      </c>
      <c r="I2381" s="3">
        <v>-53.03</v>
      </c>
      <c r="J2381" s="3">
        <v>-113.22</v>
      </c>
    </row>
    <row r="2382" spans="1:10" ht="14.4" x14ac:dyDescent="0.3">
      <c r="A2382" s="3"/>
      <c r="E2382" s="3">
        <v>130.97999999999999</v>
      </c>
      <c r="F2382" s="3">
        <v>-150.4</v>
      </c>
      <c r="G2382" s="3">
        <v>-54.9</v>
      </c>
      <c r="H2382" s="3">
        <v>-1.05</v>
      </c>
      <c r="I2382" s="3">
        <v>-75.42</v>
      </c>
      <c r="J2382" s="3">
        <v>210.55</v>
      </c>
    </row>
    <row r="2383" spans="1:10" ht="14.4" x14ac:dyDescent="0.3">
      <c r="A2383" s="3"/>
      <c r="E2383" s="3">
        <v>5.15</v>
      </c>
      <c r="F2383" s="3">
        <v>14.54</v>
      </c>
      <c r="G2383" s="3">
        <v>18.98</v>
      </c>
      <c r="H2383" s="3">
        <v>2.68</v>
      </c>
      <c r="I2383" s="3">
        <v>18.22</v>
      </c>
      <c r="J2383" s="3">
        <v>-7.83</v>
      </c>
    </row>
    <row r="2384" spans="1:10" ht="14.4" x14ac:dyDescent="0.3">
      <c r="A2384" s="3"/>
      <c r="E2384" s="3">
        <v>392.37</v>
      </c>
      <c r="F2384" s="3">
        <v>-67.06</v>
      </c>
      <c r="G2384" s="3">
        <v>-118.6</v>
      </c>
      <c r="H2384" s="3">
        <v>-1.4</v>
      </c>
      <c r="I2384" s="3">
        <v>-146.66999999999999</v>
      </c>
      <c r="J2384" s="3">
        <v>105.16</v>
      </c>
    </row>
    <row r="2385" spans="1:10" ht="14.4" x14ac:dyDescent="0.3">
      <c r="A2385" s="3"/>
      <c r="E2385" s="3">
        <v>266.55</v>
      </c>
      <c r="F2385" s="3">
        <v>97.87</v>
      </c>
      <c r="G2385" s="3">
        <v>-44.73</v>
      </c>
      <c r="H2385" s="3">
        <v>2.33</v>
      </c>
      <c r="I2385" s="3">
        <v>-53.03</v>
      </c>
      <c r="J2385" s="3">
        <v>-113.22</v>
      </c>
    </row>
    <row r="2386" spans="1:10" ht="14.4" x14ac:dyDescent="0.3">
      <c r="A2386" s="3"/>
      <c r="E2386" s="3">
        <v>130.97999999999999</v>
      </c>
      <c r="F2386" s="3">
        <v>-150.4</v>
      </c>
      <c r="G2386" s="3">
        <v>-54.9</v>
      </c>
      <c r="H2386" s="3">
        <v>-1.05</v>
      </c>
      <c r="I2386" s="3">
        <v>-75.42</v>
      </c>
      <c r="J2386" s="3">
        <v>210.55</v>
      </c>
    </row>
    <row r="2387" spans="1:10" ht="14.4" x14ac:dyDescent="0.3">
      <c r="E2387" s="3"/>
      <c r="F2387" s="3"/>
      <c r="G2387" s="3"/>
      <c r="H2387" s="3"/>
      <c r="I2387" s="3"/>
      <c r="J2387" s="3"/>
    </row>
    <row r="2388" spans="1:10" ht="14.4" x14ac:dyDescent="0.3">
      <c r="E2388" s="3"/>
      <c r="F2388" s="3"/>
      <c r="G2388" s="3"/>
      <c r="H2388" s="3"/>
      <c r="I2388" s="3"/>
      <c r="J2388" s="3"/>
    </row>
    <row r="2389" spans="1:10" ht="14.4" x14ac:dyDescent="0.3">
      <c r="E2389" s="3"/>
      <c r="F2389" s="3"/>
      <c r="G2389" s="3"/>
      <c r="H2389" s="3"/>
      <c r="I2389" s="3"/>
      <c r="J2389" s="3"/>
    </row>
    <row r="2390" spans="1:10" ht="14.4" x14ac:dyDescent="0.3">
      <c r="E2390" s="3"/>
      <c r="F2390" s="3"/>
      <c r="G2390" s="3"/>
      <c r="H2390" s="3"/>
      <c r="I2390" s="3"/>
      <c r="J2390" s="3"/>
    </row>
    <row r="2391" spans="1:10" ht="14.4" x14ac:dyDescent="0.3">
      <c r="E2391" s="3"/>
      <c r="F2391" s="3"/>
      <c r="G2391" s="3"/>
      <c r="H2391" s="3"/>
      <c r="I2391" s="3"/>
      <c r="J2391" s="3"/>
    </row>
    <row r="2392" spans="1:10" ht="14.4" x14ac:dyDescent="0.3">
      <c r="E2392" s="3"/>
      <c r="F2392" s="3"/>
      <c r="G2392" s="3"/>
      <c r="H2392" s="3"/>
      <c r="I2392" s="3"/>
      <c r="J2392" s="3"/>
    </row>
    <row r="2393" spans="1:10" ht="14.4" x14ac:dyDescent="0.3">
      <c r="E2393" s="3"/>
      <c r="F2393" s="3"/>
      <c r="G2393" s="3"/>
      <c r="H2393" s="3"/>
      <c r="I2393" s="3"/>
      <c r="J2393" s="3"/>
    </row>
    <row r="2394" spans="1:10" ht="14.4" x14ac:dyDescent="0.3">
      <c r="E2394" s="3"/>
      <c r="F2394" s="3"/>
      <c r="G2394" s="3"/>
      <c r="H2394" s="3"/>
      <c r="I2394" s="3"/>
      <c r="J2394" s="3"/>
    </row>
    <row r="2395" spans="1:10" ht="14.4" x14ac:dyDescent="0.3">
      <c r="E2395" s="3"/>
      <c r="F2395" s="3"/>
      <c r="G2395" s="3"/>
      <c r="H2395" s="3"/>
      <c r="I2395" s="3"/>
      <c r="J2395" s="3"/>
    </row>
    <row r="2396" spans="1:10" ht="14.4" x14ac:dyDescent="0.3">
      <c r="E2396" s="3"/>
      <c r="F2396" s="3"/>
      <c r="G2396" s="3"/>
      <c r="H2396" s="3"/>
      <c r="I2396" s="3"/>
      <c r="J2396" s="3"/>
    </row>
    <row r="2397" spans="1:10" ht="14.4" x14ac:dyDescent="0.3">
      <c r="E2397" s="3"/>
      <c r="F2397" s="3"/>
      <c r="G2397" s="3"/>
      <c r="H2397" s="3"/>
      <c r="I2397" s="3"/>
      <c r="J2397" s="3"/>
    </row>
    <row r="2398" spans="1:10" ht="14.4" x14ac:dyDescent="0.3">
      <c r="E2398" s="3"/>
      <c r="F2398" s="3"/>
      <c r="G2398" s="3"/>
      <c r="H2398" s="3"/>
      <c r="I2398" s="3"/>
      <c r="J2398" s="3"/>
    </row>
    <row r="2399" spans="1:10" ht="14.4" x14ac:dyDescent="0.3">
      <c r="E2399" s="3"/>
      <c r="F2399" s="3"/>
      <c r="G2399" s="3"/>
      <c r="H2399" s="3"/>
      <c r="I2399" s="3"/>
      <c r="J2399" s="3"/>
    </row>
    <row r="2400" spans="1:10" ht="14.4" x14ac:dyDescent="0.3">
      <c r="E2400" s="3"/>
      <c r="F2400" s="3"/>
      <c r="G2400" s="3"/>
      <c r="H2400" s="3"/>
      <c r="I2400" s="3"/>
      <c r="J2400" s="3"/>
    </row>
    <row r="2401" spans="5:10" ht="14.4" x14ac:dyDescent="0.3">
      <c r="E2401" s="3"/>
      <c r="F2401" s="3"/>
      <c r="G2401" s="3"/>
      <c r="H2401" s="3"/>
      <c r="I2401" s="3"/>
      <c r="J2401" s="3"/>
    </row>
    <row r="2402" spans="5:10" ht="14.4" x14ac:dyDescent="0.3">
      <c r="E2402" s="3"/>
      <c r="F2402" s="3"/>
      <c r="G2402" s="3"/>
      <c r="H2402" s="3"/>
      <c r="I2402" s="3"/>
      <c r="J2402" s="3"/>
    </row>
    <row r="2403" spans="5:10" ht="14.4" x14ac:dyDescent="0.3">
      <c r="E2403" s="3"/>
      <c r="F2403" s="3"/>
      <c r="G2403" s="3"/>
      <c r="H2403" s="3"/>
      <c r="I2403" s="3"/>
      <c r="J2403" s="3"/>
    </row>
    <row r="2404" spans="5:10" ht="14.4" x14ac:dyDescent="0.3">
      <c r="E2404" s="3"/>
      <c r="F2404" s="3"/>
      <c r="G2404" s="3"/>
      <c r="H2404" s="3"/>
      <c r="I2404" s="3"/>
      <c r="J2404" s="3"/>
    </row>
    <row r="2405" spans="5:10" ht="14.4" x14ac:dyDescent="0.3">
      <c r="E2405" s="3"/>
      <c r="F2405" s="3"/>
      <c r="G2405" s="3"/>
      <c r="H2405" s="3"/>
      <c r="I2405" s="3"/>
      <c r="J2405" s="3"/>
    </row>
    <row r="2406" spans="5:10" ht="14.4" x14ac:dyDescent="0.3">
      <c r="E2406" s="3"/>
      <c r="F2406" s="3"/>
      <c r="G2406" s="3"/>
      <c r="H2406" s="3"/>
      <c r="I2406" s="3"/>
      <c r="J2406" s="3"/>
    </row>
    <row r="2407" spans="5:10" ht="14.4" x14ac:dyDescent="0.3">
      <c r="E2407" s="3"/>
      <c r="F2407" s="3"/>
      <c r="G2407" s="3"/>
      <c r="H2407" s="3"/>
      <c r="I2407" s="3"/>
      <c r="J2407" s="3"/>
    </row>
    <row r="2408" spans="5:10" ht="14.4" x14ac:dyDescent="0.3">
      <c r="E2408" s="3"/>
      <c r="F2408" s="3"/>
      <c r="G2408" s="3"/>
      <c r="H2408" s="3"/>
      <c r="I2408" s="3"/>
      <c r="J2408" s="3"/>
    </row>
    <row r="2409" spans="5:10" ht="14.4" x14ac:dyDescent="0.3">
      <c r="E2409" s="3"/>
      <c r="F2409" s="3"/>
      <c r="G2409" s="3"/>
      <c r="H2409" s="3"/>
      <c r="I2409" s="3"/>
      <c r="J2409" s="3"/>
    </row>
    <row r="2410" spans="5:10" ht="14.4" x14ac:dyDescent="0.3">
      <c r="E2410" s="3"/>
      <c r="F2410" s="3"/>
      <c r="G2410" s="3"/>
      <c r="H2410" s="3"/>
      <c r="I2410" s="3"/>
      <c r="J2410" s="3"/>
    </row>
    <row r="2411" spans="5:10" ht="14.4" x14ac:dyDescent="0.3">
      <c r="E2411" s="3"/>
      <c r="F2411" s="3"/>
      <c r="G2411" s="3"/>
      <c r="H2411" s="3"/>
      <c r="I2411" s="3"/>
      <c r="J2411" s="3"/>
    </row>
    <row r="2412" spans="5:10" ht="14.4" x14ac:dyDescent="0.3">
      <c r="E2412" s="3"/>
      <c r="F2412" s="3"/>
      <c r="G2412" s="3"/>
      <c r="H2412" s="3"/>
      <c r="I2412" s="3"/>
      <c r="J2412" s="3"/>
    </row>
    <row r="2413" spans="5:10" ht="14.4" x14ac:dyDescent="0.3">
      <c r="E2413" s="3"/>
      <c r="F2413" s="3"/>
      <c r="G2413" s="3"/>
      <c r="H2413" s="3"/>
      <c r="I2413" s="3"/>
      <c r="J2413" s="3"/>
    </row>
    <row r="2414" spans="5:10" ht="14.4" x14ac:dyDescent="0.3">
      <c r="E2414" s="3"/>
      <c r="F2414" s="3"/>
      <c r="G2414" s="3"/>
      <c r="H2414" s="3"/>
      <c r="I2414" s="3"/>
      <c r="J2414" s="3"/>
    </row>
    <row r="2415" spans="5:10" ht="14.4" x14ac:dyDescent="0.3">
      <c r="E2415" s="3"/>
      <c r="F2415" s="3"/>
      <c r="G2415" s="3"/>
      <c r="H2415" s="3"/>
      <c r="I2415" s="3"/>
      <c r="J2415" s="3"/>
    </row>
    <row r="2416" spans="5:10" ht="14.4" x14ac:dyDescent="0.3">
      <c r="E2416" s="3"/>
      <c r="F2416" s="3"/>
      <c r="G2416" s="3"/>
      <c r="H2416" s="3"/>
      <c r="I2416" s="3"/>
      <c r="J2416" s="3"/>
    </row>
    <row r="2417" spans="5:10" ht="14.4" x14ac:dyDescent="0.3">
      <c r="E2417" s="3"/>
      <c r="F2417" s="3"/>
      <c r="G2417" s="3"/>
      <c r="H2417" s="3"/>
      <c r="I2417" s="3"/>
      <c r="J2417" s="3"/>
    </row>
    <row r="2418" spans="5:10" ht="14.4" x14ac:dyDescent="0.3">
      <c r="E2418" s="3"/>
      <c r="F2418" s="3"/>
      <c r="G2418" s="3"/>
      <c r="H2418" s="3"/>
      <c r="I2418" s="3"/>
      <c r="J2418" s="3"/>
    </row>
    <row r="2419" spans="5:10" ht="14.4" x14ac:dyDescent="0.3">
      <c r="E2419" s="3"/>
      <c r="F2419" s="3"/>
      <c r="G2419" s="3"/>
      <c r="H2419" s="3"/>
      <c r="I2419" s="3"/>
      <c r="J2419" s="3"/>
    </row>
    <row r="2420" spans="5:10" ht="14.4" x14ac:dyDescent="0.3">
      <c r="E2420" s="3"/>
      <c r="F2420" s="3"/>
      <c r="G2420" s="3"/>
      <c r="H2420" s="3"/>
      <c r="I2420" s="3"/>
      <c r="J2420" s="3"/>
    </row>
    <row r="2421" spans="5:10" ht="14.4" x14ac:dyDescent="0.3">
      <c r="E2421" s="3"/>
      <c r="F2421" s="3"/>
      <c r="G2421" s="3"/>
      <c r="H2421" s="3"/>
      <c r="I2421" s="3"/>
      <c r="J2421" s="3"/>
    </row>
    <row r="2422" spans="5:10" ht="14.4" x14ac:dyDescent="0.3">
      <c r="E2422" s="3"/>
      <c r="F2422" s="3"/>
      <c r="G2422" s="3"/>
      <c r="H2422" s="3"/>
      <c r="I2422" s="3"/>
      <c r="J2422" s="3"/>
    </row>
    <row r="2423" spans="5:10" ht="14.4" x14ac:dyDescent="0.3">
      <c r="E2423" s="3"/>
      <c r="F2423" s="3"/>
      <c r="G2423" s="3"/>
      <c r="H2423" s="3"/>
      <c r="I2423" s="3"/>
      <c r="J2423" s="3"/>
    </row>
    <row r="2424" spans="5:10" ht="14.4" x14ac:dyDescent="0.3">
      <c r="E2424" s="3"/>
      <c r="F2424" s="3"/>
      <c r="G2424" s="3"/>
      <c r="H2424" s="3"/>
      <c r="I2424" s="3"/>
      <c r="J2424" s="3"/>
    </row>
    <row r="2425" spans="5:10" ht="14.4" x14ac:dyDescent="0.3">
      <c r="E2425" s="3"/>
      <c r="F2425" s="3"/>
      <c r="G2425" s="3"/>
      <c r="H2425" s="3"/>
      <c r="I2425" s="3"/>
      <c r="J2425" s="3"/>
    </row>
    <row r="2426" spans="5:10" ht="14.4" x14ac:dyDescent="0.3">
      <c r="E2426" s="3"/>
      <c r="F2426" s="3"/>
      <c r="G2426" s="3"/>
      <c r="H2426" s="3"/>
      <c r="I2426" s="3"/>
      <c r="J2426" s="3"/>
    </row>
    <row r="2427" spans="5:10" ht="14.4" x14ac:dyDescent="0.3">
      <c r="E2427" s="3"/>
      <c r="F2427" s="3"/>
      <c r="G2427" s="3"/>
      <c r="H2427" s="3"/>
      <c r="I2427" s="3"/>
      <c r="J2427" s="3"/>
    </row>
    <row r="2428" spans="5:10" ht="14.4" x14ac:dyDescent="0.3">
      <c r="E2428" s="3"/>
      <c r="F2428" s="3"/>
      <c r="G2428" s="3"/>
      <c r="H2428" s="3"/>
      <c r="I2428" s="3"/>
      <c r="J2428" s="3"/>
    </row>
    <row r="2429" spans="5:10" ht="14.4" x14ac:dyDescent="0.3">
      <c r="E2429" s="3"/>
      <c r="F2429" s="3"/>
      <c r="G2429" s="3"/>
      <c r="H2429" s="3"/>
      <c r="I2429" s="3"/>
      <c r="J2429" s="3"/>
    </row>
    <row r="2430" spans="5:10" ht="14.4" x14ac:dyDescent="0.3">
      <c r="E2430" s="3"/>
      <c r="F2430" s="3"/>
      <c r="G2430" s="3"/>
      <c r="H2430" s="3"/>
      <c r="I2430" s="3"/>
      <c r="J2430" s="3"/>
    </row>
    <row r="2431" spans="5:10" ht="14.4" x14ac:dyDescent="0.3">
      <c r="E2431" s="3"/>
      <c r="F2431" s="3"/>
      <c r="G2431" s="3"/>
      <c r="H2431" s="3"/>
      <c r="I2431" s="3"/>
      <c r="J2431" s="3"/>
    </row>
    <row r="2432" spans="5:10" ht="14.4" x14ac:dyDescent="0.3">
      <c r="E2432" s="3"/>
      <c r="F2432" s="3"/>
      <c r="G2432" s="3"/>
      <c r="H2432" s="3"/>
      <c r="I2432" s="3"/>
      <c r="J2432" s="3"/>
    </row>
    <row r="2433" spans="5:10" ht="14.4" x14ac:dyDescent="0.3">
      <c r="E2433" s="3"/>
      <c r="F2433" s="3"/>
      <c r="G2433" s="3"/>
      <c r="H2433" s="3"/>
      <c r="I2433" s="3"/>
      <c r="J2433" s="3"/>
    </row>
    <row r="2434" spans="5:10" ht="14.4" x14ac:dyDescent="0.3">
      <c r="E2434" s="3"/>
      <c r="F2434" s="3"/>
      <c r="G2434" s="3"/>
      <c r="H2434" s="3"/>
      <c r="I2434" s="3"/>
      <c r="J2434" s="3"/>
    </row>
    <row r="2435" spans="5:10" ht="14.4" x14ac:dyDescent="0.3">
      <c r="E2435" s="3"/>
      <c r="F2435" s="3"/>
      <c r="G2435" s="3"/>
      <c r="H2435" s="3"/>
      <c r="I2435" s="3"/>
      <c r="J2435" s="3"/>
    </row>
    <row r="2436" spans="5:10" ht="14.4" x14ac:dyDescent="0.3">
      <c r="E2436" s="3"/>
      <c r="F2436" s="3"/>
      <c r="G2436" s="3"/>
      <c r="H2436" s="3"/>
      <c r="I2436" s="3"/>
      <c r="J2436" s="3"/>
    </row>
    <row r="2437" spans="5:10" ht="14.4" x14ac:dyDescent="0.3">
      <c r="E2437" s="3"/>
      <c r="F2437" s="3"/>
      <c r="G2437" s="3"/>
      <c r="H2437" s="3"/>
      <c r="I2437" s="3"/>
      <c r="J2437" s="3"/>
    </row>
    <row r="2438" spans="5:10" ht="14.4" x14ac:dyDescent="0.3">
      <c r="E2438" s="3"/>
      <c r="F2438" s="3"/>
      <c r="G2438" s="3"/>
      <c r="H2438" s="3"/>
      <c r="I2438" s="3"/>
      <c r="J2438" s="3"/>
    </row>
    <row r="2439" spans="5:10" ht="14.4" x14ac:dyDescent="0.3">
      <c r="E2439" s="3"/>
      <c r="F2439" s="3"/>
      <c r="G2439" s="3"/>
      <c r="H2439" s="3"/>
      <c r="I2439" s="3"/>
      <c r="J2439" s="3"/>
    </row>
    <row r="2440" spans="5:10" ht="14.4" x14ac:dyDescent="0.3">
      <c r="E2440" s="3"/>
      <c r="F2440" s="3"/>
      <c r="G2440" s="3"/>
      <c r="H2440" s="3"/>
      <c r="I2440" s="3"/>
      <c r="J2440" s="3"/>
    </row>
    <row r="2441" spans="5:10" ht="14.4" x14ac:dyDescent="0.3">
      <c r="E2441" s="3"/>
      <c r="F2441" s="3"/>
      <c r="G2441" s="3"/>
      <c r="H2441" s="3"/>
      <c r="I2441" s="3"/>
      <c r="J2441" s="3"/>
    </row>
    <row r="2442" spans="5:10" ht="14.4" x14ac:dyDescent="0.3">
      <c r="E2442" s="3"/>
      <c r="F2442" s="3"/>
      <c r="G2442" s="3"/>
      <c r="H2442" s="3"/>
      <c r="I2442" s="3"/>
      <c r="J2442" s="3"/>
    </row>
    <row r="2443" spans="5:10" ht="14.4" x14ac:dyDescent="0.3">
      <c r="E2443" s="3"/>
      <c r="F2443" s="3"/>
      <c r="G2443" s="3"/>
      <c r="H2443" s="3"/>
      <c r="I2443" s="3"/>
      <c r="J2443" s="3"/>
    </row>
    <row r="2444" spans="5:10" ht="14.4" x14ac:dyDescent="0.3">
      <c r="E2444" s="3"/>
      <c r="F2444" s="3"/>
      <c r="G2444" s="3"/>
      <c r="H2444" s="3"/>
      <c r="I2444" s="3"/>
      <c r="J2444" s="3"/>
    </row>
    <row r="2445" spans="5:10" ht="14.4" x14ac:dyDescent="0.3">
      <c r="E2445" s="3"/>
      <c r="F2445" s="3"/>
      <c r="G2445" s="3"/>
      <c r="H2445" s="3"/>
      <c r="I2445" s="3"/>
      <c r="J2445" s="3"/>
    </row>
    <row r="2446" spans="5:10" ht="14.4" x14ac:dyDescent="0.3">
      <c r="E2446" s="3"/>
      <c r="F2446" s="3"/>
      <c r="G2446" s="3"/>
      <c r="H2446" s="3"/>
      <c r="I2446" s="3"/>
      <c r="J2446" s="3"/>
    </row>
    <row r="2447" spans="5:10" ht="14.4" x14ac:dyDescent="0.3">
      <c r="E2447" s="3"/>
      <c r="F2447" s="3"/>
      <c r="G2447" s="3"/>
      <c r="H2447" s="3"/>
      <c r="I2447" s="3"/>
      <c r="J2447" s="3"/>
    </row>
    <row r="2448" spans="5:10" ht="14.4" x14ac:dyDescent="0.3">
      <c r="E2448" s="3"/>
      <c r="F2448" s="3"/>
      <c r="G2448" s="3"/>
      <c r="H2448" s="3"/>
      <c r="I2448" s="3"/>
      <c r="J2448" s="3"/>
    </row>
    <row r="2449" spans="5:10" ht="14.4" x14ac:dyDescent="0.3">
      <c r="E2449" s="3"/>
      <c r="F2449" s="3"/>
      <c r="G2449" s="3"/>
      <c r="H2449" s="3"/>
      <c r="I2449" s="3"/>
      <c r="J2449" s="3"/>
    </row>
    <row r="2450" spans="5:10" ht="14.4" x14ac:dyDescent="0.3">
      <c r="E2450" s="3"/>
      <c r="F2450" s="3"/>
      <c r="G2450" s="3"/>
      <c r="H2450" s="3"/>
      <c r="I2450" s="3"/>
      <c r="J2450" s="3"/>
    </row>
    <row r="2451" spans="5:10" ht="14.4" x14ac:dyDescent="0.3">
      <c r="E2451" s="3"/>
      <c r="F2451" s="3"/>
      <c r="G2451" s="3"/>
      <c r="H2451" s="3"/>
      <c r="I2451" s="3"/>
      <c r="J2451" s="3"/>
    </row>
    <row r="2452" spans="5:10" ht="14.4" x14ac:dyDescent="0.3">
      <c r="E2452" s="3"/>
      <c r="F2452" s="3"/>
      <c r="G2452" s="3"/>
      <c r="H2452" s="3"/>
      <c r="I2452" s="3"/>
      <c r="J2452" s="3"/>
    </row>
    <row r="2453" spans="5:10" ht="14.4" x14ac:dyDescent="0.3">
      <c r="E2453" s="3"/>
      <c r="F2453" s="3"/>
      <c r="G2453" s="3"/>
      <c r="H2453" s="3"/>
      <c r="I2453" s="3"/>
      <c r="J2453" s="3"/>
    </row>
    <row r="2454" spans="5:10" ht="14.4" x14ac:dyDescent="0.3">
      <c r="E2454" s="3"/>
      <c r="F2454" s="3"/>
      <c r="G2454" s="3"/>
      <c r="H2454" s="3"/>
      <c r="I2454" s="3"/>
      <c r="J2454" s="3"/>
    </row>
    <row r="2455" spans="5:10" ht="14.4" x14ac:dyDescent="0.3">
      <c r="E2455" s="3"/>
      <c r="F2455" s="3"/>
      <c r="G2455" s="3"/>
      <c r="H2455" s="3"/>
      <c r="I2455" s="3"/>
      <c r="J2455" s="3"/>
    </row>
    <row r="2456" spans="5:10" ht="14.4" x14ac:dyDescent="0.3">
      <c r="E2456" s="3"/>
      <c r="F2456" s="3"/>
      <c r="G2456" s="3"/>
      <c r="H2456" s="3"/>
      <c r="I2456" s="3"/>
      <c r="J2456" s="3"/>
    </row>
    <row r="2457" spans="5:10" ht="14.4" x14ac:dyDescent="0.3">
      <c r="E2457" s="3"/>
      <c r="F2457" s="3"/>
      <c r="G2457" s="3"/>
      <c r="H2457" s="3"/>
      <c r="I2457" s="3"/>
      <c r="J2457" s="3"/>
    </row>
    <row r="2458" spans="5:10" ht="14.4" x14ac:dyDescent="0.3">
      <c r="E2458" s="3"/>
      <c r="F2458" s="3"/>
      <c r="G2458" s="3"/>
      <c r="H2458" s="3"/>
      <c r="I2458" s="3"/>
      <c r="J2458" s="3"/>
    </row>
    <row r="2459" spans="5:10" ht="14.4" x14ac:dyDescent="0.3">
      <c r="E2459" s="3"/>
      <c r="F2459" s="3"/>
      <c r="G2459" s="3"/>
      <c r="H2459" s="3"/>
      <c r="I2459" s="3"/>
      <c r="J2459" s="3"/>
    </row>
    <row r="2460" spans="5:10" ht="14.4" x14ac:dyDescent="0.3">
      <c r="E2460" s="3"/>
      <c r="F2460" s="3"/>
      <c r="G2460" s="3"/>
      <c r="H2460" s="3"/>
      <c r="I2460" s="3"/>
      <c r="J2460" s="3"/>
    </row>
    <row r="2461" spans="5:10" ht="14.4" x14ac:dyDescent="0.3">
      <c r="E2461" s="3"/>
      <c r="F2461" s="3"/>
      <c r="G2461" s="3"/>
      <c r="H2461" s="3"/>
      <c r="I2461" s="3"/>
      <c r="J2461" s="3"/>
    </row>
    <row r="2462" spans="5:10" ht="14.4" x14ac:dyDescent="0.3">
      <c r="E2462" s="3"/>
      <c r="F2462" s="3"/>
      <c r="G2462" s="3"/>
      <c r="H2462" s="3"/>
      <c r="I2462" s="3"/>
      <c r="J2462" s="3"/>
    </row>
    <row r="2463" spans="5:10" ht="14.4" x14ac:dyDescent="0.3">
      <c r="E2463" s="3"/>
      <c r="F2463" s="3"/>
      <c r="G2463" s="3"/>
      <c r="H2463" s="3"/>
      <c r="I2463" s="3"/>
      <c r="J2463" s="3"/>
    </row>
    <row r="2464" spans="5:10" ht="14.4" x14ac:dyDescent="0.3">
      <c r="E2464" s="3"/>
      <c r="F2464" s="3"/>
      <c r="G2464" s="3"/>
      <c r="H2464" s="3"/>
      <c r="I2464" s="3"/>
      <c r="J2464" s="3"/>
    </row>
    <row r="2465" spans="5:10" ht="14.4" x14ac:dyDescent="0.3">
      <c r="E2465" s="3"/>
      <c r="F2465" s="3"/>
      <c r="G2465" s="3"/>
      <c r="H2465" s="3"/>
      <c r="I2465" s="3"/>
      <c r="J2465" s="3"/>
    </row>
    <row r="2466" spans="5:10" ht="14.4" x14ac:dyDescent="0.3">
      <c r="E2466" s="3"/>
      <c r="F2466" s="3"/>
      <c r="G2466" s="3"/>
      <c r="H2466" s="3"/>
      <c r="I2466" s="3"/>
      <c r="J2466" s="3"/>
    </row>
    <row r="2467" spans="5:10" ht="14.4" x14ac:dyDescent="0.3">
      <c r="E2467" s="3"/>
      <c r="F2467" s="3"/>
      <c r="G2467" s="3"/>
      <c r="H2467" s="3"/>
      <c r="I2467" s="3"/>
      <c r="J2467" s="3"/>
    </row>
    <row r="2468" spans="5:10" ht="14.4" x14ac:dyDescent="0.3">
      <c r="E2468" s="3"/>
      <c r="F2468" s="3"/>
      <c r="G2468" s="3"/>
      <c r="H2468" s="3"/>
      <c r="I2468" s="3"/>
      <c r="J2468" s="3"/>
    </row>
    <row r="2469" spans="5:10" ht="14.4" x14ac:dyDescent="0.3">
      <c r="E2469" s="3"/>
      <c r="F2469" s="3"/>
      <c r="G2469" s="3"/>
      <c r="H2469" s="3"/>
      <c r="I2469" s="3"/>
      <c r="J2469" s="3"/>
    </row>
    <row r="2470" spans="5:10" ht="14.4" x14ac:dyDescent="0.3">
      <c r="E2470" s="3"/>
      <c r="F2470" s="3"/>
      <c r="G2470" s="3"/>
      <c r="H2470" s="3"/>
      <c r="I2470" s="3"/>
      <c r="J2470" s="3"/>
    </row>
    <row r="2471" spans="5:10" ht="14.4" x14ac:dyDescent="0.3">
      <c r="E2471" s="3"/>
      <c r="F2471" s="3"/>
      <c r="G2471" s="3"/>
      <c r="H2471" s="3"/>
      <c r="I2471" s="3"/>
      <c r="J2471" s="3"/>
    </row>
    <row r="2472" spans="5:10" ht="14.4" x14ac:dyDescent="0.3">
      <c r="E2472" s="3"/>
      <c r="F2472" s="3"/>
      <c r="G2472" s="3"/>
      <c r="H2472" s="3"/>
      <c r="I2472" s="3"/>
      <c r="J2472" s="3"/>
    </row>
    <row r="2473" spans="5:10" ht="14.4" x14ac:dyDescent="0.3">
      <c r="E2473" s="3"/>
      <c r="F2473" s="3"/>
      <c r="G2473" s="3"/>
      <c r="H2473" s="3"/>
      <c r="I2473" s="3"/>
      <c r="J2473" s="3"/>
    </row>
    <row r="2474" spans="5:10" ht="14.4" x14ac:dyDescent="0.3">
      <c r="E2474" s="3"/>
      <c r="F2474" s="3"/>
      <c r="G2474" s="3"/>
      <c r="H2474" s="3"/>
      <c r="I2474" s="3"/>
      <c r="J2474" s="3"/>
    </row>
    <row r="2475" spans="5:10" ht="14.4" x14ac:dyDescent="0.3">
      <c r="E2475" s="3"/>
      <c r="F2475" s="3"/>
      <c r="G2475" s="3"/>
      <c r="H2475" s="3"/>
      <c r="I2475" s="3"/>
      <c r="J2475" s="3"/>
    </row>
    <row r="2476" spans="5:10" ht="14.4" x14ac:dyDescent="0.3">
      <c r="E2476" s="3"/>
      <c r="F2476" s="3"/>
      <c r="G2476" s="3"/>
      <c r="H2476" s="3"/>
      <c r="I2476" s="3"/>
      <c r="J2476" s="3"/>
    </row>
    <row r="2477" spans="5:10" ht="14.4" x14ac:dyDescent="0.3">
      <c r="E2477" s="3"/>
      <c r="F2477" s="3"/>
      <c r="G2477" s="3"/>
      <c r="H2477" s="3"/>
      <c r="I2477" s="3"/>
      <c r="J2477" s="3"/>
    </row>
    <row r="2478" spans="5:10" ht="14.4" x14ac:dyDescent="0.3">
      <c r="E2478" s="3"/>
      <c r="F2478" s="3"/>
      <c r="G2478" s="3"/>
      <c r="H2478" s="3"/>
      <c r="I2478" s="3"/>
      <c r="J2478" s="3"/>
    </row>
    <row r="2479" spans="5:10" ht="14.4" x14ac:dyDescent="0.3">
      <c r="E2479" s="3"/>
      <c r="F2479" s="3"/>
      <c r="G2479" s="3"/>
      <c r="H2479" s="3"/>
      <c r="I2479" s="3"/>
      <c r="J2479" s="3"/>
    </row>
    <row r="2480" spans="5:10" ht="14.4" x14ac:dyDescent="0.3">
      <c r="E2480" s="3"/>
      <c r="F2480" s="3"/>
      <c r="G2480" s="3"/>
      <c r="H2480" s="3"/>
      <c r="I2480" s="3"/>
      <c r="J2480" s="3"/>
    </row>
    <row r="2481" spans="5:10" ht="14.4" x14ac:dyDescent="0.3">
      <c r="E2481" s="3"/>
      <c r="F2481" s="3"/>
      <c r="G2481" s="3"/>
      <c r="H2481" s="3"/>
      <c r="I2481" s="3"/>
      <c r="J2481" s="3"/>
    </row>
    <row r="2482" spans="5:10" ht="14.4" x14ac:dyDescent="0.3">
      <c r="E2482" s="3"/>
      <c r="F2482" s="3"/>
      <c r="G2482" s="3"/>
      <c r="H2482" s="3"/>
      <c r="I2482" s="3"/>
      <c r="J2482" s="3"/>
    </row>
    <row r="2483" spans="5:10" ht="14.4" x14ac:dyDescent="0.3">
      <c r="E2483" s="3"/>
      <c r="F2483" s="3"/>
      <c r="G2483" s="3"/>
      <c r="H2483" s="3"/>
      <c r="I2483" s="3"/>
      <c r="J2483" s="3"/>
    </row>
    <row r="2484" spans="5:10" ht="14.4" x14ac:dyDescent="0.3">
      <c r="E2484" s="3"/>
      <c r="F2484" s="3"/>
      <c r="G2484" s="3"/>
      <c r="H2484" s="3"/>
      <c r="I2484" s="3"/>
      <c r="J2484" s="3"/>
    </row>
    <row r="2485" spans="5:10" ht="14.4" x14ac:dyDescent="0.3">
      <c r="E2485" s="3"/>
      <c r="F2485" s="3"/>
      <c r="G2485" s="3"/>
      <c r="H2485" s="3"/>
      <c r="I2485" s="3"/>
      <c r="J2485" s="3"/>
    </row>
    <row r="2486" spans="5:10" ht="14.4" x14ac:dyDescent="0.3">
      <c r="E2486" s="3"/>
      <c r="F2486" s="3"/>
      <c r="G2486" s="3"/>
      <c r="H2486" s="3"/>
      <c r="I2486" s="3"/>
      <c r="J2486" s="3"/>
    </row>
    <row r="2487" spans="5:10" ht="14.4" x14ac:dyDescent="0.3">
      <c r="E2487" s="3"/>
      <c r="F2487" s="3"/>
      <c r="G2487" s="3"/>
      <c r="H2487" s="3"/>
      <c r="I2487" s="3"/>
      <c r="J2487" s="3"/>
    </row>
    <row r="2488" spans="5:10" ht="14.4" x14ac:dyDescent="0.3">
      <c r="E2488" s="3"/>
      <c r="F2488" s="3"/>
      <c r="G2488" s="3"/>
      <c r="H2488" s="3"/>
      <c r="I2488" s="3"/>
      <c r="J2488" s="3"/>
    </row>
    <row r="2489" spans="5:10" ht="14.4" x14ac:dyDescent="0.3">
      <c r="E2489" s="3"/>
      <c r="F2489" s="3"/>
      <c r="G2489" s="3"/>
      <c r="H2489" s="3"/>
      <c r="I2489" s="3"/>
      <c r="J2489" s="3"/>
    </row>
    <row r="2490" spans="5:10" ht="14.4" x14ac:dyDescent="0.3">
      <c r="E2490" s="3"/>
      <c r="F2490" s="3"/>
      <c r="G2490" s="3"/>
      <c r="H2490" s="3"/>
      <c r="I2490" s="3"/>
      <c r="J2490" s="3"/>
    </row>
    <row r="2491" spans="5:10" ht="14.4" x14ac:dyDescent="0.3">
      <c r="E2491" s="3"/>
      <c r="F2491" s="3"/>
      <c r="G2491" s="3"/>
      <c r="H2491" s="3"/>
      <c r="I2491" s="3"/>
      <c r="J2491" s="3"/>
    </row>
    <row r="2492" spans="5:10" ht="14.4" x14ac:dyDescent="0.3">
      <c r="E2492" s="3"/>
      <c r="F2492" s="3"/>
      <c r="G2492" s="3"/>
      <c r="H2492" s="3"/>
      <c r="I2492" s="3"/>
      <c r="J2492" s="3"/>
    </row>
    <row r="2493" spans="5:10" ht="14.4" x14ac:dyDescent="0.3">
      <c r="E2493" s="3"/>
      <c r="F2493" s="3"/>
      <c r="G2493" s="3"/>
      <c r="H2493" s="3"/>
      <c r="I2493" s="3"/>
      <c r="J2493" s="3"/>
    </row>
    <row r="2494" spans="5:10" ht="14.4" x14ac:dyDescent="0.3">
      <c r="E2494" s="3"/>
      <c r="F2494" s="3"/>
      <c r="G2494" s="3"/>
      <c r="H2494" s="3"/>
      <c r="I2494" s="3"/>
      <c r="J2494" s="3"/>
    </row>
    <row r="2495" spans="5:10" ht="14.4" x14ac:dyDescent="0.3">
      <c r="E2495" s="3"/>
      <c r="F2495" s="3"/>
      <c r="G2495" s="3"/>
      <c r="H2495" s="3"/>
      <c r="I2495" s="3"/>
      <c r="J2495" s="3"/>
    </row>
    <row r="2496" spans="5:10" ht="14.4" x14ac:dyDescent="0.3">
      <c r="E2496" s="3"/>
      <c r="F2496" s="3"/>
      <c r="G2496" s="3"/>
      <c r="H2496" s="3"/>
      <c r="I2496" s="3"/>
      <c r="J2496" s="3"/>
    </row>
    <row r="2497" spans="5:10" ht="14.4" x14ac:dyDescent="0.3">
      <c r="E2497" s="3"/>
      <c r="F2497" s="3"/>
      <c r="G2497" s="3"/>
      <c r="H2497" s="3"/>
      <c r="I2497" s="3"/>
      <c r="J2497" s="3"/>
    </row>
    <row r="2498" spans="5:10" ht="14.4" x14ac:dyDescent="0.3">
      <c r="E2498" s="3"/>
      <c r="F2498" s="3"/>
      <c r="G2498" s="3"/>
      <c r="H2498" s="3"/>
      <c r="I2498" s="3"/>
      <c r="J2498" s="3"/>
    </row>
    <row r="2499" spans="5:10" ht="14.4" x14ac:dyDescent="0.3">
      <c r="E2499" s="3"/>
      <c r="F2499" s="3"/>
      <c r="G2499" s="3"/>
      <c r="H2499" s="3"/>
      <c r="I2499" s="3"/>
      <c r="J2499" s="3"/>
    </row>
    <row r="2500" spans="5:10" ht="14.4" x14ac:dyDescent="0.3">
      <c r="E2500" s="3"/>
      <c r="F2500" s="3"/>
      <c r="G2500" s="3"/>
      <c r="H2500" s="3"/>
      <c r="I2500" s="3"/>
      <c r="J2500" s="3"/>
    </row>
    <row r="2501" spans="5:10" ht="14.4" x14ac:dyDescent="0.3">
      <c r="E2501" s="3"/>
      <c r="F2501" s="3"/>
      <c r="G2501" s="3"/>
      <c r="H2501" s="3"/>
      <c r="I2501" s="3"/>
      <c r="J2501" s="3"/>
    </row>
    <row r="2502" spans="5:10" ht="14.4" x14ac:dyDescent="0.3">
      <c r="E2502" s="3"/>
      <c r="F2502" s="3"/>
      <c r="G2502" s="3"/>
      <c r="H2502" s="3"/>
      <c r="I2502" s="3"/>
      <c r="J2502" s="3"/>
    </row>
    <row r="2503" spans="5:10" ht="14.4" x14ac:dyDescent="0.3">
      <c r="E2503" s="3"/>
      <c r="F2503" s="3"/>
      <c r="G2503" s="3"/>
      <c r="H2503" s="3"/>
      <c r="I2503" s="3"/>
      <c r="J2503" s="3"/>
    </row>
    <row r="2504" spans="5:10" ht="14.4" x14ac:dyDescent="0.3">
      <c r="E2504" s="3"/>
      <c r="F2504" s="3"/>
      <c r="G2504" s="3"/>
      <c r="H2504" s="3"/>
      <c r="I2504" s="3"/>
      <c r="J2504" s="3"/>
    </row>
    <row r="2505" spans="5:10" ht="14.4" x14ac:dyDescent="0.3">
      <c r="E2505" s="3"/>
      <c r="F2505" s="3"/>
      <c r="G2505" s="3"/>
      <c r="H2505" s="3"/>
      <c r="I2505" s="3"/>
      <c r="J2505" s="3"/>
    </row>
    <row r="2506" spans="5:10" ht="14.4" x14ac:dyDescent="0.3">
      <c r="E2506" s="3"/>
      <c r="F2506" s="3"/>
      <c r="G2506" s="3"/>
      <c r="H2506" s="3"/>
      <c r="I2506" s="3"/>
      <c r="J2506" s="3"/>
    </row>
    <row r="2507" spans="5:10" ht="14.4" x14ac:dyDescent="0.3">
      <c r="E2507" s="3"/>
      <c r="F2507" s="3"/>
      <c r="G2507" s="3"/>
      <c r="H2507" s="3"/>
      <c r="I2507" s="3"/>
      <c r="J2507" s="3"/>
    </row>
    <row r="2508" spans="5:10" ht="14.4" x14ac:dyDescent="0.3">
      <c r="E2508" s="3"/>
      <c r="F2508" s="3"/>
      <c r="G2508" s="3"/>
      <c r="H2508" s="3"/>
      <c r="I2508" s="3"/>
      <c r="J2508" s="3"/>
    </row>
    <row r="2509" spans="5:10" ht="14.4" x14ac:dyDescent="0.3">
      <c r="E2509" s="3"/>
      <c r="F2509" s="3"/>
      <c r="G2509" s="3"/>
      <c r="H2509" s="3"/>
      <c r="I2509" s="3"/>
      <c r="J2509" s="3"/>
    </row>
    <row r="2510" spans="5:10" ht="14.4" x14ac:dyDescent="0.3">
      <c r="E2510" s="3"/>
      <c r="F2510" s="3"/>
      <c r="G2510" s="3"/>
      <c r="H2510" s="3"/>
      <c r="I2510" s="3"/>
      <c r="J2510" s="3"/>
    </row>
    <row r="2511" spans="5:10" ht="14.4" x14ac:dyDescent="0.3">
      <c r="E2511" s="3"/>
      <c r="F2511" s="3"/>
      <c r="G2511" s="3"/>
      <c r="H2511" s="3"/>
      <c r="I2511" s="3"/>
      <c r="J2511" s="3"/>
    </row>
    <row r="2512" spans="5:10" ht="14.4" x14ac:dyDescent="0.3">
      <c r="E2512" s="3"/>
      <c r="F2512" s="3"/>
      <c r="G2512" s="3"/>
      <c r="H2512" s="3"/>
      <c r="I2512" s="3"/>
      <c r="J2512" s="3"/>
    </row>
    <row r="2513" spans="5:10" ht="14.4" x14ac:dyDescent="0.3">
      <c r="E2513" s="3"/>
      <c r="F2513" s="3"/>
      <c r="G2513" s="3"/>
      <c r="H2513" s="3"/>
      <c r="I2513" s="3"/>
      <c r="J2513" s="3"/>
    </row>
    <row r="2514" spans="5:10" ht="14.4" x14ac:dyDescent="0.3">
      <c r="E2514" s="3"/>
      <c r="F2514" s="3"/>
      <c r="G2514" s="3"/>
      <c r="H2514" s="3"/>
      <c r="I2514" s="3"/>
      <c r="J2514" s="3"/>
    </row>
    <row r="2515" spans="5:10" ht="14.4" x14ac:dyDescent="0.3">
      <c r="E2515" s="3"/>
      <c r="F2515" s="3"/>
      <c r="G2515" s="3"/>
      <c r="H2515" s="3"/>
      <c r="I2515" s="3"/>
      <c r="J2515" s="3"/>
    </row>
    <row r="2516" spans="5:10" ht="14.4" x14ac:dyDescent="0.3">
      <c r="E2516" s="3"/>
      <c r="F2516" s="3"/>
      <c r="G2516" s="3"/>
      <c r="H2516" s="3"/>
      <c r="I2516" s="3"/>
      <c r="J2516" s="3"/>
    </row>
    <row r="2517" spans="5:10" ht="14.4" x14ac:dyDescent="0.3">
      <c r="E2517" s="3"/>
      <c r="F2517" s="3"/>
      <c r="G2517" s="3"/>
      <c r="H2517" s="3"/>
      <c r="I2517" s="3"/>
      <c r="J2517" s="3"/>
    </row>
    <row r="2518" spans="5:10" ht="14.4" x14ac:dyDescent="0.3">
      <c r="E2518" s="3"/>
      <c r="F2518" s="3"/>
      <c r="G2518" s="3"/>
      <c r="H2518" s="3"/>
      <c r="I2518" s="3"/>
      <c r="J2518" s="3"/>
    </row>
    <row r="2519" spans="5:10" ht="14.4" x14ac:dyDescent="0.3">
      <c r="E2519" s="3"/>
      <c r="F2519" s="3"/>
      <c r="G2519" s="3"/>
      <c r="H2519" s="3"/>
      <c r="I2519" s="3"/>
      <c r="J2519" s="3"/>
    </row>
    <row r="2520" spans="5:10" ht="14.4" x14ac:dyDescent="0.3">
      <c r="E2520" s="3"/>
      <c r="F2520" s="3"/>
      <c r="G2520" s="3"/>
      <c r="H2520" s="3"/>
      <c r="I2520" s="3"/>
      <c r="J2520" s="3"/>
    </row>
    <row r="2521" spans="5:10" ht="14.4" x14ac:dyDescent="0.3">
      <c r="E2521" s="3"/>
      <c r="F2521" s="3"/>
      <c r="G2521" s="3"/>
      <c r="H2521" s="3"/>
      <c r="I2521" s="3"/>
      <c r="J2521" s="3"/>
    </row>
    <row r="2522" spans="5:10" ht="14.4" x14ac:dyDescent="0.3">
      <c r="E2522" s="3"/>
      <c r="F2522" s="3"/>
      <c r="G2522" s="3"/>
      <c r="H2522" s="3"/>
      <c r="I2522" s="3"/>
      <c r="J2522" s="3"/>
    </row>
    <row r="2523" spans="5:10" ht="14.4" x14ac:dyDescent="0.3">
      <c r="E2523" s="3"/>
      <c r="F2523" s="3"/>
      <c r="G2523" s="3"/>
      <c r="H2523" s="3"/>
      <c r="I2523" s="3"/>
      <c r="J2523" s="3"/>
    </row>
    <row r="2524" spans="5:10" ht="14.4" x14ac:dyDescent="0.3">
      <c r="E2524" s="3"/>
      <c r="F2524" s="3"/>
      <c r="G2524" s="3"/>
      <c r="H2524" s="3"/>
      <c r="I2524" s="3"/>
      <c r="J2524" s="3"/>
    </row>
    <row r="2525" spans="5:10" ht="14.4" x14ac:dyDescent="0.3">
      <c r="E2525" s="3"/>
      <c r="F2525" s="3"/>
      <c r="G2525" s="3"/>
      <c r="H2525" s="3"/>
      <c r="I2525" s="3"/>
      <c r="J2525" s="3"/>
    </row>
    <row r="2526" spans="5:10" ht="14.4" x14ac:dyDescent="0.3">
      <c r="E2526" s="3"/>
      <c r="F2526" s="3"/>
      <c r="G2526" s="3"/>
      <c r="H2526" s="3"/>
      <c r="I2526" s="3"/>
      <c r="J2526" s="3"/>
    </row>
    <row r="2527" spans="5:10" ht="14.4" x14ac:dyDescent="0.3">
      <c r="E2527" s="3"/>
      <c r="F2527" s="3"/>
      <c r="G2527" s="3"/>
      <c r="H2527" s="3"/>
      <c r="I2527" s="3"/>
      <c r="J2527" s="3"/>
    </row>
    <row r="2528" spans="5:10" ht="14.4" x14ac:dyDescent="0.3">
      <c r="E2528" s="3"/>
      <c r="F2528" s="3"/>
      <c r="G2528" s="3"/>
      <c r="H2528" s="3"/>
      <c r="I2528" s="3"/>
      <c r="J2528" s="3"/>
    </row>
    <row r="2529" spans="5:10" ht="14.4" x14ac:dyDescent="0.3">
      <c r="E2529" s="3"/>
      <c r="F2529" s="3"/>
      <c r="G2529" s="3"/>
      <c r="H2529" s="3"/>
      <c r="I2529" s="3"/>
      <c r="J2529" s="3"/>
    </row>
    <row r="2530" spans="5:10" ht="14.4" x14ac:dyDescent="0.3">
      <c r="E2530" s="3"/>
      <c r="F2530" s="3"/>
      <c r="G2530" s="3"/>
      <c r="H2530" s="3"/>
      <c r="I2530" s="3"/>
      <c r="J2530" s="3"/>
    </row>
    <row r="2531" spans="5:10" ht="14.4" x14ac:dyDescent="0.3">
      <c r="E2531" s="3"/>
      <c r="F2531" s="3"/>
      <c r="G2531" s="3"/>
      <c r="H2531" s="3"/>
      <c r="I2531" s="3"/>
      <c r="J2531" s="3"/>
    </row>
    <row r="2532" spans="5:10" ht="14.4" x14ac:dyDescent="0.3">
      <c r="E2532" s="3"/>
      <c r="F2532" s="3"/>
      <c r="G2532" s="3"/>
      <c r="H2532" s="3"/>
      <c r="I2532" s="3"/>
      <c r="J2532" s="3"/>
    </row>
    <row r="2533" spans="5:10" ht="14.4" x14ac:dyDescent="0.3">
      <c r="E2533" s="3"/>
      <c r="F2533" s="3"/>
      <c r="G2533" s="3"/>
      <c r="H2533" s="3"/>
      <c r="I2533" s="3"/>
      <c r="J2533" s="3"/>
    </row>
    <row r="2534" spans="5:10" ht="14.4" x14ac:dyDescent="0.3">
      <c r="E2534" s="3"/>
      <c r="F2534" s="3"/>
      <c r="G2534" s="3"/>
      <c r="H2534" s="3"/>
      <c r="I2534" s="3"/>
      <c r="J2534" s="3"/>
    </row>
    <row r="2535" spans="5:10" ht="14.4" x14ac:dyDescent="0.3">
      <c r="E2535" s="3"/>
      <c r="F2535" s="3"/>
      <c r="G2535" s="3"/>
      <c r="H2535" s="3"/>
      <c r="I2535" s="3"/>
      <c r="J2535" s="3"/>
    </row>
    <row r="2536" spans="5:10" ht="14.4" x14ac:dyDescent="0.3">
      <c r="E2536" s="3"/>
      <c r="F2536" s="3"/>
      <c r="G2536" s="3"/>
      <c r="H2536" s="3"/>
      <c r="I2536" s="3"/>
      <c r="J2536" s="3"/>
    </row>
    <row r="2537" spans="5:10" ht="14.4" x14ac:dyDescent="0.3">
      <c r="E2537" s="3"/>
      <c r="F2537" s="3"/>
      <c r="G2537" s="3"/>
      <c r="H2537" s="3"/>
      <c r="I2537" s="3"/>
      <c r="J2537" s="3"/>
    </row>
    <row r="2538" spans="5:10" ht="14.4" x14ac:dyDescent="0.3">
      <c r="E2538" s="3"/>
      <c r="F2538" s="3"/>
      <c r="G2538" s="3"/>
      <c r="H2538" s="3"/>
      <c r="I2538" s="3"/>
      <c r="J2538" s="3"/>
    </row>
    <row r="2539" spans="5:10" ht="14.4" x14ac:dyDescent="0.3">
      <c r="E2539" s="3"/>
      <c r="F2539" s="3"/>
      <c r="G2539" s="3"/>
      <c r="H2539" s="3"/>
      <c r="I2539" s="3"/>
      <c r="J2539" s="3"/>
    </row>
    <row r="2540" spans="5:10" ht="14.4" x14ac:dyDescent="0.3">
      <c r="E2540" s="3"/>
      <c r="F2540" s="3"/>
      <c r="G2540" s="3"/>
      <c r="H2540" s="3"/>
      <c r="I2540" s="3"/>
      <c r="J2540" s="3"/>
    </row>
    <row r="2541" spans="5:10" ht="14.4" x14ac:dyDescent="0.3">
      <c r="E2541" s="3"/>
      <c r="F2541" s="3"/>
      <c r="G2541" s="3"/>
      <c r="H2541" s="3"/>
      <c r="I2541" s="3"/>
      <c r="J2541" s="3"/>
    </row>
    <row r="2542" spans="5:10" ht="14.4" x14ac:dyDescent="0.3">
      <c r="E2542" s="3"/>
      <c r="F2542" s="3"/>
      <c r="G2542" s="3"/>
      <c r="H2542" s="3"/>
      <c r="I2542" s="3"/>
      <c r="J2542" s="3"/>
    </row>
    <row r="2543" spans="5:10" ht="14.4" x14ac:dyDescent="0.3">
      <c r="E2543" s="3"/>
      <c r="F2543" s="3"/>
      <c r="G2543" s="3"/>
      <c r="H2543" s="3"/>
      <c r="I2543" s="3"/>
      <c r="J2543" s="3"/>
    </row>
    <row r="2544" spans="5:10" ht="14.4" x14ac:dyDescent="0.3">
      <c r="E2544" s="3"/>
      <c r="F2544" s="3"/>
      <c r="G2544" s="3"/>
      <c r="H2544" s="3"/>
      <c r="I2544" s="3"/>
      <c r="J2544" s="3"/>
    </row>
    <row r="2545" spans="5:10" ht="14.4" x14ac:dyDescent="0.3">
      <c r="E2545" s="3"/>
      <c r="F2545" s="3"/>
      <c r="G2545" s="3"/>
      <c r="H2545" s="3"/>
      <c r="I2545" s="3"/>
      <c r="J2545" s="3"/>
    </row>
    <row r="2546" spans="5:10" ht="14.4" x14ac:dyDescent="0.3">
      <c r="E2546" s="3"/>
      <c r="F2546" s="3"/>
      <c r="G2546" s="3"/>
      <c r="H2546" s="3"/>
      <c r="I2546" s="3"/>
      <c r="J2546" s="3"/>
    </row>
    <row r="2547" spans="5:10" ht="14.4" x14ac:dyDescent="0.3">
      <c r="E2547" s="3"/>
      <c r="F2547" s="3"/>
      <c r="G2547" s="3"/>
      <c r="H2547" s="3"/>
      <c r="I2547" s="3"/>
      <c r="J2547" s="3"/>
    </row>
    <row r="2548" spans="5:10" ht="14.4" x14ac:dyDescent="0.3">
      <c r="E2548" s="3"/>
      <c r="F2548" s="3"/>
      <c r="G2548" s="3"/>
      <c r="H2548" s="3"/>
      <c r="I2548" s="3"/>
      <c r="J2548" s="3"/>
    </row>
    <row r="2549" spans="5:10" ht="14.4" x14ac:dyDescent="0.3">
      <c r="E2549" s="3"/>
      <c r="F2549" s="3"/>
      <c r="G2549" s="3"/>
      <c r="H2549" s="3"/>
      <c r="I2549" s="3"/>
      <c r="J2549" s="3"/>
    </row>
    <row r="2550" spans="5:10" ht="14.4" x14ac:dyDescent="0.3">
      <c r="E2550" s="3"/>
      <c r="F2550" s="3"/>
      <c r="G2550" s="3"/>
      <c r="H2550" s="3"/>
      <c r="I2550" s="3"/>
      <c r="J2550" s="3"/>
    </row>
    <row r="2551" spans="5:10" ht="14.4" x14ac:dyDescent="0.3">
      <c r="E2551" s="3"/>
      <c r="F2551" s="3"/>
      <c r="G2551" s="3"/>
      <c r="H2551" s="3"/>
      <c r="I2551" s="3"/>
      <c r="J2551" s="3"/>
    </row>
    <row r="2552" spans="5:10" ht="14.4" x14ac:dyDescent="0.3">
      <c r="E2552" s="3"/>
      <c r="F2552" s="3"/>
      <c r="G2552" s="3"/>
      <c r="H2552" s="3"/>
      <c r="I2552" s="3"/>
      <c r="J2552" s="3"/>
    </row>
    <row r="2553" spans="5:10" ht="14.4" x14ac:dyDescent="0.3">
      <c r="E2553" s="3"/>
      <c r="F2553" s="3"/>
      <c r="G2553" s="3"/>
      <c r="H2553" s="3"/>
      <c r="I2553" s="3"/>
      <c r="J2553" s="3"/>
    </row>
    <row r="2554" spans="5:10" ht="14.4" x14ac:dyDescent="0.3">
      <c r="E2554" s="3"/>
      <c r="F2554" s="3"/>
      <c r="G2554" s="3"/>
      <c r="H2554" s="3"/>
      <c r="I2554" s="3"/>
      <c r="J2554" s="3"/>
    </row>
    <row r="2555" spans="5:10" ht="14.4" x14ac:dyDescent="0.3">
      <c r="E2555" s="3"/>
      <c r="F2555" s="3"/>
      <c r="G2555" s="3"/>
      <c r="H2555" s="3"/>
      <c r="I2555" s="3"/>
      <c r="J2555" s="3"/>
    </row>
    <row r="2556" spans="5:10" ht="14.4" x14ac:dyDescent="0.3">
      <c r="E2556" s="3"/>
      <c r="F2556" s="3"/>
      <c r="G2556" s="3"/>
      <c r="H2556" s="3"/>
      <c r="I2556" s="3"/>
      <c r="J2556" s="3"/>
    </row>
    <row r="2557" spans="5:10" ht="14.4" x14ac:dyDescent="0.3">
      <c r="E2557" s="3"/>
      <c r="F2557" s="3"/>
      <c r="G2557" s="3"/>
      <c r="H2557" s="3"/>
      <c r="I2557" s="3"/>
      <c r="J2557" s="3"/>
    </row>
    <row r="2558" spans="5:10" ht="14.4" x14ac:dyDescent="0.3">
      <c r="E2558" s="3"/>
      <c r="F2558" s="3"/>
      <c r="G2558" s="3"/>
      <c r="H2558" s="3"/>
      <c r="I2558" s="3"/>
      <c r="J2558" s="3"/>
    </row>
    <row r="2559" spans="5:10" ht="14.4" x14ac:dyDescent="0.3">
      <c r="E2559" s="3"/>
      <c r="F2559" s="3"/>
      <c r="G2559" s="3"/>
      <c r="H2559" s="3"/>
      <c r="I2559" s="3"/>
      <c r="J2559" s="3"/>
    </row>
    <row r="2560" spans="5:10" ht="14.4" x14ac:dyDescent="0.3">
      <c r="E2560" s="3"/>
      <c r="F2560" s="3"/>
      <c r="G2560" s="3"/>
      <c r="H2560" s="3"/>
      <c r="I2560" s="3"/>
      <c r="J2560" s="3"/>
    </row>
    <row r="2561" spans="5:10" ht="14.4" x14ac:dyDescent="0.3">
      <c r="E2561" s="3"/>
      <c r="F2561" s="3"/>
      <c r="G2561" s="3"/>
      <c r="H2561" s="3"/>
      <c r="I2561" s="3"/>
      <c r="J2561" s="3"/>
    </row>
    <row r="2562" spans="5:10" ht="14.4" x14ac:dyDescent="0.3">
      <c r="E2562" s="3"/>
      <c r="F2562" s="3"/>
      <c r="G2562" s="3"/>
      <c r="H2562" s="3"/>
      <c r="I2562" s="3"/>
      <c r="J2562" s="3"/>
    </row>
    <row r="2563" spans="5:10" ht="14.4" x14ac:dyDescent="0.3">
      <c r="E2563" s="3"/>
      <c r="F2563" s="3"/>
      <c r="G2563" s="3"/>
      <c r="H2563" s="3"/>
      <c r="I2563" s="3"/>
      <c r="J2563" s="3"/>
    </row>
    <row r="2564" spans="5:10" ht="14.4" x14ac:dyDescent="0.3">
      <c r="E2564" s="3"/>
      <c r="F2564" s="3"/>
      <c r="G2564" s="3"/>
      <c r="H2564" s="3"/>
      <c r="I2564" s="3"/>
      <c r="J2564" s="3"/>
    </row>
    <row r="2565" spans="5:10" ht="14.4" x14ac:dyDescent="0.3">
      <c r="E2565" s="3"/>
      <c r="F2565" s="3"/>
      <c r="G2565" s="3"/>
      <c r="H2565" s="3"/>
      <c r="I2565" s="3"/>
      <c r="J2565" s="3"/>
    </row>
    <row r="2566" spans="5:10" ht="14.4" x14ac:dyDescent="0.3">
      <c r="E2566" s="3"/>
      <c r="F2566" s="3"/>
      <c r="G2566" s="3"/>
      <c r="H2566" s="3"/>
      <c r="I2566" s="3"/>
      <c r="J2566" s="3"/>
    </row>
    <row r="2567" spans="5:10" ht="14.4" x14ac:dyDescent="0.3">
      <c r="E2567" s="3"/>
      <c r="F2567" s="3"/>
      <c r="G2567" s="3"/>
      <c r="H2567" s="3"/>
      <c r="I2567" s="3"/>
      <c r="J2567" s="3"/>
    </row>
    <row r="2568" spans="5:10" ht="14.4" x14ac:dyDescent="0.3">
      <c r="E2568" s="3"/>
      <c r="F2568" s="3"/>
      <c r="G2568" s="3"/>
      <c r="H2568" s="3"/>
      <c r="I2568" s="3"/>
      <c r="J2568" s="3"/>
    </row>
    <row r="2569" spans="5:10" ht="14.4" x14ac:dyDescent="0.3">
      <c r="E2569" s="3"/>
      <c r="F2569" s="3"/>
      <c r="G2569" s="3"/>
      <c r="H2569" s="3"/>
      <c r="I2569" s="3"/>
      <c r="J2569" s="3"/>
    </row>
    <row r="2570" spans="5:10" ht="14.4" x14ac:dyDescent="0.3">
      <c r="E2570" s="3"/>
      <c r="F2570" s="3"/>
      <c r="G2570" s="3"/>
      <c r="H2570" s="3"/>
      <c r="I2570" s="3"/>
      <c r="J2570" s="3"/>
    </row>
    <row r="2571" spans="5:10" ht="14.4" x14ac:dyDescent="0.3">
      <c r="E2571" s="3"/>
      <c r="F2571" s="3"/>
      <c r="G2571" s="3"/>
      <c r="H2571" s="3"/>
      <c r="I2571" s="3"/>
      <c r="J2571" s="3"/>
    </row>
    <row r="2572" spans="5:10" ht="14.4" x14ac:dyDescent="0.3">
      <c r="E2572" s="3"/>
      <c r="F2572" s="3"/>
      <c r="G2572" s="3"/>
      <c r="H2572" s="3"/>
      <c r="I2572" s="3"/>
      <c r="J2572" s="3"/>
    </row>
    <row r="2573" spans="5:10" ht="14.4" x14ac:dyDescent="0.3">
      <c r="E2573" s="3"/>
      <c r="F2573" s="3"/>
      <c r="G2573" s="3"/>
      <c r="H2573" s="3"/>
      <c r="I2573" s="3"/>
      <c r="J2573" s="3"/>
    </row>
    <row r="2574" spans="5:10" ht="14.4" x14ac:dyDescent="0.3">
      <c r="E2574" s="3"/>
      <c r="F2574" s="3"/>
      <c r="G2574" s="3"/>
      <c r="H2574" s="3"/>
      <c r="I2574" s="3"/>
      <c r="J2574" s="3"/>
    </row>
    <row r="2575" spans="5:10" ht="14.4" x14ac:dyDescent="0.3">
      <c r="E2575" s="3"/>
      <c r="F2575" s="3"/>
      <c r="G2575" s="3"/>
      <c r="H2575" s="3"/>
      <c r="I2575" s="3"/>
      <c r="J2575" s="3"/>
    </row>
    <row r="2576" spans="5:10" ht="14.4" x14ac:dyDescent="0.3">
      <c r="E2576" s="3"/>
      <c r="F2576" s="3"/>
      <c r="G2576" s="3"/>
      <c r="H2576" s="3"/>
      <c r="I2576" s="3"/>
      <c r="J2576" s="3"/>
    </row>
    <row r="2577" spans="5:10" ht="14.4" x14ac:dyDescent="0.3">
      <c r="E2577" s="3"/>
      <c r="F2577" s="3"/>
      <c r="G2577" s="3"/>
      <c r="H2577" s="3"/>
      <c r="I2577" s="3"/>
      <c r="J2577" s="3"/>
    </row>
    <row r="2578" spans="5:10" ht="14.4" x14ac:dyDescent="0.3">
      <c r="E2578" s="3"/>
      <c r="F2578" s="3"/>
      <c r="G2578" s="3"/>
      <c r="H2578" s="3"/>
      <c r="I2578" s="3"/>
      <c r="J2578" s="3"/>
    </row>
    <row r="2579" spans="5:10" ht="14.4" x14ac:dyDescent="0.3">
      <c r="E2579" s="3"/>
      <c r="F2579" s="3"/>
      <c r="G2579" s="3"/>
      <c r="H2579" s="3"/>
      <c r="I2579" s="3"/>
      <c r="J2579" s="3"/>
    </row>
    <row r="2580" spans="5:10" ht="14.4" x14ac:dyDescent="0.3">
      <c r="E2580" s="3"/>
      <c r="F2580" s="3"/>
      <c r="G2580" s="3"/>
      <c r="H2580" s="3"/>
      <c r="I2580" s="3"/>
      <c r="J2580" s="3"/>
    </row>
    <row r="2581" spans="5:10" ht="14.4" x14ac:dyDescent="0.3">
      <c r="E2581" s="3"/>
      <c r="F2581" s="3"/>
      <c r="G2581" s="3"/>
      <c r="H2581" s="3"/>
      <c r="I2581" s="3"/>
      <c r="J2581" s="3"/>
    </row>
    <row r="2582" spans="5:10" ht="14.4" x14ac:dyDescent="0.3">
      <c r="E2582" s="3"/>
      <c r="F2582" s="3"/>
      <c r="G2582" s="3"/>
      <c r="H2582" s="3"/>
      <c r="I2582" s="3"/>
      <c r="J2582" s="3"/>
    </row>
    <row r="2583" spans="5:10" ht="14.4" x14ac:dyDescent="0.3">
      <c r="E2583" s="3"/>
      <c r="F2583" s="3"/>
      <c r="G2583" s="3"/>
      <c r="H2583" s="3"/>
      <c r="I2583" s="3"/>
      <c r="J2583" s="3"/>
    </row>
    <row r="2584" spans="5:10" ht="14.4" x14ac:dyDescent="0.3">
      <c r="E2584" s="3"/>
      <c r="F2584" s="3"/>
      <c r="G2584" s="3"/>
      <c r="H2584" s="3"/>
      <c r="I2584" s="3"/>
      <c r="J2584" s="3"/>
    </row>
    <row r="2585" spans="5:10" ht="14.4" x14ac:dyDescent="0.3">
      <c r="E2585" s="3"/>
      <c r="F2585" s="3"/>
      <c r="G2585" s="3"/>
      <c r="H2585" s="3"/>
      <c r="I2585" s="3"/>
      <c r="J2585" s="3"/>
    </row>
    <row r="2586" spans="5:10" ht="14.4" x14ac:dyDescent="0.3">
      <c r="E2586" s="3"/>
      <c r="F2586" s="3"/>
      <c r="G2586" s="3"/>
      <c r="H2586" s="3"/>
      <c r="I2586" s="3"/>
      <c r="J2586" s="3"/>
    </row>
    <row r="2587" spans="5:10" ht="14.4" x14ac:dyDescent="0.3">
      <c r="E2587" s="3"/>
      <c r="F2587" s="3"/>
      <c r="G2587" s="3"/>
      <c r="H2587" s="3"/>
      <c r="I2587" s="3"/>
      <c r="J2587" s="3"/>
    </row>
    <row r="2588" spans="5:10" ht="14.4" x14ac:dyDescent="0.3">
      <c r="E2588" s="3"/>
      <c r="F2588" s="3"/>
      <c r="G2588" s="3"/>
      <c r="H2588" s="3"/>
      <c r="I2588" s="3"/>
      <c r="J2588" s="3"/>
    </row>
    <row r="2589" spans="5:10" ht="14.4" x14ac:dyDescent="0.3">
      <c r="E2589" s="3"/>
      <c r="F2589" s="3"/>
      <c r="G2589" s="3"/>
      <c r="H2589" s="3"/>
      <c r="I2589" s="3"/>
      <c r="J2589" s="3"/>
    </row>
    <row r="2590" spans="5:10" ht="14.4" x14ac:dyDescent="0.3">
      <c r="E2590" s="3"/>
      <c r="F2590" s="3"/>
      <c r="G2590" s="3"/>
      <c r="H2590" s="3"/>
      <c r="I2590" s="3"/>
      <c r="J2590" s="3"/>
    </row>
    <row r="2591" spans="5:10" ht="14.4" x14ac:dyDescent="0.3">
      <c r="E2591" s="3"/>
      <c r="F2591" s="3"/>
      <c r="G2591" s="3"/>
      <c r="H2591" s="3"/>
      <c r="I2591" s="3"/>
      <c r="J2591" s="3"/>
    </row>
    <row r="2592" spans="5:10" ht="14.4" x14ac:dyDescent="0.3">
      <c r="E2592" s="3"/>
      <c r="F2592" s="3"/>
      <c r="G2592" s="3"/>
      <c r="H2592" s="3"/>
      <c r="I2592" s="3"/>
      <c r="J2592" s="3"/>
    </row>
    <row r="2593" spans="5:10" ht="14.4" x14ac:dyDescent="0.3">
      <c r="E2593" s="3"/>
      <c r="F2593" s="3"/>
      <c r="G2593" s="3"/>
      <c r="H2593" s="3"/>
      <c r="I2593" s="3"/>
      <c r="J2593" s="3"/>
    </row>
    <row r="2594" spans="5:10" ht="14.4" x14ac:dyDescent="0.3">
      <c r="E2594" s="3"/>
      <c r="F2594" s="3"/>
      <c r="G2594" s="3"/>
      <c r="H2594" s="3"/>
      <c r="I2594" s="3"/>
      <c r="J2594" s="3"/>
    </row>
    <row r="2595" spans="5:10" ht="14.4" x14ac:dyDescent="0.3">
      <c r="E2595" s="3"/>
      <c r="F2595" s="3"/>
      <c r="G2595" s="3"/>
      <c r="H2595" s="3"/>
      <c r="I2595" s="3"/>
      <c r="J2595" s="3"/>
    </row>
    <row r="2596" spans="5:10" ht="14.4" x14ac:dyDescent="0.3">
      <c r="E2596" s="3"/>
      <c r="F2596" s="3"/>
      <c r="G2596" s="3"/>
      <c r="H2596" s="3"/>
      <c r="I2596" s="3"/>
      <c r="J2596" s="3"/>
    </row>
    <row r="2597" spans="5:10" ht="14.4" x14ac:dyDescent="0.3">
      <c r="E2597" s="3"/>
      <c r="F2597" s="3"/>
      <c r="G2597" s="3"/>
      <c r="H2597" s="3"/>
      <c r="I2597" s="3"/>
      <c r="J2597" s="3"/>
    </row>
    <row r="2598" spans="5:10" ht="14.4" x14ac:dyDescent="0.3">
      <c r="E2598" s="3"/>
      <c r="F2598" s="3"/>
      <c r="G2598" s="3"/>
      <c r="H2598" s="3"/>
      <c r="I2598" s="3"/>
      <c r="J2598" s="3"/>
    </row>
    <row r="2599" spans="5:10" ht="14.4" x14ac:dyDescent="0.3">
      <c r="E2599" s="3"/>
      <c r="F2599" s="3"/>
      <c r="G2599" s="3"/>
      <c r="H2599" s="3"/>
      <c r="I2599" s="3"/>
      <c r="J2599" s="3"/>
    </row>
    <row r="2600" spans="5:10" ht="14.4" x14ac:dyDescent="0.3">
      <c r="E2600" s="3"/>
      <c r="F2600" s="3"/>
      <c r="G2600" s="3"/>
      <c r="H2600" s="3"/>
      <c r="I2600" s="3"/>
      <c r="J2600" s="3"/>
    </row>
    <row r="2601" spans="5:10" ht="14.4" x14ac:dyDescent="0.3">
      <c r="E2601" s="3"/>
      <c r="F2601" s="3"/>
      <c r="G2601" s="3"/>
      <c r="H2601" s="3"/>
      <c r="I2601" s="3"/>
      <c r="J2601" s="3"/>
    </row>
    <row r="2602" spans="5:10" ht="14.4" x14ac:dyDescent="0.3">
      <c r="E2602" s="3"/>
      <c r="F2602" s="3"/>
      <c r="G2602" s="3"/>
      <c r="H2602" s="3"/>
      <c r="I2602" s="3"/>
      <c r="J2602" s="3"/>
    </row>
    <row r="2603" spans="5:10" ht="14.4" x14ac:dyDescent="0.3">
      <c r="E2603" s="3"/>
      <c r="F2603" s="3"/>
      <c r="G2603" s="3"/>
      <c r="H2603" s="3"/>
      <c r="I2603" s="3"/>
      <c r="J2603" s="3"/>
    </row>
    <row r="2604" spans="5:10" ht="14.4" x14ac:dyDescent="0.3">
      <c r="E2604" s="3"/>
      <c r="F2604" s="3"/>
      <c r="G2604" s="3"/>
      <c r="H2604" s="3"/>
      <c r="I2604" s="3"/>
      <c r="J2604" s="3"/>
    </row>
    <row r="2605" spans="5:10" ht="14.4" x14ac:dyDescent="0.3">
      <c r="E2605" s="3"/>
      <c r="F2605" s="3"/>
      <c r="G2605" s="3"/>
      <c r="H2605" s="3"/>
      <c r="I2605" s="3"/>
      <c r="J2605" s="3"/>
    </row>
    <row r="2606" spans="5:10" ht="14.4" x14ac:dyDescent="0.3">
      <c r="E2606" s="3"/>
      <c r="F2606" s="3"/>
      <c r="G2606" s="3"/>
      <c r="H2606" s="3"/>
      <c r="I2606" s="3"/>
      <c r="J2606" s="3"/>
    </row>
    <row r="2607" spans="5:10" ht="14.4" x14ac:dyDescent="0.3">
      <c r="E2607" s="3"/>
      <c r="F2607" s="3"/>
      <c r="G2607" s="3"/>
      <c r="H2607" s="3"/>
      <c r="I2607" s="3"/>
      <c r="J2607" s="3"/>
    </row>
    <row r="2608" spans="5:10" ht="14.4" x14ac:dyDescent="0.3">
      <c r="E2608" s="3"/>
      <c r="F2608" s="3"/>
      <c r="G2608" s="3"/>
      <c r="H2608" s="3"/>
      <c r="I2608" s="3"/>
      <c r="J2608" s="3"/>
    </row>
    <row r="2609" spans="5:10" ht="14.4" x14ac:dyDescent="0.3">
      <c r="E2609" s="3"/>
      <c r="F2609" s="3"/>
      <c r="G2609" s="3"/>
      <c r="H2609" s="3"/>
      <c r="I2609" s="3"/>
      <c r="J2609" s="3"/>
    </row>
    <row r="2610" spans="5:10" ht="14.4" x14ac:dyDescent="0.3">
      <c r="E2610" s="3"/>
      <c r="F2610" s="3"/>
      <c r="G2610" s="3"/>
      <c r="H2610" s="3"/>
      <c r="I2610" s="3"/>
      <c r="J2610" s="3"/>
    </row>
    <row r="2611" spans="5:10" ht="14.4" x14ac:dyDescent="0.3">
      <c r="E2611" s="3"/>
      <c r="F2611" s="3"/>
      <c r="G2611" s="3"/>
      <c r="H2611" s="3"/>
      <c r="I2611" s="3"/>
      <c r="J2611" s="3"/>
    </row>
    <row r="2612" spans="5:10" ht="14.4" x14ac:dyDescent="0.3">
      <c r="E2612" s="3"/>
      <c r="F2612" s="3"/>
      <c r="G2612" s="3"/>
      <c r="H2612" s="3"/>
      <c r="I2612" s="3"/>
      <c r="J2612" s="3"/>
    </row>
    <row r="2613" spans="5:10" ht="14.4" x14ac:dyDescent="0.3">
      <c r="E2613" s="3"/>
      <c r="F2613" s="3"/>
      <c r="G2613" s="3"/>
      <c r="H2613" s="3"/>
      <c r="I2613" s="3"/>
      <c r="J2613" s="3"/>
    </row>
    <row r="2614" spans="5:10" ht="14.4" x14ac:dyDescent="0.3">
      <c r="E2614" s="3"/>
      <c r="F2614" s="3"/>
      <c r="G2614" s="3"/>
      <c r="H2614" s="3"/>
      <c r="I2614" s="3"/>
      <c r="J2614" s="3"/>
    </row>
    <row r="2615" spans="5:10" ht="14.4" x14ac:dyDescent="0.3">
      <c r="E2615" s="3"/>
      <c r="F2615" s="3"/>
      <c r="G2615" s="3"/>
      <c r="H2615" s="3"/>
      <c r="I2615" s="3"/>
      <c r="J2615" s="3"/>
    </row>
    <row r="2616" spans="5:10" ht="14.4" x14ac:dyDescent="0.3">
      <c r="E2616" s="3"/>
      <c r="F2616" s="3"/>
      <c r="G2616" s="3"/>
      <c r="H2616" s="3"/>
      <c r="I2616" s="3"/>
      <c r="J2616" s="3"/>
    </row>
    <row r="2617" spans="5:10" ht="14.4" x14ac:dyDescent="0.3">
      <c r="E2617" s="3"/>
      <c r="F2617" s="3"/>
      <c r="G2617" s="3"/>
      <c r="H2617" s="3"/>
      <c r="I2617" s="3"/>
      <c r="J2617" s="3"/>
    </row>
    <row r="2618" spans="5:10" ht="14.4" x14ac:dyDescent="0.3">
      <c r="E2618" s="3"/>
      <c r="F2618" s="3"/>
      <c r="G2618" s="3"/>
      <c r="H2618" s="3"/>
      <c r="I2618" s="3"/>
      <c r="J2618" s="3"/>
    </row>
    <row r="2619" spans="5:10" ht="14.4" x14ac:dyDescent="0.3">
      <c r="E2619" s="3"/>
      <c r="F2619" s="3"/>
      <c r="G2619" s="3"/>
      <c r="H2619" s="3"/>
      <c r="I2619" s="3"/>
      <c r="J2619" s="3"/>
    </row>
    <row r="2620" spans="5:10" ht="14.4" x14ac:dyDescent="0.3">
      <c r="E2620" s="3"/>
      <c r="F2620" s="3"/>
      <c r="G2620" s="3"/>
      <c r="H2620" s="3"/>
      <c r="I2620" s="3"/>
      <c r="J2620" s="3"/>
    </row>
    <row r="2621" spans="5:10" ht="14.4" x14ac:dyDescent="0.3">
      <c r="E2621" s="3"/>
      <c r="F2621" s="3"/>
      <c r="G2621" s="3"/>
      <c r="H2621" s="3"/>
      <c r="I2621" s="3"/>
      <c r="J2621" s="3"/>
    </row>
    <row r="2622" spans="5:10" ht="14.4" x14ac:dyDescent="0.3">
      <c r="E2622" s="3"/>
      <c r="F2622" s="3"/>
      <c r="G2622" s="3"/>
      <c r="H2622" s="3"/>
      <c r="I2622" s="3"/>
      <c r="J2622" s="3"/>
    </row>
    <row r="2623" spans="5:10" ht="14.4" x14ac:dyDescent="0.3">
      <c r="E2623" s="3"/>
      <c r="F2623" s="3"/>
      <c r="G2623" s="3"/>
      <c r="H2623" s="3"/>
      <c r="I2623" s="3"/>
      <c r="J2623" s="3"/>
    </row>
    <row r="2624" spans="5:10" ht="14.4" x14ac:dyDescent="0.3">
      <c r="E2624" s="3"/>
      <c r="F2624" s="3"/>
      <c r="G2624" s="3"/>
      <c r="H2624" s="3"/>
      <c r="I2624" s="3"/>
      <c r="J2624" s="3"/>
    </row>
    <row r="2625" spans="5:10" ht="14.4" x14ac:dyDescent="0.3">
      <c r="E2625" s="3"/>
      <c r="F2625" s="3"/>
      <c r="G2625" s="3"/>
      <c r="H2625" s="3"/>
      <c r="I2625" s="3"/>
      <c r="J2625" s="3"/>
    </row>
    <row r="2626" spans="5:10" ht="14.4" x14ac:dyDescent="0.3">
      <c r="E2626" s="3"/>
      <c r="F2626" s="3"/>
      <c r="G2626" s="3"/>
      <c r="H2626" s="3"/>
      <c r="I2626" s="3"/>
      <c r="J2626" s="3"/>
    </row>
    <row r="2627" spans="5:10" ht="14.4" x14ac:dyDescent="0.3">
      <c r="E2627" s="3"/>
      <c r="F2627" s="3"/>
      <c r="G2627" s="3"/>
      <c r="H2627" s="3"/>
      <c r="I2627" s="3"/>
      <c r="J2627" s="3"/>
    </row>
    <row r="2628" spans="5:10" ht="14.4" x14ac:dyDescent="0.3">
      <c r="E2628" s="3"/>
      <c r="F2628" s="3"/>
      <c r="G2628" s="3"/>
      <c r="H2628" s="3"/>
      <c r="I2628" s="3"/>
      <c r="J2628" s="3"/>
    </row>
    <row r="2629" spans="5:10" ht="14.4" x14ac:dyDescent="0.3">
      <c r="E2629" s="3"/>
      <c r="F2629" s="3"/>
      <c r="G2629" s="3"/>
      <c r="H2629" s="3"/>
      <c r="I2629" s="3"/>
      <c r="J2629" s="3"/>
    </row>
    <row r="2630" spans="5:10" ht="14.4" x14ac:dyDescent="0.3">
      <c r="E2630" s="3"/>
      <c r="F2630" s="3"/>
      <c r="G2630" s="3"/>
      <c r="H2630" s="3"/>
      <c r="I2630" s="3"/>
      <c r="J2630" s="3"/>
    </row>
    <row r="2631" spans="5:10" ht="14.4" x14ac:dyDescent="0.3">
      <c r="E2631" s="3"/>
      <c r="F2631" s="3"/>
      <c r="G2631" s="3"/>
      <c r="H2631" s="3"/>
      <c r="I2631" s="3"/>
      <c r="J2631" s="3"/>
    </row>
    <row r="2632" spans="5:10" ht="14.4" x14ac:dyDescent="0.3">
      <c r="E2632" s="3"/>
      <c r="F2632" s="3"/>
      <c r="G2632" s="3"/>
      <c r="H2632" s="3"/>
      <c r="I2632" s="3"/>
      <c r="J2632" s="3"/>
    </row>
    <row r="2633" spans="5:10" ht="14.4" x14ac:dyDescent="0.3">
      <c r="E2633" s="3"/>
      <c r="F2633" s="3"/>
      <c r="G2633" s="3"/>
      <c r="H2633" s="3"/>
      <c r="I2633" s="3"/>
      <c r="J2633" s="3"/>
    </row>
    <row r="2634" spans="5:10" ht="14.4" x14ac:dyDescent="0.3">
      <c r="E2634" s="3"/>
      <c r="F2634" s="3"/>
      <c r="G2634" s="3"/>
      <c r="H2634" s="3"/>
      <c r="I2634" s="3"/>
      <c r="J2634" s="3"/>
    </row>
    <row r="2635" spans="5:10" ht="14.4" x14ac:dyDescent="0.3">
      <c r="E2635" s="3"/>
      <c r="F2635" s="3"/>
      <c r="G2635" s="3"/>
      <c r="H2635" s="3"/>
      <c r="I2635" s="3"/>
      <c r="J2635" s="3"/>
    </row>
    <row r="2636" spans="5:10" ht="14.4" x14ac:dyDescent="0.3">
      <c r="E2636" s="3"/>
      <c r="F2636" s="3"/>
      <c r="G2636" s="3"/>
      <c r="H2636" s="3"/>
      <c r="I2636" s="3"/>
      <c r="J2636" s="3"/>
    </row>
    <row r="2637" spans="5:10" ht="14.4" x14ac:dyDescent="0.3">
      <c r="E2637" s="3"/>
      <c r="F2637" s="3"/>
      <c r="G2637" s="3"/>
      <c r="H2637" s="3"/>
      <c r="I2637" s="3"/>
      <c r="J2637" s="3"/>
    </row>
    <row r="2638" spans="5:10" ht="14.4" x14ac:dyDescent="0.3">
      <c r="E2638" s="3"/>
      <c r="F2638" s="3"/>
      <c r="G2638" s="3"/>
      <c r="H2638" s="3"/>
      <c r="I2638" s="3"/>
      <c r="J2638" s="3"/>
    </row>
    <row r="2639" spans="5:10" ht="14.4" x14ac:dyDescent="0.3">
      <c r="E2639" s="3"/>
      <c r="F2639" s="3"/>
      <c r="G2639" s="3"/>
      <c r="H2639" s="3"/>
      <c r="I2639" s="3"/>
      <c r="J2639" s="3"/>
    </row>
    <row r="2640" spans="5:10" ht="14.4" x14ac:dyDescent="0.3">
      <c r="E2640" s="3"/>
      <c r="F2640" s="3"/>
      <c r="G2640" s="3"/>
      <c r="H2640" s="3"/>
      <c r="I2640" s="3"/>
      <c r="J2640" s="3"/>
    </row>
    <row r="2641" spans="5:10" ht="14.4" x14ac:dyDescent="0.3">
      <c r="E2641" s="3"/>
      <c r="F2641" s="3"/>
      <c r="G2641" s="3"/>
      <c r="H2641" s="3"/>
      <c r="I2641" s="3"/>
      <c r="J2641" s="3"/>
    </row>
    <row r="2642" spans="5:10" ht="14.4" x14ac:dyDescent="0.3">
      <c r="E2642" s="3"/>
      <c r="F2642" s="3"/>
      <c r="G2642" s="3"/>
      <c r="H2642" s="3"/>
      <c r="I2642" s="3"/>
      <c r="J2642" s="3"/>
    </row>
    <row r="2643" spans="5:10" ht="14.4" x14ac:dyDescent="0.3">
      <c r="E2643" s="3"/>
      <c r="F2643" s="3"/>
      <c r="G2643" s="3"/>
      <c r="H2643" s="3"/>
      <c r="I2643" s="3"/>
      <c r="J2643" s="3"/>
    </row>
    <row r="2644" spans="5:10" ht="14.4" x14ac:dyDescent="0.3">
      <c r="E2644" s="3"/>
      <c r="F2644" s="3"/>
      <c r="G2644" s="3"/>
      <c r="H2644" s="3"/>
      <c r="I2644" s="3"/>
      <c r="J2644" s="3"/>
    </row>
    <row r="2645" spans="5:10" ht="14.4" x14ac:dyDescent="0.3">
      <c r="E2645" s="3"/>
      <c r="F2645" s="3"/>
      <c r="G2645" s="3"/>
      <c r="H2645" s="3"/>
      <c r="I2645" s="3"/>
      <c r="J2645" s="3"/>
    </row>
    <row r="2646" spans="5:10" ht="14.4" x14ac:dyDescent="0.3">
      <c r="E2646" s="3"/>
      <c r="F2646" s="3"/>
      <c r="G2646" s="3"/>
      <c r="H2646" s="3"/>
      <c r="I2646" s="3"/>
      <c r="J2646" s="3"/>
    </row>
    <row r="2647" spans="5:10" ht="14.4" x14ac:dyDescent="0.3">
      <c r="E2647" s="3"/>
      <c r="F2647" s="3"/>
      <c r="G2647" s="3"/>
      <c r="H2647" s="3"/>
      <c r="I2647" s="3"/>
      <c r="J2647" s="3"/>
    </row>
    <row r="2648" spans="5:10" ht="14.4" x14ac:dyDescent="0.3">
      <c r="E2648" s="3"/>
      <c r="F2648" s="3"/>
      <c r="G2648" s="3"/>
      <c r="H2648" s="3"/>
      <c r="I2648" s="3"/>
      <c r="J2648" s="3"/>
    </row>
    <row r="2649" spans="5:10" ht="14.4" x14ac:dyDescent="0.3">
      <c r="E2649" s="3"/>
      <c r="F2649" s="3"/>
      <c r="G2649" s="3"/>
      <c r="H2649" s="3"/>
      <c r="I2649" s="3"/>
      <c r="J2649" s="3"/>
    </row>
    <row r="2650" spans="5:10" ht="14.4" x14ac:dyDescent="0.3">
      <c r="E2650" s="3"/>
      <c r="F2650" s="3"/>
      <c r="G2650" s="3"/>
      <c r="H2650" s="3"/>
      <c r="I2650" s="3"/>
      <c r="J2650" s="3"/>
    </row>
    <row r="2651" spans="5:10" ht="14.4" x14ac:dyDescent="0.3">
      <c r="E2651" s="3"/>
      <c r="F2651" s="3"/>
      <c r="G2651" s="3"/>
      <c r="H2651" s="3"/>
      <c r="I2651" s="3"/>
      <c r="J2651" s="3"/>
    </row>
    <row r="2652" spans="5:10" ht="14.4" x14ac:dyDescent="0.3">
      <c r="E2652" s="3"/>
      <c r="F2652" s="3"/>
      <c r="G2652" s="3"/>
      <c r="H2652" s="3"/>
      <c r="I2652" s="3"/>
      <c r="J2652" s="3"/>
    </row>
    <row r="2653" spans="5:10" ht="14.4" x14ac:dyDescent="0.3">
      <c r="E2653" s="3"/>
      <c r="F2653" s="3"/>
      <c r="G2653" s="3"/>
      <c r="H2653" s="3"/>
      <c r="I2653" s="3"/>
      <c r="J2653" s="3"/>
    </row>
    <row r="2654" spans="5:10" ht="14.4" x14ac:dyDescent="0.3">
      <c r="E2654" s="3"/>
      <c r="F2654" s="3"/>
      <c r="G2654" s="3"/>
      <c r="H2654" s="3"/>
      <c r="I2654" s="3"/>
      <c r="J2654" s="3"/>
    </row>
    <row r="2655" spans="5:10" ht="14.4" x14ac:dyDescent="0.3">
      <c r="E2655" s="3"/>
      <c r="F2655" s="3"/>
      <c r="G2655" s="3"/>
      <c r="H2655" s="3"/>
      <c r="I2655" s="3"/>
      <c r="J2655" s="3"/>
    </row>
    <row r="2656" spans="5:10" ht="14.4" x14ac:dyDescent="0.3">
      <c r="E2656" s="3"/>
      <c r="F2656" s="3"/>
      <c r="G2656" s="3"/>
      <c r="H2656" s="3"/>
      <c r="I2656" s="3"/>
      <c r="J2656" s="3"/>
    </row>
    <row r="2657" spans="5:10" ht="14.4" x14ac:dyDescent="0.3">
      <c r="E2657" s="3"/>
      <c r="F2657" s="3"/>
      <c r="G2657" s="3"/>
      <c r="H2657" s="3"/>
      <c r="I2657" s="3"/>
      <c r="J2657" s="3"/>
    </row>
    <row r="2658" spans="5:10" ht="14.4" x14ac:dyDescent="0.3">
      <c r="E2658" s="3"/>
      <c r="F2658" s="3"/>
      <c r="G2658" s="3"/>
      <c r="H2658" s="3"/>
      <c r="I2658" s="3"/>
      <c r="J2658" s="3"/>
    </row>
    <row r="2659" spans="5:10" ht="14.4" x14ac:dyDescent="0.3">
      <c r="E2659" s="3"/>
      <c r="F2659" s="3"/>
      <c r="G2659" s="3"/>
      <c r="H2659" s="3"/>
      <c r="I2659" s="3"/>
      <c r="J2659" s="3"/>
    </row>
    <row r="2660" spans="5:10" ht="14.4" x14ac:dyDescent="0.3">
      <c r="E2660" s="3"/>
      <c r="F2660" s="3"/>
      <c r="G2660" s="3"/>
      <c r="H2660" s="3"/>
      <c r="I2660" s="3"/>
      <c r="J2660" s="3"/>
    </row>
    <row r="2661" spans="5:10" ht="14.4" x14ac:dyDescent="0.3">
      <c r="E2661" s="3"/>
      <c r="F2661" s="3"/>
      <c r="G2661" s="3"/>
      <c r="H2661" s="3"/>
      <c r="I2661" s="3"/>
      <c r="J2661" s="3"/>
    </row>
    <row r="2662" spans="5:10" ht="14.4" x14ac:dyDescent="0.3">
      <c r="E2662" s="3"/>
      <c r="F2662" s="3"/>
      <c r="G2662" s="3"/>
      <c r="H2662" s="3"/>
      <c r="I2662" s="3"/>
      <c r="J2662" s="3"/>
    </row>
    <row r="2663" spans="5:10" ht="14.4" x14ac:dyDescent="0.3">
      <c r="E2663" s="3"/>
      <c r="F2663" s="3"/>
      <c r="G2663" s="3"/>
      <c r="H2663" s="3"/>
      <c r="I2663" s="3"/>
      <c r="J2663" s="3"/>
    </row>
    <row r="2664" spans="5:10" ht="14.4" x14ac:dyDescent="0.3">
      <c r="E2664" s="3"/>
      <c r="F2664" s="3"/>
      <c r="G2664" s="3"/>
      <c r="H2664" s="3"/>
      <c r="I2664" s="3"/>
      <c r="J2664" s="3"/>
    </row>
    <row r="2665" spans="5:10" ht="14.4" x14ac:dyDescent="0.3">
      <c r="E2665" s="3"/>
      <c r="F2665" s="3"/>
      <c r="G2665" s="3"/>
      <c r="H2665" s="3"/>
      <c r="I2665" s="3"/>
      <c r="J2665" s="3"/>
    </row>
    <row r="2666" spans="5:10" ht="14.4" x14ac:dyDescent="0.3">
      <c r="E2666" s="3"/>
      <c r="F2666" s="3"/>
      <c r="G2666" s="3"/>
      <c r="H2666" s="3"/>
      <c r="I2666" s="3"/>
      <c r="J2666" s="3"/>
    </row>
    <row r="2667" spans="5:10" ht="14.4" x14ac:dyDescent="0.3">
      <c r="E2667" s="3"/>
      <c r="F2667" s="3"/>
      <c r="G2667" s="3"/>
      <c r="H2667" s="3"/>
      <c r="I2667" s="3"/>
      <c r="J2667" s="3"/>
    </row>
    <row r="2668" spans="5:10" ht="14.4" x14ac:dyDescent="0.3">
      <c r="E2668" s="3"/>
      <c r="F2668" s="3"/>
      <c r="G2668" s="3"/>
      <c r="H2668" s="3"/>
      <c r="I2668" s="3"/>
      <c r="J2668" s="3"/>
    </row>
    <row r="2669" spans="5:10" ht="14.4" x14ac:dyDescent="0.3">
      <c r="E2669" s="3"/>
      <c r="F2669" s="3"/>
      <c r="G2669" s="3"/>
      <c r="H2669" s="3"/>
      <c r="I2669" s="3"/>
      <c r="J2669" s="3"/>
    </row>
    <row r="2670" spans="5:10" ht="14.4" x14ac:dyDescent="0.3">
      <c r="E2670" s="3"/>
      <c r="F2670" s="3"/>
      <c r="G2670" s="3"/>
      <c r="H2670" s="3"/>
      <c r="I2670" s="3"/>
      <c r="J2670" s="3"/>
    </row>
    <row r="2671" spans="5:10" ht="14.4" x14ac:dyDescent="0.3">
      <c r="E2671" s="3"/>
      <c r="F2671" s="3"/>
      <c r="G2671" s="3"/>
      <c r="H2671" s="3"/>
      <c r="I2671" s="3"/>
      <c r="J2671" s="3"/>
    </row>
    <row r="2672" spans="5:10" ht="14.4" x14ac:dyDescent="0.3">
      <c r="E2672" s="3"/>
      <c r="F2672" s="3"/>
      <c r="G2672" s="3"/>
      <c r="H2672" s="3"/>
      <c r="I2672" s="3"/>
      <c r="J2672" s="3"/>
    </row>
    <row r="2673" spans="5:10" ht="14.4" x14ac:dyDescent="0.3">
      <c r="E2673" s="3"/>
      <c r="F2673" s="3"/>
      <c r="G2673" s="3"/>
      <c r="H2673" s="3"/>
      <c r="I2673" s="3"/>
      <c r="J2673" s="3"/>
    </row>
    <row r="2674" spans="5:10" ht="14.4" x14ac:dyDescent="0.3">
      <c r="E2674" s="3"/>
      <c r="F2674" s="3"/>
      <c r="G2674" s="3"/>
      <c r="H2674" s="3"/>
      <c r="I2674" s="3"/>
      <c r="J2674" s="3"/>
    </row>
    <row r="2675" spans="5:10" ht="14.4" x14ac:dyDescent="0.3">
      <c r="E2675" s="3"/>
      <c r="F2675" s="3"/>
      <c r="G2675" s="3"/>
      <c r="H2675" s="3"/>
      <c r="I2675" s="3"/>
      <c r="J2675" s="3"/>
    </row>
    <row r="2676" spans="5:10" ht="14.4" x14ac:dyDescent="0.3">
      <c r="E2676" s="3"/>
      <c r="F2676" s="3"/>
      <c r="G2676" s="3"/>
      <c r="H2676" s="3"/>
      <c r="I2676" s="3"/>
      <c r="J2676" s="3"/>
    </row>
    <row r="2677" spans="5:10" ht="14.4" x14ac:dyDescent="0.3">
      <c r="E2677" s="3"/>
      <c r="F2677" s="3"/>
      <c r="G2677" s="3"/>
      <c r="H2677" s="3"/>
      <c r="I2677" s="3"/>
      <c r="J2677" s="3"/>
    </row>
    <row r="2678" spans="5:10" ht="14.4" x14ac:dyDescent="0.3">
      <c r="E2678" s="3"/>
      <c r="F2678" s="3"/>
      <c r="G2678" s="3"/>
      <c r="H2678" s="3"/>
      <c r="I2678" s="3"/>
      <c r="J2678" s="3"/>
    </row>
    <row r="2679" spans="5:10" ht="14.4" x14ac:dyDescent="0.3">
      <c r="E2679" s="3"/>
      <c r="F2679" s="3"/>
      <c r="G2679" s="3"/>
      <c r="H2679" s="3"/>
      <c r="I2679" s="3"/>
      <c r="J2679" s="3"/>
    </row>
    <row r="2680" spans="5:10" ht="14.4" x14ac:dyDescent="0.3">
      <c r="E2680" s="3"/>
      <c r="F2680" s="3"/>
      <c r="G2680" s="3"/>
      <c r="H2680" s="3"/>
      <c r="I2680" s="3"/>
      <c r="J2680" s="3"/>
    </row>
    <row r="2681" spans="5:10" ht="14.4" x14ac:dyDescent="0.3">
      <c r="E2681" s="3"/>
      <c r="F2681" s="3"/>
      <c r="G2681" s="3"/>
      <c r="H2681" s="3"/>
      <c r="I2681" s="3"/>
      <c r="J2681" s="3"/>
    </row>
    <row r="2682" spans="5:10" ht="14.4" x14ac:dyDescent="0.3">
      <c r="E2682" s="3"/>
      <c r="F2682" s="3"/>
      <c r="G2682" s="3"/>
      <c r="H2682" s="3"/>
      <c r="I2682" s="3"/>
      <c r="J2682" s="3"/>
    </row>
    <row r="2683" spans="5:10" ht="14.4" x14ac:dyDescent="0.3">
      <c r="E2683" s="3"/>
      <c r="F2683" s="3"/>
      <c r="G2683" s="3"/>
      <c r="H2683" s="3"/>
      <c r="I2683" s="3"/>
      <c r="J2683" s="3"/>
    </row>
    <row r="2684" spans="5:10" ht="14.4" x14ac:dyDescent="0.3">
      <c r="E2684" s="3"/>
      <c r="F2684" s="3"/>
      <c r="G2684" s="3"/>
      <c r="H2684" s="3"/>
      <c r="I2684" s="3"/>
      <c r="J2684" s="3"/>
    </row>
    <row r="2685" spans="5:10" ht="14.4" x14ac:dyDescent="0.3">
      <c r="E2685" s="3"/>
      <c r="F2685" s="3"/>
      <c r="G2685" s="3"/>
      <c r="H2685" s="3"/>
      <c r="I2685" s="3"/>
      <c r="J2685" s="3"/>
    </row>
    <row r="2686" spans="5:10" ht="14.4" x14ac:dyDescent="0.3">
      <c r="E2686" s="3"/>
      <c r="F2686" s="3"/>
      <c r="G2686" s="3"/>
      <c r="H2686" s="3"/>
      <c r="I2686" s="3"/>
      <c r="J2686" s="3"/>
    </row>
    <row r="2687" spans="5:10" ht="14.4" x14ac:dyDescent="0.3">
      <c r="E2687" s="3"/>
      <c r="F2687" s="3"/>
      <c r="G2687" s="3"/>
      <c r="H2687" s="3"/>
      <c r="I2687" s="3"/>
      <c r="J2687" s="3"/>
    </row>
    <row r="2688" spans="5:10" ht="14.4" x14ac:dyDescent="0.3">
      <c r="E2688" s="3"/>
      <c r="F2688" s="3"/>
      <c r="G2688" s="3"/>
      <c r="H2688" s="3"/>
      <c r="I2688" s="3"/>
      <c r="J2688" s="3"/>
    </row>
    <row r="2689" spans="5:10" ht="14.4" x14ac:dyDescent="0.3">
      <c r="E2689" s="3"/>
      <c r="F2689" s="3"/>
      <c r="G2689" s="3"/>
      <c r="H2689" s="3"/>
      <c r="I2689" s="3"/>
      <c r="J2689" s="3"/>
    </row>
    <row r="2690" spans="5:10" ht="14.4" x14ac:dyDescent="0.3">
      <c r="E2690" s="3"/>
      <c r="F2690" s="3"/>
      <c r="G2690" s="3"/>
      <c r="H2690" s="3"/>
      <c r="I2690" s="3"/>
      <c r="J2690" s="3"/>
    </row>
    <row r="2691" spans="5:10" ht="14.4" x14ac:dyDescent="0.3">
      <c r="E2691" s="3"/>
      <c r="F2691" s="3"/>
      <c r="G2691" s="3"/>
      <c r="H2691" s="3"/>
      <c r="I2691" s="3"/>
      <c r="J2691" s="3"/>
    </row>
    <row r="2692" spans="5:10" ht="14.4" x14ac:dyDescent="0.3">
      <c r="E2692" s="3"/>
      <c r="F2692" s="3"/>
      <c r="G2692" s="3"/>
      <c r="H2692" s="3"/>
      <c r="I2692" s="3"/>
      <c r="J2692" s="3"/>
    </row>
    <row r="2693" spans="5:10" ht="14.4" x14ac:dyDescent="0.3">
      <c r="E2693" s="3"/>
      <c r="F2693" s="3"/>
      <c r="G2693" s="3"/>
      <c r="H2693" s="3"/>
      <c r="I2693" s="3"/>
      <c r="J2693" s="3"/>
    </row>
    <row r="2694" spans="5:10" ht="14.4" x14ac:dyDescent="0.3">
      <c r="E2694" s="3"/>
      <c r="F2694" s="3"/>
      <c r="G2694" s="3"/>
      <c r="H2694" s="3"/>
      <c r="I2694" s="3"/>
      <c r="J2694" s="3"/>
    </row>
    <row r="2695" spans="5:10" ht="14.4" x14ac:dyDescent="0.3">
      <c r="E2695" s="3"/>
      <c r="F2695" s="3"/>
      <c r="G2695" s="3"/>
      <c r="H2695" s="3"/>
      <c r="I2695" s="3"/>
      <c r="J2695" s="3"/>
    </row>
    <row r="2696" spans="5:10" ht="14.4" x14ac:dyDescent="0.3">
      <c r="E2696" s="3"/>
      <c r="F2696" s="3"/>
      <c r="G2696" s="3"/>
      <c r="H2696" s="3"/>
      <c r="I2696" s="3"/>
      <c r="J2696" s="3"/>
    </row>
    <row r="2697" spans="5:10" ht="14.4" x14ac:dyDescent="0.3">
      <c r="E2697" s="3"/>
      <c r="F2697" s="3"/>
      <c r="G2697" s="3"/>
      <c r="H2697" s="3"/>
      <c r="I2697" s="3"/>
      <c r="J2697" s="3"/>
    </row>
    <row r="2698" spans="5:10" ht="14.4" x14ac:dyDescent="0.3">
      <c r="E2698" s="3"/>
      <c r="F2698" s="3"/>
      <c r="G2698" s="3"/>
      <c r="H2698" s="3"/>
      <c r="I2698" s="3"/>
      <c r="J2698" s="3"/>
    </row>
    <row r="2699" spans="5:10" ht="14.4" x14ac:dyDescent="0.3">
      <c r="E2699" s="3"/>
      <c r="F2699" s="3"/>
      <c r="G2699" s="3"/>
      <c r="H2699" s="3"/>
      <c r="I2699" s="3"/>
      <c r="J2699" s="3"/>
    </row>
    <row r="2700" spans="5:10" ht="14.4" x14ac:dyDescent="0.3">
      <c r="E2700" s="3"/>
      <c r="F2700" s="3"/>
      <c r="G2700" s="3"/>
      <c r="H2700" s="3"/>
      <c r="I2700" s="3"/>
      <c r="J2700" s="3"/>
    </row>
    <row r="2701" spans="5:10" ht="14.4" x14ac:dyDescent="0.3">
      <c r="E2701" s="3"/>
      <c r="F2701" s="3"/>
      <c r="G2701" s="3"/>
      <c r="H2701" s="3"/>
      <c r="I2701" s="3"/>
      <c r="J2701" s="3"/>
    </row>
    <row r="2702" spans="5:10" ht="14.4" x14ac:dyDescent="0.3">
      <c r="E2702" s="3"/>
      <c r="F2702" s="3"/>
      <c r="G2702" s="3"/>
      <c r="H2702" s="3"/>
      <c r="I2702" s="3"/>
      <c r="J2702" s="3"/>
    </row>
    <row r="2703" spans="5:10" ht="14.4" x14ac:dyDescent="0.3">
      <c r="E2703" s="3"/>
      <c r="F2703" s="3"/>
      <c r="G2703" s="3"/>
      <c r="H2703" s="3"/>
      <c r="I2703" s="3"/>
      <c r="J2703" s="3"/>
    </row>
    <row r="2704" spans="5:10" ht="14.4" x14ac:dyDescent="0.3">
      <c r="E2704" s="3"/>
      <c r="F2704" s="3"/>
      <c r="G2704" s="3"/>
      <c r="H2704" s="3"/>
      <c r="I2704" s="3"/>
      <c r="J2704" s="3"/>
    </row>
    <row r="2705" spans="5:10" ht="14.4" x14ac:dyDescent="0.3">
      <c r="E2705" s="3"/>
      <c r="F2705" s="3"/>
      <c r="G2705" s="3"/>
      <c r="H2705" s="3"/>
      <c r="I2705" s="3"/>
      <c r="J2705" s="3"/>
    </row>
    <row r="2706" spans="5:10" ht="14.4" x14ac:dyDescent="0.3">
      <c r="E2706" s="3"/>
      <c r="F2706" s="3"/>
      <c r="G2706" s="3"/>
      <c r="H2706" s="3"/>
      <c r="I2706" s="3"/>
      <c r="J2706" s="3"/>
    </row>
    <row r="2707" spans="5:10" ht="14.4" x14ac:dyDescent="0.3">
      <c r="E2707" s="3"/>
      <c r="F2707" s="3"/>
      <c r="G2707" s="3"/>
      <c r="H2707" s="3"/>
      <c r="I2707" s="3"/>
      <c r="J2707" s="3"/>
    </row>
    <row r="2708" spans="5:10" ht="14.4" x14ac:dyDescent="0.3">
      <c r="E2708" s="3"/>
      <c r="F2708" s="3"/>
      <c r="G2708" s="3"/>
      <c r="H2708" s="3"/>
      <c r="I2708" s="3"/>
      <c r="J2708" s="3"/>
    </row>
    <row r="2709" spans="5:10" ht="14.4" x14ac:dyDescent="0.3">
      <c r="E2709" s="3"/>
      <c r="F2709" s="3"/>
      <c r="G2709" s="3"/>
      <c r="H2709" s="3"/>
      <c r="I2709" s="3"/>
      <c r="J2709" s="3"/>
    </row>
    <row r="2710" spans="5:10" ht="14.4" x14ac:dyDescent="0.3">
      <c r="E2710" s="3"/>
      <c r="F2710" s="3"/>
      <c r="G2710" s="3"/>
      <c r="H2710" s="3"/>
      <c r="I2710" s="3"/>
      <c r="J2710" s="3"/>
    </row>
    <row r="2711" spans="5:10" ht="14.4" x14ac:dyDescent="0.3">
      <c r="E2711" s="3"/>
      <c r="F2711" s="3"/>
      <c r="G2711" s="3"/>
      <c r="H2711" s="3"/>
      <c r="I2711" s="3"/>
      <c r="J2711" s="3"/>
    </row>
    <row r="2712" spans="5:10" ht="14.4" x14ac:dyDescent="0.3">
      <c r="E2712" s="3"/>
      <c r="F2712" s="3"/>
      <c r="G2712" s="3"/>
      <c r="H2712" s="3"/>
      <c r="I2712" s="3"/>
      <c r="J2712" s="3"/>
    </row>
    <row r="2713" spans="5:10" ht="14.4" x14ac:dyDescent="0.3">
      <c r="E2713" s="3"/>
      <c r="F2713" s="3"/>
      <c r="G2713" s="3"/>
      <c r="H2713" s="3"/>
      <c r="I2713" s="3"/>
      <c r="J2713" s="3"/>
    </row>
    <row r="2714" spans="5:10" ht="14.4" x14ac:dyDescent="0.3">
      <c r="E2714" s="3"/>
      <c r="F2714" s="3"/>
      <c r="G2714" s="3"/>
      <c r="H2714" s="3"/>
      <c r="I2714" s="3"/>
      <c r="J2714" s="3"/>
    </row>
    <row r="2715" spans="5:10" ht="14.4" x14ac:dyDescent="0.3">
      <c r="E2715" s="3"/>
      <c r="F2715" s="3"/>
      <c r="G2715" s="3"/>
      <c r="H2715" s="3"/>
      <c r="I2715" s="3"/>
      <c r="J2715" s="3"/>
    </row>
    <row r="2716" spans="5:10" ht="14.4" x14ac:dyDescent="0.3">
      <c r="E2716" s="3"/>
      <c r="F2716" s="3"/>
      <c r="G2716" s="3"/>
      <c r="H2716" s="3"/>
      <c r="I2716" s="3"/>
      <c r="J2716" s="3"/>
    </row>
    <row r="2717" spans="5:10" ht="14.4" x14ac:dyDescent="0.3">
      <c r="E2717" s="3"/>
      <c r="F2717" s="3"/>
      <c r="G2717" s="3"/>
      <c r="H2717" s="3"/>
      <c r="I2717" s="3"/>
      <c r="J2717" s="3"/>
    </row>
    <row r="2718" spans="5:10" ht="14.4" x14ac:dyDescent="0.3">
      <c r="E2718" s="3"/>
      <c r="F2718" s="3"/>
      <c r="G2718" s="3"/>
      <c r="H2718" s="3"/>
      <c r="I2718" s="3"/>
      <c r="J2718" s="3"/>
    </row>
    <row r="2719" spans="5:10" ht="14.4" x14ac:dyDescent="0.3">
      <c r="E2719" s="3"/>
      <c r="F2719" s="3"/>
      <c r="G2719" s="3"/>
      <c r="H2719" s="3"/>
      <c r="I2719" s="3"/>
      <c r="J2719" s="3"/>
    </row>
    <row r="2720" spans="5:10" ht="14.4" x14ac:dyDescent="0.3">
      <c r="E2720" s="3"/>
      <c r="F2720" s="3"/>
      <c r="G2720" s="3"/>
      <c r="H2720" s="3"/>
      <c r="I2720" s="3"/>
      <c r="J2720" s="3"/>
    </row>
    <row r="2721" spans="5:10" ht="14.4" x14ac:dyDescent="0.3">
      <c r="E2721" s="3"/>
      <c r="F2721" s="3"/>
      <c r="G2721" s="3"/>
      <c r="H2721" s="3"/>
      <c r="I2721" s="3"/>
      <c r="J2721" s="3"/>
    </row>
    <row r="2722" spans="5:10" ht="14.4" x14ac:dyDescent="0.3">
      <c r="E2722" s="3"/>
      <c r="F2722" s="3"/>
      <c r="G2722" s="3"/>
      <c r="H2722" s="3"/>
      <c r="I2722" s="3"/>
      <c r="J2722" s="3"/>
    </row>
    <row r="2723" spans="5:10" ht="14.4" x14ac:dyDescent="0.3">
      <c r="E2723" s="3"/>
      <c r="F2723" s="3"/>
      <c r="G2723" s="3"/>
      <c r="H2723" s="3"/>
      <c r="I2723" s="3"/>
      <c r="J2723" s="3"/>
    </row>
    <row r="2724" spans="5:10" ht="14.4" x14ac:dyDescent="0.3">
      <c r="E2724" s="3"/>
      <c r="F2724" s="3"/>
      <c r="G2724" s="3"/>
      <c r="H2724" s="3"/>
      <c r="I2724" s="3"/>
      <c r="J2724" s="3"/>
    </row>
    <row r="2725" spans="5:10" ht="14.4" x14ac:dyDescent="0.3">
      <c r="E2725" s="3"/>
      <c r="F2725" s="3"/>
      <c r="G2725" s="3"/>
      <c r="H2725" s="3"/>
      <c r="I2725" s="3"/>
      <c r="J2725" s="3"/>
    </row>
    <row r="2726" spans="5:10" ht="14.4" x14ac:dyDescent="0.3">
      <c r="E2726" s="3"/>
      <c r="F2726" s="3"/>
      <c r="G2726" s="3"/>
      <c r="H2726" s="3"/>
      <c r="I2726" s="3"/>
      <c r="J2726" s="3"/>
    </row>
    <row r="2727" spans="5:10" ht="14.4" x14ac:dyDescent="0.3">
      <c r="E2727" s="3"/>
      <c r="F2727" s="3"/>
      <c r="G2727" s="3"/>
      <c r="H2727" s="3"/>
      <c r="I2727" s="3"/>
      <c r="J2727" s="3"/>
    </row>
    <row r="2728" spans="5:10" ht="14.4" x14ac:dyDescent="0.3">
      <c r="E2728" s="3"/>
      <c r="F2728" s="3"/>
      <c r="G2728" s="3"/>
      <c r="H2728" s="3"/>
      <c r="I2728" s="3"/>
      <c r="J2728" s="3"/>
    </row>
    <row r="2729" spans="5:10" ht="14.4" x14ac:dyDescent="0.3">
      <c r="E2729" s="3"/>
      <c r="F2729" s="3"/>
      <c r="G2729" s="3"/>
      <c r="H2729" s="3"/>
      <c r="I2729" s="3"/>
      <c r="J2729" s="3"/>
    </row>
    <row r="2730" spans="5:10" ht="14.4" x14ac:dyDescent="0.3">
      <c r="E2730" s="3"/>
      <c r="F2730" s="3"/>
      <c r="G2730" s="3"/>
      <c r="H2730" s="3"/>
      <c r="I2730" s="3"/>
      <c r="J2730" s="3"/>
    </row>
    <row r="2731" spans="5:10" ht="14.4" x14ac:dyDescent="0.3">
      <c r="E2731" s="3"/>
      <c r="F2731" s="3"/>
      <c r="G2731" s="3"/>
      <c r="H2731" s="3"/>
      <c r="I2731" s="3"/>
      <c r="J2731" s="3"/>
    </row>
    <row r="2732" spans="5:10" ht="14.4" x14ac:dyDescent="0.3">
      <c r="E2732" s="3"/>
      <c r="F2732" s="3"/>
      <c r="G2732" s="3"/>
      <c r="H2732" s="3"/>
      <c r="I2732" s="3"/>
      <c r="J2732" s="3"/>
    </row>
    <row r="2733" spans="5:10" ht="14.4" x14ac:dyDescent="0.3">
      <c r="E2733" s="3"/>
      <c r="F2733" s="3"/>
      <c r="G2733" s="3"/>
      <c r="H2733" s="3"/>
      <c r="I2733" s="3"/>
      <c r="J2733" s="3"/>
    </row>
    <row r="2734" spans="5:10" ht="14.4" x14ac:dyDescent="0.3">
      <c r="E2734" s="3"/>
      <c r="F2734" s="3"/>
      <c r="G2734" s="3"/>
      <c r="H2734" s="3"/>
      <c r="I2734" s="3"/>
      <c r="J2734" s="3"/>
    </row>
    <row r="2735" spans="5:10" ht="14.4" x14ac:dyDescent="0.3">
      <c r="E2735" s="3"/>
      <c r="F2735" s="3"/>
      <c r="G2735" s="3"/>
      <c r="H2735" s="3"/>
      <c r="I2735" s="3"/>
      <c r="J2735" s="3"/>
    </row>
    <row r="2736" spans="5:10" ht="14.4" x14ac:dyDescent="0.3">
      <c r="E2736" s="3"/>
      <c r="F2736" s="3"/>
      <c r="G2736" s="3"/>
      <c r="H2736" s="3"/>
      <c r="I2736" s="3"/>
      <c r="J2736" s="3"/>
    </row>
    <row r="2737" spans="5:10" ht="14.4" x14ac:dyDescent="0.3">
      <c r="E2737" s="3"/>
      <c r="F2737" s="3"/>
      <c r="G2737" s="3"/>
      <c r="H2737" s="3"/>
      <c r="I2737" s="3"/>
      <c r="J2737" s="3"/>
    </row>
    <row r="2738" spans="5:10" ht="14.4" x14ac:dyDescent="0.3">
      <c r="E2738" s="3"/>
      <c r="F2738" s="3"/>
      <c r="G2738" s="3"/>
      <c r="H2738" s="3"/>
      <c r="I2738" s="3"/>
      <c r="J2738" s="3"/>
    </row>
    <row r="2739" spans="5:10" ht="14.4" x14ac:dyDescent="0.3">
      <c r="E2739" s="3"/>
      <c r="F2739" s="3"/>
      <c r="G2739" s="3"/>
      <c r="H2739" s="3"/>
      <c r="I2739" s="3"/>
      <c r="J2739" s="3"/>
    </row>
    <row r="2740" spans="5:10" ht="14.4" x14ac:dyDescent="0.3">
      <c r="E2740" s="3"/>
      <c r="F2740" s="3"/>
      <c r="G2740" s="3"/>
      <c r="H2740" s="3"/>
      <c r="I2740" s="3"/>
      <c r="J2740" s="3"/>
    </row>
    <row r="2741" spans="5:10" ht="14.4" x14ac:dyDescent="0.3">
      <c r="E2741" s="3"/>
      <c r="F2741" s="3"/>
      <c r="G2741" s="3"/>
      <c r="H2741" s="3"/>
      <c r="I2741" s="3"/>
      <c r="J2741" s="3"/>
    </row>
    <row r="2742" spans="5:10" ht="14.4" x14ac:dyDescent="0.3">
      <c r="E2742" s="3"/>
      <c r="F2742" s="3"/>
      <c r="G2742" s="3"/>
      <c r="H2742" s="3"/>
      <c r="I2742" s="3"/>
      <c r="J2742" s="3"/>
    </row>
    <row r="2743" spans="5:10" ht="14.4" x14ac:dyDescent="0.3">
      <c r="E2743" s="3"/>
      <c r="F2743" s="3"/>
      <c r="G2743" s="3"/>
      <c r="H2743" s="3"/>
      <c r="I2743" s="3"/>
      <c r="J2743" s="3"/>
    </row>
    <row r="2744" spans="5:10" ht="14.4" x14ac:dyDescent="0.3">
      <c r="E2744" s="3"/>
      <c r="F2744" s="3"/>
      <c r="G2744" s="3"/>
      <c r="H2744" s="3"/>
      <c r="I2744" s="3"/>
      <c r="J2744" s="3"/>
    </row>
    <row r="2745" spans="5:10" ht="14.4" x14ac:dyDescent="0.3">
      <c r="E2745" s="3"/>
      <c r="F2745" s="3"/>
      <c r="G2745" s="3"/>
      <c r="H2745" s="3"/>
      <c r="I2745" s="3"/>
      <c r="J2745" s="3"/>
    </row>
    <row r="2746" spans="5:10" ht="14.4" x14ac:dyDescent="0.3">
      <c r="E2746" s="3"/>
      <c r="F2746" s="3"/>
      <c r="G2746" s="3"/>
      <c r="H2746" s="3"/>
      <c r="I2746" s="3"/>
      <c r="J2746" s="3"/>
    </row>
    <row r="2747" spans="5:10" ht="14.4" x14ac:dyDescent="0.3">
      <c r="E2747" s="3"/>
      <c r="F2747" s="3"/>
      <c r="G2747" s="3"/>
      <c r="H2747" s="3"/>
      <c r="I2747" s="3"/>
      <c r="J2747" s="3"/>
    </row>
    <row r="2748" spans="5:10" ht="14.4" x14ac:dyDescent="0.3">
      <c r="E2748" s="3"/>
      <c r="F2748" s="3"/>
      <c r="G2748" s="3"/>
      <c r="H2748" s="3"/>
      <c r="I2748" s="3"/>
      <c r="J2748" s="3"/>
    </row>
    <row r="2749" spans="5:10" ht="14.4" x14ac:dyDescent="0.3">
      <c r="E2749" s="3"/>
      <c r="F2749" s="3"/>
      <c r="G2749" s="3"/>
      <c r="H2749" s="3"/>
      <c r="I2749" s="3"/>
      <c r="J2749" s="3"/>
    </row>
    <row r="2750" spans="5:10" ht="14.4" x14ac:dyDescent="0.3">
      <c r="E2750" s="3"/>
      <c r="F2750" s="3"/>
      <c r="G2750" s="3"/>
      <c r="H2750" s="3"/>
      <c r="I2750" s="3"/>
      <c r="J2750" s="3"/>
    </row>
    <row r="2751" spans="5:10" ht="14.4" x14ac:dyDescent="0.3">
      <c r="E2751" s="3"/>
      <c r="F2751" s="3"/>
      <c r="G2751" s="3"/>
      <c r="H2751" s="3"/>
      <c r="I2751" s="3"/>
      <c r="J2751" s="3"/>
    </row>
    <row r="2752" spans="5:10" ht="14.4" x14ac:dyDescent="0.3">
      <c r="E2752" s="3"/>
      <c r="F2752" s="3"/>
      <c r="G2752" s="3"/>
      <c r="H2752" s="3"/>
      <c r="I2752" s="3"/>
      <c r="J2752" s="3"/>
    </row>
    <row r="2753" spans="5:10" ht="14.4" x14ac:dyDescent="0.3">
      <c r="E2753" s="3"/>
      <c r="F2753" s="3"/>
      <c r="G2753" s="3"/>
      <c r="H2753" s="3"/>
      <c r="I2753" s="3"/>
      <c r="J2753" s="3"/>
    </row>
    <row r="2754" spans="5:10" ht="14.4" x14ac:dyDescent="0.3">
      <c r="E2754" s="3"/>
      <c r="F2754" s="3"/>
      <c r="G2754" s="3"/>
      <c r="H2754" s="3"/>
      <c r="I2754" s="3"/>
      <c r="J2754" s="3"/>
    </row>
    <row r="2755" spans="5:10" ht="14.4" x14ac:dyDescent="0.3">
      <c r="E2755" s="3"/>
      <c r="F2755" s="3"/>
      <c r="G2755" s="3"/>
      <c r="H2755" s="3"/>
      <c r="I2755" s="3"/>
      <c r="J2755" s="3"/>
    </row>
    <row r="2756" spans="5:10" ht="14.4" x14ac:dyDescent="0.3">
      <c r="E2756" s="3"/>
      <c r="F2756" s="3"/>
      <c r="G2756" s="3"/>
      <c r="H2756" s="3"/>
      <c r="I2756" s="3"/>
      <c r="J2756" s="3"/>
    </row>
    <row r="2757" spans="5:10" ht="14.4" x14ac:dyDescent="0.3">
      <c r="E2757" s="3"/>
      <c r="F2757" s="3"/>
      <c r="G2757" s="3"/>
      <c r="H2757" s="3"/>
      <c r="I2757" s="3"/>
      <c r="J2757" s="3"/>
    </row>
    <row r="2758" spans="5:10" ht="14.4" x14ac:dyDescent="0.3">
      <c r="E2758" s="3"/>
      <c r="F2758" s="3"/>
      <c r="G2758" s="3"/>
      <c r="H2758" s="3"/>
      <c r="I2758" s="3"/>
      <c r="J2758" s="3"/>
    </row>
    <row r="2759" spans="5:10" ht="14.4" x14ac:dyDescent="0.3">
      <c r="E2759" s="3"/>
      <c r="F2759" s="3"/>
      <c r="G2759" s="3"/>
      <c r="H2759" s="3"/>
      <c r="I2759" s="3"/>
      <c r="J2759" s="3"/>
    </row>
    <row r="2760" spans="5:10" ht="14.4" x14ac:dyDescent="0.3">
      <c r="E2760" s="3"/>
      <c r="F2760" s="3"/>
      <c r="G2760" s="3"/>
      <c r="H2760" s="3"/>
      <c r="I2760" s="3"/>
      <c r="J2760" s="3"/>
    </row>
    <row r="2761" spans="5:10" ht="14.4" x14ac:dyDescent="0.3">
      <c r="E2761" s="3"/>
      <c r="F2761" s="3"/>
      <c r="G2761" s="3"/>
      <c r="H2761" s="3"/>
      <c r="I2761" s="3"/>
      <c r="J2761" s="3"/>
    </row>
    <row r="2762" spans="5:10" ht="14.4" x14ac:dyDescent="0.3">
      <c r="E2762" s="3"/>
      <c r="F2762" s="3"/>
      <c r="G2762" s="3"/>
      <c r="H2762" s="3"/>
      <c r="I2762" s="3"/>
      <c r="J2762" s="3"/>
    </row>
    <row r="2763" spans="5:10" ht="14.4" x14ac:dyDescent="0.3">
      <c r="E2763" s="3"/>
      <c r="F2763" s="3"/>
      <c r="G2763" s="3"/>
      <c r="H2763" s="3"/>
      <c r="I2763" s="3"/>
      <c r="J2763" s="3"/>
    </row>
    <row r="2764" spans="5:10" ht="14.4" x14ac:dyDescent="0.3">
      <c r="E2764" s="3"/>
      <c r="F2764" s="3"/>
      <c r="G2764" s="3"/>
      <c r="H2764" s="3"/>
      <c r="I2764" s="3"/>
      <c r="J2764" s="3"/>
    </row>
    <row r="2765" spans="5:10" ht="14.4" x14ac:dyDescent="0.3">
      <c r="E2765" s="3"/>
      <c r="F2765" s="3"/>
      <c r="G2765" s="3"/>
      <c r="H2765" s="3"/>
      <c r="I2765" s="3"/>
      <c r="J2765" s="3"/>
    </row>
    <row r="2766" spans="5:10" ht="14.4" x14ac:dyDescent="0.3">
      <c r="E2766" s="3"/>
      <c r="F2766" s="3"/>
      <c r="G2766" s="3"/>
      <c r="H2766" s="3"/>
      <c r="I2766" s="3"/>
      <c r="J2766" s="3"/>
    </row>
    <row r="2767" spans="5:10" ht="14.4" x14ac:dyDescent="0.3">
      <c r="E2767" s="3"/>
      <c r="F2767" s="3"/>
      <c r="G2767" s="3"/>
      <c r="H2767" s="3"/>
      <c r="I2767" s="3"/>
      <c r="J2767" s="3"/>
    </row>
    <row r="2768" spans="5:10" ht="14.4" x14ac:dyDescent="0.3">
      <c r="E2768" s="3"/>
      <c r="F2768" s="3"/>
      <c r="G2768" s="3"/>
      <c r="H2768" s="3"/>
      <c r="I2768" s="3"/>
      <c r="J2768" s="3"/>
    </row>
    <row r="2769" spans="5:10" ht="14.4" x14ac:dyDescent="0.3">
      <c r="E2769" s="3"/>
      <c r="F2769" s="3"/>
      <c r="G2769" s="3"/>
      <c r="H2769" s="3"/>
      <c r="I2769" s="3"/>
      <c r="J2769" s="3"/>
    </row>
    <row r="2770" spans="5:10" ht="14.4" x14ac:dyDescent="0.3">
      <c r="E2770" s="3"/>
      <c r="F2770" s="3"/>
      <c r="G2770" s="3"/>
      <c r="H2770" s="3"/>
      <c r="I2770" s="3"/>
      <c r="J2770" s="3"/>
    </row>
    <row r="2771" spans="5:10" ht="14.4" x14ac:dyDescent="0.3">
      <c r="E2771" s="3"/>
      <c r="F2771" s="3"/>
      <c r="G2771" s="3"/>
      <c r="H2771" s="3"/>
      <c r="I2771" s="3"/>
      <c r="J2771" s="3"/>
    </row>
    <row r="2772" spans="5:10" ht="14.4" x14ac:dyDescent="0.3">
      <c r="E2772" s="3"/>
      <c r="F2772" s="3"/>
      <c r="G2772" s="3"/>
      <c r="H2772" s="3"/>
      <c r="I2772" s="3"/>
      <c r="J2772" s="3"/>
    </row>
    <row r="2773" spans="5:10" ht="14.4" x14ac:dyDescent="0.3">
      <c r="E2773" s="3"/>
      <c r="F2773" s="3"/>
      <c r="G2773" s="3"/>
      <c r="H2773" s="3"/>
      <c r="I2773" s="3"/>
      <c r="J2773" s="3"/>
    </row>
    <row r="2774" spans="5:10" ht="14.4" x14ac:dyDescent="0.3">
      <c r="E2774" s="3"/>
      <c r="F2774" s="3"/>
      <c r="G2774" s="3"/>
      <c r="H2774" s="3"/>
      <c r="I2774" s="3"/>
      <c r="J2774" s="3"/>
    </row>
    <row r="2775" spans="5:10" ht="14.4" x14ac:dyDescent="0.3">
      <c r="E2775" s="3"/>
      <c r="F2775" s="3"/>
      <c r="G2775" s="3"/>
      <c r="H2775" s="3"/>
      <c r="I2775" s="3"/>
      <c r="J2775" s="3"/>
    </row>
    <row r="2776" spans="5:10" ht="14.4" x14ac:dyDescent="0.3">
      <c r="E2776" s="3"/>
      <c r="F2776" s="3"/>
      <c r="G2776" s="3"/>
      <c r="H2776" s="3"/>
      <c r="I2776" s="3"/>
      <c r="J2776" s="3"/>
    </row>
    <row r="2777" spans="5:10" ht="14.4" x14ac:dyDescent="0.3">
      <c r="E2777" s="3"/>
      <c r="F2777" s="3"/>
      <c r="G2777" s="3"/>
      <c r="H2777" s="3"/>
      <c r="I2777" s="3"/>
      <c r="J2777" s="3"/>
    </row>
    <row r="2778" spans="5:10" ht="14.4" x14ac:dyDescent="0.3">
      <c r="E2778" s="3"/>
      <c r="F2778" s="3"/>
      <c r="G2778" s="3"/>
      <c r="H2778" s="3"/>
      <c r="I2778" s="3"/>
      <c r="J2778" s="3"/>
    </row>
    <row r="2779" spans="5:10" ht="14.4" x14ac:dyDescent="0.3">
      <c r="E2779" s="3"/>
      <c r="F2779" s="3"/>
      <c r="G2779" s="3"/>
      <c r="H2779" s="3"/>
      <c r="I2779" s="3"/>
      <c r="J2779" s="3"/>
    </row>
    <row r="2780" spans="5:10" ht="14.4" x14ac:dyDescent="0.3">
      <c r="E2780" s="3"/>
      <c r="F2780" s="3"/>
      <c r="G2780" s="3"/>
      <c r="H2780" s="3"/>
      <c r="I2780" s="3"/>
      <c r="J2780" s="3"/>
    </row>
    <row r="2781" spans="5:10" ht="14.4" x14ac:dyDescent="0.3">
      <c r="E2781" s="3"/>
      <c r="F2781" s="3"/>
      <c r="G2781" s="3"/>
      <c r="H2781" s="3"/>
      <c r="I2781" s="3"/>
      <c r="J2781" s="3"/>
    </row>
    <row r="2782" spans="5:10" ht="14.4" x14ac:dyDescent="0.3">
      <c r="E2782" s="3"/>
      <c r="F2782" s="3"/>
      <c r="G2782" s="3"/>
      <c r="H2782" s="3"/>
      <c r="I2782" s="3"/>
      <c r="J2782" s="3"/>
    </row>
    <row r="2783" spans="5:10" ht="14.4" x14ac:dyDescent="0.3">
      <c r="E2783" s="3"/>
      <c r="F2783" s="3"/>
      <c r="G2783" s="3"/>
      <c r="H2783" s="3"/>
      <c r="I2783" s="3"/>
      <c r="J2783" s="3"/>
    </row>
    <row r="2784" spans="5:10" ht="14.4" x14ac:dyDescent="0.3">
      <c r="E2784" s="3"/>
      <c r="F2784" s="3"/>
      <c r="G2784" s="3"/>
      <c r="H2784" s="3"/>
      <c r="I2784" s="3"/>
      <c r="J2784" s="3"/>
    </row>
    <row r="2785" spans="5:10" ht="14.4" x14ac:dyDescent="0.3">
      <c r="E2785" s="3"/>
      <c r="F2785" s="3"/>
      <c r="G2785" s="3"/>
      <c r="H2785" s="3"/>
      <c r="I2785" s="3"/>
      <c r="J2785" s="3"/>
    </row>
    <row r="2786" spans="5:10" ht="14.4" x14ac:dyDescent="0.3">
      <c r="E2786" s="3"/>
      <c r="F2786" s="3"/>
      <c r="G2786" s="3"/>
      <c r="H2786" s="3"/>
      <c r="I2786" s="3"/>
      <c r="J2786" s="3"/>
    </row>
    <row r="2787" spans="5:10" ht="14.4" x14ac:dyDescent="0.3">
      <c r="E2787" s="3"/>
      <c r="F2787" s="3"/>
      <c r="G2787" s="3"/>
      <c r="H2787" s="3"/>
      <c r="I2787" s="3"/>
      <c r="J2787" s="3"/>
    </row>
    <row r="2788" spans="5:10" ht="14.4" x14ac:dyDescent="0.3">
      <c r="E2788" s="3"/>
      <c r="F2788" s="3"/>
      <c r="G2788" s="3"/>
      <c r="H2788" s="3"/>
      <c r="I2788" s="3"/>
      <c r="J2788" s="3"/>
    </row>
    <row r="2789" spans="5:10" ht="14.4" x14ac:dyDescent="0.3">
      <c r="E2789" s="3"/>
      <c r="F2789" s="3"/>
      <c r="G2789" s="3"/>
      <c r="H2789" s="3"/>
      <c r="I2789" s="3"/>
      <c r="J2789" s="3"/>
    </row>
    <row r="2790" spans="5:10" ht="14.4" x14ac:dyDescent="0.3">
      <c r="E2790" s="3"/>
      <c r="F2790" s="3"/>
      <c r="G2790" s="3"/>
      <c r="H2790" s="3"/>
      <c r="I2790" s="3"/>
      <c r="J2790" s="3"/>
    </row>
    <row r="2791" spans="5:10" ht="14.4" x14ac:dyDescent="0.3">
      <c r="E2791" s="3"/>
      <c r="F2791" s="3"/>
      <c r="G2791" s="3"/>
      <c r="H2791" s="3"/>
      <c r="I2791" s="3"/>
      <c r="J2791" s="3"/>
    </row>
    <row r="2792" spans="5:10" ht="14.4" x14ac:dyDescent="0.3">
      <c r="E2792" s="3"/>
      <c r="F2792" s="3"/>
      <c r="G2792" s="3"/>
      <c r="H2792" s="3"/>
      <c r="I2792" s="3"/>
      <c r="J2792" s="3"/>
    </row>
    <row r="2793" spans="5:10" ht="14.4" x14ac:dyDescent="0.3">
      <c r="E2793" s="3"/>
      <c r="F2793" s="3"/>
      <c r="G2793" s="3"/>
      <c r="H2793" s="3"/>
      <c r="I2793" s="3"/>
      <c r="J2793" s="3"/>
    </row>
    <row r="2794" spans="5:10" ht="14.4" x14ac:dyDescent="0.3">
      <c r="E2794" s="3"/>
      <c r="F2794" s="3"/>
      <c r="G2794" s="3"/>
      <c r="H2794" s="3"/>
      <c r="I2794" s="3"/>
      <c r="J2794" s="3"/>
    </row>
    <row r="2795" spans="5:10" ht="14.4" x14ac:dyDescent="0.3">
      <c r="E2795" s="3"/>
      <c r="F2795" s="3"/>
      <c r="G2795" s="3"/>
      <c r="H2795" s="3"/>
      <c r="I2795" s="3"/>
      <c r="J2795" s="3"/>
    </row>
    <row r="2796" spans="5:10" ht="14.4" x14ac:dyDescent="0.3">
      <c r="E2796" s="3"/>
      <c r="F2796" s="3"/>
      <c r="G2796" s="3"/>
      <c r="H2796" s="3"/>
      <c r="I2796" s="3"/>
      <c r="J2796" s="3"/>
    </row>
    <row r="2797" spans="5:10" ht="14.4" x14ac:dyDescent="0.3">
      <c r="E2797" s="3"/>
      <c r="F2797" s="3"/>
      <c r="G2797" s="3"/>
      <c r="H2797" s="3"/>
      <c r="I2797" s="3"/>
      <c r="J2797" s="3"/>
    </row>
    <row r="2798" spans="5:10" ht="14.4" x14ac:dyDescent="0.3">
      <c r="E2798" s="3"/>
      <c r="F2798" s="3"/>
      <c r="G2798" s="3"/>
      <c r="H2798" s="3"/>
      <c r="I2798" s="3"/>
      <c r="J2798" s="3"/>
    </row>
    <row r="2799" spans="5:10" ht="14.4" x14ac:dyDescent="0.3">
      <c r="E2799" s="3"/>
      <c r="F2799" s="3"/>
      <c r="G2799" s="3"/>
      <c r="H2799" s="3"/>
      <c r="I2799" s="3"/>
      <c r="J2799" s="3"/>
    </row>
    <row r="2800" spans="5:10" ht="14.4" x14ac:dyDescent="0.3">
      <c r="E2800" s="3"/>
      <c r="F2800" s="3"/>
      <c r="G2800" s="3"/>
      <c r="H2800" s="3"/>
      <c r="I2800" s="3"/>
      <c r="J2800" s="3"/>
    </row>
    <row r="2801" spans="5:10" ht="14.4" x14ac:dyDescent="0.3">
      <c r="E2801" s="3"/>
      <c r="F2801" s="3"/>
      <c r="G2801" s="3"/>
      <c r="H2801" s="3"/>
      <c r="I2801" s="3"/>
      <c r="J2801" s="3"/>
    </row>
    <row r="2802" spans="5:10" ht="14.4" x14ac:dyDescent="0.3">
      <c r="E2802" s="3"/>
      <c r="F2802" s="3"/>
      <c r="G2802" s="3"/>
      <c r="H2802" s="3"/>
      <c r="I2802" s="3"/>
      <c r="J2802" s="3"/>
    </row>
    <row r="2803" spans="5:10" ht="14.4" x14ac:dyDescent="0.3">
      <c r="E2803" s="3"/>
      <c r="F2803" s="3"/>
      <c r="G2803" s="3"/>
      <c r="H2803" s="3"/>
      <c r="I2803" s="3"/>
      <c r="J2803" s="3"/>
    </row>
    <row r="2804" spans="5:10" ht="14.4" x14ac:dyDescent="0.3">
      <c r="E2804" s="3"/>
      <c r="F2804" s="3"/>
      <c r="G2804" s="3"/>
      <c r="H2804" s="3"/>
      <c r="I2804" s="3"/>
      <c r="J2804" s="3"/>
    </row>
    <row r="2805" spans="5:10" ht="14.4" x14ac:dyDescent="0.3">
      <c r="E2805" s="3"/>
      <c r="F2805" s="3"/>
      <c r="G2805" s="3"/>
      <c r="H2805" s="3"/>
      <c r="I2805" s="3"/>
      <c r="J2805" s="3"/>
    </row>
    <row r="2806" spans="5:10" ht="14.4" x14ac:dyDescent="0.3">
      <c r="E2806" s="3"/>
      <c r="F2806" s="3"/>
      <c r="G2806" s="3"/>
      <c r="H2806" s="3"/>
      <c r="I2806" s="3"/>
      <c r="J2806" s="3"/>
    </row>
    <row r="2807" spans="5:10" ht="14.4" x14ac:dyDescent="0.3">
      <c r="E2807" s="3"/>
      <c r="F2807" s="3"/>
      <c r="G2807" s="3"/>
      <c r="H2807" s="3"/>
      <c r="I2807" s="3"/>
      <c r="J2807" s="3"/>
    </row>
    <row r="2808" spans="5:10" ht="14.4" x14ac:dyDescent="0.3">
      <c r="E2808" s="3"/>
      <c r="F2808" s="3"/>
      <c r="G2808" s="3"/>
      <c r="H2808" s="3"/>
      <c r="I2808" s="3"/>
      <c r="J2808" s="3"/>
    </row>
    <row r="2809" spans="5:10" ht="14.4" x14ac:dyDescent="0.3">
      <c r="E2809" s="3"/>
      <c r="F2809" s="3"/>
      <c r="G2809" s="3"/>
      <c r="H2809" s="3"/>
      <c r="I2809" s="3"/>
      <c r="J2809" s="3"/>
    </row>
    <row r="2810" spans="5:10" ht="14.4" x14ac:dyDescent="0.3">
      <c r="E2810" s="3"/>
      <c r="F2810" s="3"/>
      <c r="G2810" s="3"/>
      <c r="H2810" s="3"/>
      <c r="I2810" s="3"/>
      <c r="J2810" s="3"/>
    </row>
    <row r="2811" spans="5:10" ht="14.4" x14ac:dyDescent="0.3">
      <c r="E2811" s="3"/>
      <c r="F2811" s="3"/>
      <c r="G2811" s="3"/>
      <c r="H2811" s="3"/>
      <c r="I2811" s="3"/>
      <c r="J2811" s="3"/>
    </row>
    <row r="2812" spans="5:10" ht="14.4" x14ac:dyDescent="0.3">
      <c r="E2812" s="3"/>
      <c r="F2812" s="3"/>
      <c r="G2812" s="3"/>
      <c r="H2812" s="3"/>
      <c r="I2812" s="3"/>
      <c r="J2812" s="3"/>
    </row>
    <row r="2813" spans="5:10" ht="14.4" x14ac:dyDescent="0.3">
      <c r="E2813" s="3"/>
      <c r="F2813" s="3"/>
      <c r="G2813" s="3"/>
      <c r="H2813" s="3"/>
      <c r="I2813" s="3"/>
      <c r="J2813" s="3"/>
    </row>
    <row r="2814" spans="5:10" ht="14.4" x14ac:dyDescent="0.3">
      <c r="E2814" s="3"/>
      <c r="F2814" s="3"/>
      <c r="G2814" s="3"/>
      <c r="H2814" s="3"/>
      <c r="I2814" s="3"/>
      <c r="J2814" s="3"/>
    </row>
    <row r="2815" spans="5:10" ht="14.4" x14ac:dyDescent="0.3">
      <c r="E2815" s="3"/>
      <c r="F2815" s="3"/>
      <c r="G2815" s="3"/>
      <c r="H2815" s="3"/>
      <c r="I2815" s="3"/>
      <c r="J2815" s="3"/>
    </row>
    <row r="2816" spans="5:10" ht="14.4" x14ac:dyDescent="0.3">
      <c r="E2816" s="3"/>
      <c r="F2816" s="3"/>
      <c r="G2816" s="3"/>
      <c r="H2816" s="3"/>
      <c r="I2816" s="3"/>
      <c r="J2816" s="3"/>
    </row>
    <row r="2817" spans="5:10" ht="14.4" x14ac:dyDescent="0.3">
      <c r="E2817" s="3"/>
      <c r="F2817" s="3"/>
      <c r="G2817" s="3"/>
      <c r="H2817" s="3"/>
      <c r="I2817" s="3"/>
      <c r="J2817" s="3"/>
    </row>
    <row r="2818" spans="5:10" ht="14.4" x14ac:dyDescent="0.3">
      <c r="E2818" s="3"/>
      <c r="F2818" s="3"/>
      <c r="G2818" s="3"/>
      <c r="H2818" s="3"/>
      <c r="I2818" s="3"/>
      <c r="J2818" s="3"/>
    </row>
    <row r="2819" spans="5:10" ht="14.4" x14ac:dyDescent="0.3">
      <c r="E2819" s="3"/>
      <c r="F2819" s="3"/>
      <c r="G2819" s="3"/>
      <c r="H2819" s="3"/>
      <c r="I2819" s="3"/>
      <c r="J2819" s="3"/>
    </row>
    <row r="2820" spans="5:10" ht="14.4" x14ac:dyDescent="0.3">
      <c r="E2820" s="3"/>
      <c r="F2820" s="3"/>
      <c r="G2820" s="3"/>
      <c r="H2820" s="3"/>
      <c r="I2820" s="3"/>
      <c r="J2820" s="3"/>
    </row>
    <row r="2821" spans="5:10" ht="14.4" x14ac:dyDescent="0.3">
      <c r="E2821" s="3"/>
      <c r="F2821" s="3"/>
      <c r="G2821" s="3"/>
      <c r="H2821" s="3"/>
      <c r="I2821" s="3"/>
      <c r="J2821" s="3"/>
    </row>
    <row r="2822" spans="5:10" ht="14.4" x14ac:dyDescent="0.3">
      <c r="E2822" s="3"/>
      <c r="F2822" s="3"/>
      <c r="G2822" s="3"/>
      <c r="H2822" s="3"/>
      <c r="I2822" s="3"/>
      <c r="J2822" s="3"/>
    </row>
    <row r="2823" spans="5:10" ht="14.4" x14ac:dyDescent="0.3">
      <c r="E2823" s="3"/>
      <c r="F2823" s="3"/>
      <c r="G2823" s="3"/>
      <c r="H2823" s="3"/>
      <c r="I2823" s="3"/>
      <c r="J2823" s="3"/>
    </row>
    <row r="2824" spans="5:10" ht="14.4" x14ac:dyDescent="0.3">
      <c r="E2824" s="3"/>
      <c r="F2824" s="3"/>
      <c r="G2824" s="3"/>
      <c r="H2824" s="3"/>
      <c r="I2824" s="3"/>
      <c r="J2824" s="3"/>
    </row>
    <row r="2825" spans="5:10" ht="14.4" x14ac:dyDescent="0.3">
      <c r="E2825" s="3"/>
      <c r="F2825" s="3"/>
      <c r="G2825" s="3"/>
      <c r="H2825" s="3"/>
      <c r="I2825" s="3"/>
      <c r="J2825" s="3"/>
    </row>
    <row r="2826" spans="5:10" ht="14.4" x14ac:dyDescent="0.3">
      <c r="E2826" s="3"/>
      <c r="F2826" s="3"/>
      <c r="G2826" s="3"/>
      <c r="H2826" s="3"/>
      <c r="I2826" s="3"/>
      <c r="J2826" s="3"/>
    </row>
    <row r="2827" spans="5:10" ht="14.4" x14ac:dyDescent="0.3">
      <c r="E2827" s="3"/>
      <c r="F2827" s="3"/>
      <c r="G2827" s="3"/>
      <c r="H2827" s="3"/>
      <c r="I2827" s="3"/>
      <c r="J2827" s="3"/>
    </row>
    <row r="2828" spans="5:10" ht="14.4" x14ac:dyDescent="0.3">
      <c r="E2828" s="3"/>
      <c r="F2828" s="3"/>
      <c r="G2828" s="3"/>
      <c r="H2828" s="3"/>
      <c r="I2828" s="3"/>
      <c r="J2828" s="3"/>
    </row>
    <row r="2829" spans="5:10" ht="14.4" x14ac:dyDescent="0.3">
      <c r="E2829" s="3"/>
      <c r="F2829" s="3"/>
      <c r="G2829" s="3"/>
      <c r="H2829" s="3"/>
      <c r="I2829" s="3"/>
      <c r="J2829" s="3"/>
    </row>
    <row r="2830" spans="5:10" ht="14.4" x14ac:dyDescent="0.3">
      <c r="E2830" s="3"/>
      <c r="F2830" s="3"/>
      <c r="G2830" s="3"/>
      <c r="H2830" s="3"/>
      <c r="I2830" s="3"/>
      <c r="J2830" s="3"/>
    </row>
    <row r="2831" spans="5:10" ht="14.4" x14ac:dyDescent="0.3">
      <c r="E2831" s="3"/>
      <c r="F2831" s="3"/>
      <c r="G2831" s="3"/>
      <c r="H2831" s="3"/>
      <c r="I2831" s="3"/>
      <c r="J2831" s="3"/>
    </row>
    <row r="2832" spans="5:10" ht="14.4" x14ac:dyDescent="0.3">
      <c r="E2832" s="3"/>
      <c r="F2832" s="3"/>
      <c r="G2832" s="3"/>
      <c r="H2832" s="3"/>
      <c r="I2832" s="3"/>
      <c r="J2832" s="3"/>
    </row>
    <row r="2833" spans="5:10" ht="14.4" x14ac:dyDescent="0.3">
      <c r="E2833" s="3"/>
      <c r="F2833" s="3"/>
      <c r="G2833" s="3"/>
      <c r="H2833" s="3"/>
      <c r="I2833" s="3"/>
      <c r="J2833" s="3"/>
    </row>
    <row r="2834" spans="5:10" ht="14.4" x14ac:dyDescent="0.3">
      <c r="E2834" s="3"/>
      <c r="F2834" s="3"/>
      <c r="G2834" s="3"/>
      <c r="H2834" s="3"/>
      <c r="I2834" s="3"/>
      <c r="J2834" s="3"/>
    </row>
    <row r="2835" spans="5:10" ht="14.4" x14ac:dyDescent="0.3">
      <c r="E2835" s="3"/>
      <c r="F2835" s="3"/>
      <c r="G2835" s="3"/>
      <c r="H2835" s="3"/>
      <c r="I2835" s="3"/>
      <c r="J2835" s="3"/>
    </row>
    <row r="2836" spans="5:10" ht="14.4" x14ac:dyDescent="0.3">
      <c r="E2836" s="3"/>
      <c r="F2836" s="3"/>
      <c r="G2836" s="3"/>
      <c r="H2836" s="3"/>
      <c r="I2836" s="3"/>
      <c r="J2836" s="3"/>
    </row>
    <row r="2837" spans="5:10" ht="14.4" x14ac:dyDescent="0.3">
      <c r="E2837" s="3"/>
      <c r="F2837" s="3"/>
      <c r="G2837" s="3"/>
      <c r="H2837" s="3"/>
      <c r="I2837" s="3"/>
      <c r="J2837" s="3"/>
    </row>
    <row r="2838" spans="5:10" ht="14.4" x14ac:dyDescent="0.3">
      <c r="E2838" s="3"/>
      <c r="F2838" s="3"/>
      <c r="G2838" s="3"/>
      <c r="H2838" s="3"/>
      <c r="I2838" s="3"/>
      <c r="J2838" s="3"/>
    </row>
    <row r="2839" spans="5:10" ht="14.4" x14ac:dyDescent="0.3">
      <c r="E2839" s="3"/>
      <c r="F2839" s="3"/>
      <c r="G2839" s="3"/>
      <c r="H2839" s="3"/>
      <c r="I2839" s="3"/>
      <c r="J2839" s="3"/>
    </row>
    <row r="2840" spans="5:10" ht="14.4" x14ac:dyDescent="0.3">
      <c r="E2840" s="3"/>
      <c r="F2840" s="3"/>
      <c r="G2840" s="3"/>
      <c r="H2840" s="3"/>
      <c r="I2840" s="3"/>
      <c r="J2840" s="3"/>
    </row>
    <row r="2841" spans="5:10" ht="14.4" x14ac:dyDescent="0.3">
      <c r="E2841" s="3"/>
      <c r="F2841" s="3"/>
      <c r="G2841" s="3"/>
      <c r="H2841" s="3"/>
      <c r="I2841" s="3"/>
      <c r="J2841" s="3"/>
    </row>
    <row r="2842" spans="5:10" ht="14.4" x14ac:dyDescent="0.3">
      <c r="E2842" s="3"/>
      <c r="F2842" s="3"/>
      <c r="G2842" s="3"/>
      <c r="H2842" s="3"/>
      <c r="I2842" s="3"/>
      <c r="J2842" s="3"/>
    </row>
    <row r="2843" spans="5:10" ht="14.4" x14ac:dyDescent="0.3">
      <c r="E2843" s="3"/>
      <c r="F2843" s="3"/>
      <c r="G2843" s="3"/>
      <c r="H2843" s="3"/>
      <c r="I2843" s="3"/>
      <c r="J2843" s="3"/>
    </row>
    <row r="2844" spans="5:10" ht="14.4" x14ac:dyDescent="0.3">
      <c r="E2844" s="3"/>
      <c r="F2844" s="3"/>
      <c r="G2844" s="3"/>
      <c r="H2844" s="3"/>
      <c r="I2844" s="3"/>
      <c r="J2844" s="3"/>
    </row>
    <row r="2845" spans="5:10" ht="14.4" x14ac:dyDescent="0.3">
      <c r="E2845" s="3"/>
      <c r="F2845" s="3"/>
      <c r="G2845" s="3"/>
      <c r="H2845" s="3"/>
      <c r="I2845" s="3"/>
      <c r="J2845" s="3"/>
    </row>
    <row r="2846" spans="5:10" ht="14.4" x14ac:dyDescent="0.3">
      <c r="E2846" s="3"/>
      <c r="F2846" s="3"/>
      <c r="G2846" s="3"/>
      <c r="H2846" s="3"/>
      <c r="I2846" s="3"/>
      <c r="J2846" s="3"/>
    </row>
    <row r="2847" spans="5:10" ht="14.4" x14ac:dyDescent="0.3">
      <c r="E2847" s="3"/>
      <c r="F2847" s="3"/>
      <c r="G2847" s="3"/>
      <c r="H2847" s="3"/>
      <c r="I2847" s="3"/>
      <c r="J2847" s="3"/>
    </row>
    <row r="2848" spans="5:10" ht="14.4" x14ac:dyDescent="0.3">
      <c r="E2848" s="3"/>
      <c r="F2848" s="3"/>
      <c r="G2848" s="3"/>
      <c r="H2848" s="3"/>
      <c r="I2848" s="3"/>
      <c r="J2848" s="3"/>
    </row>
    <row r="2849" spans="5:10" ht="14.4" x14ac:dyDescent="0.3">
      <c r="E2849" s="3"/>
      <c r="F2849" s="3"/>
      <c r="G2849" s="3"/>
      <c r="H2849" s="3"/>
      <c r="I2849" s="3"/>
      <c r="J2849" s="3"/>
    </row>
    <row r="2850" spans="5:10" ht="14.4" x14ac:dyDescent="0.3">
      <c r="E2850" s="3"/>
      <c r="F2850" s="3"/>
      <c r="G2850" s="3"/>
      <c r="H2850" s="3"/>
      <c r="I2850" s="3"/>
      <c r="J2850" s="3"/>
    </row>
    <row r="2851" spans="5:10" ht="14.4" x14ac:dyDescent="0.3">
      <c r="E2851" s="3"/>
      <c r="F2851" s="3"/>
      <c r="G2851" s="3"/>
      <c r="H2851" s="3"/>
      <c r="I2851" s="3"/>
      <c r="J2851" s="3"/>
    </row>
    <row r="2852" spans="5:10" ht="14.4" x14ac:dyDescent="0.3">
      <c r="E2852" s="3"/>
      <c r="F2852" s="3"/>
      <c r="G2852" s="3"/>
      <c r="H2852" s="3"/>
      <c r="I2852" s="3"/>
      <c r="J2852" s="3"/>
    </row>
    <row r="2853" spans="5:10" ht="14.4" x14ac:dyDescent="0.3">
      <c r="E2853" s="3"/>
      <c r="F2853" s="3"/>
      <c r="G2853" s="3"/>
      <c r="H2853" s="3"/>
      <c r="I2853" s="3"/>
      <c r="J2853" s="3"/>
    </row>
    <row r="2854" spans="5:10" ht="14.4" x14ac:dyDescent="0.3">
      <c r="E2854" s="3"/>
      <c r="F2854" s="3"/>
      <c r="G2854" s="3"/>
      <c r="H2854" s="3"/>
      <c r="I2854" s="3"/>
      <c r="J2854" s="3"/>
    </row>
    <row r="2855" spans="5:10" ht="14.4" x14ac:dyDescent="0.3">
      <c r="E2855" s="3"/>
      <c r="F2855" s="3"/>
      <c r="G2855" s="3"/>
      <c r="H2855" s="3"/>
      <c r="I2855" s="3"/>
      <c r="J2855" s="3"/>
    </row>
    <row r="2856" spans="5:10" ht="14.4" x14ac:dyDescent="0.3">
      <c r="E2856" s="3"/>
      <c r="F2856" s="3"/>
      <c r="G2856" s="3"/>
      <c r="H2856" s="3"/>
      <c r="I2856" s="3"/>
      <c r="J2856" s="3"/>
    </row>
    <row r="2857" spans="5:10" ht="14.4" x14ac:dyDescent="0.3">
      <c r="E2857" s="3"/>
      <c r="F2857" s="3"/>
      <c r="G2857" s="3"/>
      <c r="H2857" s="3"/>
      <c r="I2857" s="3"/>
      <c r="J2857" s="3"/>
    </row>
    <row r="2858" spans="5:10" ht="14.4" x14ac:dyDescent="0.3">
      <c r="E2858" s="3"/>
      <c r="F2858" s="3"/>
      <c r="G2858" s="3"/>
      <c r="H2858" s="3"/>
      <c r="I2858" s="3"/>
      <c r="J2858" s="3"/>
    </row>
    <row r="2859" spans="5:10" ht="14.4" x14ac:dyDescent="0.3">
      <c r="E2859" s="3"/>
      <c r="F2859" s="3"/>
      <c r="G2859" s="3"/>
      <c r="H2859" s="3"/>
      <c r="I2859" s="3"/>
      <c r="J2859" s="3"/>
    </row>
    <row r="2860" spans="5:10" ht="14.4" x14ac:dyDescent="0.3">
      <c r="E2860" s="3"/>
      <c r="F2860" s="3"/>
      <c r="G2860" s="3"/>
      <c r="H2860" s="3"/>
      <c r="I2860" s="3"/>
      <c r="J2860" s="3"/>
    </row>
    <row r="2861" spans="5:10" ht="14.4" x14ac:dyDescent="0.3">
      <c r="E2861" s="3"/>
      <c r="F2861" s="3"/>
      <c r="G2861" s="3"/>
      <c r="H2861" s="3"/>
      <c r="I2861" s="3"/>
      <c r="J2861" s="3"/>
    </row>
    <row r="2862" spans="5:10" ht="14.4" x14ac:dyDescent="0.3">
      <c r="E2862" s="3"/>
      <c r="F2862" s="3"/>
      <c r="G2862" s="3"/>
      <c r="H2862" s="3"/>
      <c r="I2862" s="3"/>
      <c r="J2862" s="3"/>
    </row>
    <row r="2863" spans="5:10" ht="14.4" x14ac:dyDescent="0.3">
      <c r="E2863" s="3"/>
      <c r="F2863" s="3"/>
      <c r="G2863" s="3"/>
      <c r="H2863" s="3"/>
      <c r="I2863" s="3"/>
      <c r="J2863" s="3"/>
    </row>
    <row r="2864" spans="5:10" ht="14.4" x14ac:dyDescent="0.3">
      <c r="E2864" s="3"/>
      <c r="F2864" s="3"/>
      <c r="G2864" s="3"/>
      <c r="H2864" s="3"/>
      <c r="I2864" s="3"/>
      <c r="J2864" s="3"/>
    </row>
    <row r="2865" spans="5:10" ht="14.4" x14ac:dyDescent="0.3">
      <c r="E2865" s="3"/>
      <c r="F2865" s="3"/>
      <c r="G2865" s="3"/>
      <c r="H2865" s="3"/>
      <c r="I2865" s="3"/>
      <c r="J2865" s="3"/>
    </row>
    <row r="2866" spans="5:10" ht="14.4" x14ac:dyDescent="0.3">
      <c r="E2866" s="3"/>
      <c r="F2866" s="3"/>
      <c r="G2866" s="3"/>
      <c r="H2866" s="3"/>
      <c r="I2866" s="3"/>
      <c r="J2866" s="3"/>
    </row>
    <row r="2867" spans="5:10" ht="14.4" x14ac:dyDescent="0.3">
      <c r="E2867" s="3"/>
      <c r="F2867" s="3"/>
      <c r="G2867" s="3"/>
      <c r="H2867" s="3"/>
      <c r="I2867" s="3"/>
      <c r="J2867" s="3"/>
    </row>
    <row r="2868" spans="5:10" ht="14.4" x14ac:dyDescent="0.3">
      <c r="E2868" s="3"/>
      <c r="F2868" s="3"/>
      <c r="G2868" s="3"/>
      <c r="H2868" s="3"/>
      <c r="I2868" s="3"/>
      <c r="J2868" s="3"/>
    </row>
    <row r="2869" spans="5:10" ht="14.4" x14ac:dyDescent="0.3">
      <c r="E2869" s="3"/>
      <c r="F2869" s="3"/>
      <c r="G2869" s="3"/>
      <c r="H2869" s="3"/>
      <c r="I2869" s="3"/>
      <c r="J2869" s="3"/>
    </row>
    <row r="2870" spans="5:10" ht="14.4" x14ac:dyDescent="0.3">
      <c r="E2870" s="3"/>
      <c r="F2870" s="3"/>
      <c r="G2870" s="3"/>
      <c r="H2870" s="3"/>
      <c r="I2870" s="3"/>
      <c r="J2870" s="3"/>
    </row>
    <row r="2871" spans="5:10" ht="14.4" x14ac:dyDescent="0.3">
      <c r="E2871" s="3"/>
      <c r="F2871" s="3"/>
      <c r="G2871" s="3"/>
      <c r="H2871" s="3"/>
      <c r="I2871" s="3"/>
      <c r="J2871" s="3"/>
    </row>
    <row r="2872" spans="5:10" ht="14.4" x14ac:dyDescent="0.3">
      <c r="E2872" s="3"/>
      <c r="F2872" s="3"/>
      <c r="G2872" s="3"/>
      <c r="H2872" s="3"/>
      <c r="I2872" s="3"/>
      <c r="J2872" s="3"/>
    </row>
    <row r="2873" spans="5:10" ht="14.4" x14ac:dyDescent="0.3">
      <c r="E2873" s="3"/>
      <c r="F2873" s="3"/>
      <c r="G2873" s="3"/>
      <c r="H2873" s="3"/>
      <c r="I2873" s="3"/>
      <c r="J2873" s="3"/>
    </row>
    <row r="2874" spans="5:10" ht="14.4" x14ac:dyDescent="0.3">
      <c r="E2874" s="3"/>
      <c r="F2874" s="3"/>
      <c r="G2874" s="3"/>
      <c r="H2874" s="3"/>
      <c r="I2874" s="3"/>
      <c r="J2874" s="3"/>
    </row>
    <row r="2875" spans="5:10" ht="14.4" x14ac:dyDescent="0.3">
      <c r="E2875" s="3"/>
      <c r="F2875" s="3"/>
      <c r="G2875" s="3"/>
      <c r="H2875" s="3"/>
      <c r="I2875" s="3"/>
      <c r="J2875" s="3"/>
    </row>
    <row r="2876" spans="5:10" ht="14.4" x14ac:dyDescent="0.3">
      <c r="E2876" s="3"/>
      <c r="F2876" s="3"/>
      <c r="G2876" s="3"/>
      <c r="H2876" s="3"/>
      <c r="I2876" s="3"/>
      <c r="J2876" s="3"/>
    </row>
    <row r="2877" spans="5:10" ht="14.4" x14ac:dyDescent="0.3">
      <c r="E2877" s="3"/>
      <c r="F2877" s="3"/>
      <c r="G2877" s="3"/>
      <c r="H2877" s="3"/>
      <c r="I2877" s="3"/>
      <c r="J2877" s="3"/>
    </row>
    <row r="2878" spans="5:10" ht="14.4" x14ac:dyDescent="0.3">
      <c r="E2878" s="3"/>
      <c r="F2878" s="3"/>
      <c r="G2878" s="3"/>
      <c r="H2878" s="3"/>
      <c r="I2878" s="3"/>
      <c r="J2878" s="3"/>
    </row>
    <row r="2879" spans="5:10" ht="14.4" x14ac:dyDescent="0.3">
      <c r="E2879" s="3"/>
      <c r="F2879" s="3"/>
      <c r="G2879" s="3"/>
      <c r="H2879" s="3"/>
      <c r="I2879" s="3"/>
      <c r="J2879" s="3"/>
    </row>
    <row r="2880" spans="5:10" ht="14.4" x14ac:dyDescent="0.3">
      <c r="E2880" s="3"/>
      <c r="F2880" s="3"/>
      <c r="G2880" s="3"/>
      <c r="H2880" s="3"/>
      <c r="I2880" s="3"/>
      <c r="J2880" s="3"/>
    </row>
    <row r="2881" spans="5:10" ht="14.4" x14ac:dyDescent="0.3">
      <c r="E2881" s="3"/>
      <c r="F2881" s="3"/>
      <c r="G2881" s="3"/>
      <c r="H2881" s="3"/>
      <c r="I2881" s="3"/>
      <c r="J2881" s="3"/>
    </row>
    <row r="2882" spans="5:10" ht="14.4" x14ac:dyDescent="0.3">
      <c r="E2882" s="3"/>
      <c r="F2882" s="3"/>
      <c r="G2882" s="3"/>
      <c r="H2882" s="3"/>
      <c r="I2882" s="3"/>
      <c r="J2882" s="3"/>
    </row>
    <row r="2883" spans="5:10" ht="14.4" x14ac:dyDescent="0.3">
      <c r="E2883" s="3"/>
      <c r="F2883" s="3"/>
      <c r="G2883" s="3"/>
      <c r="H2883" s="3"/>
      <c r="I2883" s="3"/>
      <c r="J2883" s="3"/>
    </row>
    <row r="2884" spans="5:10" ht="14.4" x14ac:dyDescent="0.3">
      <c r="E2884" s="3"/>
      <c r="F2884" s="3"/>
      <c r="G2884" s="3"/>
      <c r="H2884" s="3"/>
      <c r="I2884" s="3"/>
      <c r="J2884" s="3"/>
    </row>
    <row r="2885" spans="5:10" ht="14.4" x14ac:dyDescent="0.3">
      <c r="E2885" s="3"/>
      <c r="F2885" s="3"/>
      <c r="G2885" s="3"/>
      <c r="H2885" s="3"/>
      <c r="I2885" s="3"/>
      <c r="J2885" s="3"/>
    </row>
    <row r="2886" spans="5:10" ht="14.4" x14ac:dyDescent="0.3">
      <c r="E2886" s="3"/>
      <c r="F2886" s="3"/>
      <c r="G2886" s="3"/>
      <c r="H2886" s="3"/>
      <c r="I2886" s="3"/>
      <c r="J2886" s="3"/>
    </row>
    <row r="2887" spans="5:10" ht="14.4" x14ac:dyDescent="0.3">
      <c r="E2887" s="3"/>
      <c r="F2887" s="3"/>
      <c r="G2887" s="3"/>
      <c r="H2887" s="3"/>
      <c r="I2887" s="3"/>
      <c r="J2887" s="3"/>
    </row>
    <row r="2888" spans="5:10" ht="14.4" x14ac:dyDescent="0.3">
      <c r="E2888" s="3"/>
      <c r="F2888" s="3"/>
      <c r="G2888" s="3"/>
      <c r="H2888" s="3"/>
      <c r="I2888" s="3"/>
      <c r="J2888" s="3"/>
    </row>
    <row r="2889" spans="5:10" ht="14.4" x14ac:dyDescent="0.3">
      <c r="E2889" s="3"/>
      <c r="F2889" s="3"/>
      <c r="G2889" s="3"/>
      <c r="H2889" s="3"/>
      <c r="I2889" s="3"/>
      <c r="J2889" s="3"/>
    </row>
    <row r="2890" spans="5:10" ht="14.4" x14ac:dyDescent="0.3">
      <c r="E2890" s="3"/>
      <c r="F2890" s="3"/>
      <c r="G2890" s="3"/>
      <c r="H2890" s="3"/>
      <c r="I2890" s="3"/>
      <c r="J2890" s="3"/>
    </row>
    <row r="2891" spans="5:10" ht="14.4" x14ac:dyDescent="0.3">
      <c r="E2891" s="3"/>
      <c r="F2891" s="3"/>
      <c r="G2891" s="3"/>
      <c r="H2891" s="3"/>
      <c r="I2891" s="3"/>
      <c r="J2891" s="3"/>
    </row>
    <row r="2892" spans="5:10" ht="14.4" x14ac:dyDescent="0.3">
      <c r="E2892" s="3"/>
      <c r="F2892" s="3"/>
      <c r="G2892" s="3"/>
      <c r="H2892" s="3"/>
      <c r="I2892" s="3"/>
      <c r="J2892" s="3"/>
    </row>
    <row r="2893" spans="5:10" ht="14.4" x14ac:dyDescent="0.3">
      <c r="E2893" s="3"/>
      <c r="F2893" s="3"/>
      <c r="G2893" s="3"/>
      <c r="H2893" s="3"/>
      <c r="I2893" s="3"/>
      <c r="J2893" s="3"/>
    </row>
    <row r="2894" spans="5:10" ht="14.4" x14ac:dyDescent="0.3">
      <c r="E2894" s="3"/>
      <c r="F2894" s="3"/>
      <c r="G2894" s="3"/>
      <c r="H2894" s="3"/>
      <c r="I2894" s="3"/>
      <c r="J2894" s="3"/>
    </row>
    <row r="2895" spans="5:10" ht="14.4" x14ac:dyDescent="0.3">
      <c r="E2895" s="3"/>
      <c r="F2895" s="3"/>
      <c r="G2895" s="3"/>
      <c r="H2895" s="3"/>
      <c r="I2895" s="3"/>
      <c r="J2895" s="3"/>
    </row>
    <row r="2896" spans="5:10" ht="14.4" x14ac:dyDescent="0.3">
      <c r="E2896" s="3"/>
      <c r="F2896" s="3"/>
      <c r="G2896" s="3"/>
      <c r="H2896" s="3"/>
      <c r="I2896" s="3"/>
      <c r="J2896" s="3"/>
    </row>
    <row r="2897" spans="5:10" ht="14.4" x14ac:dyDescent="0.3">
      <c r="E2897" s="3"/>
      <c r="F2897" s="3"/>
      <c r="G2897" s="3"/>
      <c r="H2897" s="3"/>
      <c r="I2897" s="3"/>
      <c r="J2897" s="3"/>
    </row>
    <row r="2898" spans="5:10" ht="14.4" x14ac:dyDescent="0.3">
      <c r="E2898" s="3"/>
      <c r="F2898" s="3"/>
      <c r="G2898" s="3"/>
      <c r="H2898" s="3"/>
      <c r="I2898" s="3"/>
      <c r="J2898" s="3"/>
    </row>
    <row r="2899" spans="5:10" ht="14.4" x14ac:dyDescent="0.3">
      <c r="E2899" s="3"/>
      <c r="F2899" s="3"/>
      <c r="G2899" s="3"/>
      <c r="H2899" s="3"/>
      <c r="I2899" s="3"/>
      <c r="J2899" s="3"/>
    </row>
    <row r="2900" spans="5:10" ht="14.4" x14ac:dyDescent="0.3">
      <c r="E2900" s="3"/>
      <c r="F2900" s="3"/>
      <c r="G2900" s="3"/>
      <c r="H2900" s="3"/>
      <c r="I2900" s="3"/>
      <c r="J2900" s="3"/>
    </row>
    <row r="2901" spans="5:10" ht="14.4" x14ac:dyDescent="0.3">
      <c r="E2901" s="3"/>
      <c r="F2901" s="3"/>
      <c r="G2901" s="3"/>
      <c r="H2901" s="3"/>
      <c r="I2901" s="3"/>
      <c r="J2901" s="3"/>
    </row>
    <row r="2902" spans="5:10" ht="14.4" x14ac:dyDescent="0.3">
      <c r="E2902" s="3"/>
      <c r="F2902" s="3"/>
      <c r="G2902" s="3"/>
      <c r="H2902" s="3"/>
      <c r="I2902" s="3"/>
      <c r="J2902" s="3"/>
    </row>
    <row r="2903" spans="5:10" ht="14.4" x14ac:dyDescent="0.3">
      <c r="E2903" s="3"/>
      <c r="F2903" s="3"/>
      <c r="G2903" s="3"/>
      <c r="H2903" s="3"/>
      <c r="I2903" s="3"/>
      <c r="J2903" s="3"/>
    </row>
    <row r="2904" spans="5:10" ht="14.4" x14ac:dyDescent="0.3">
      <c r="E2904" s="3"/>
      <c r="F2904" s="3"/>
      <c r="G2904" s="3"/>
      <c r="H2904" s="3"/>
      <c r="I2904" s="3"/>
      <c r="J2904" s="3"/>
    </row>
    <row r="2905" spans="5:10" ht="14.4" x14ac:dyDescent="0.3">
      <c r="E2905" s="3"/>
      <c r="F2905" s="3"/>
      <c r="G2905" s="3"/>
      <c r="H2905" s="3"/>
      <c r="I2905" s="3"/>
      <c r="J2905" s="3"/>
    </row>
    <row r="2906" spans="5:10" ht="14.4" x14ac:dyDescent="0.3">
      <c r="E2906" s="3"/>
      <c r="F2906" s="3"/>
      <c r="G2906" s="3"/>
      <c r="H2906" s="3"/>
      <c r="I2906" s="3"/>
      <c r="J2906" s="3"/>
    </row>
    <row r="2907" spans="5:10" ht="14.4" x14ac:dyDescent="0.3">
      <c r="E2907" s="3"/>
      <c r="F2907" s="3"/>
      <c r="G2907" s="3"/>
      <c r="H2907" s="3"/>
      <c r="I2907" s="3"/>
      <c r="J2907" s="3"/>
    </row>
    <row r="2908" spans="5:10" ht="14.4" x14ac:dyDescent="0.3">
      <c r="E2908" s="3"/>
      <c r="F2908" s="3"/>
      <c r="G2908" s="3"/>
      <c r="H2908" s="3"/>
      <c r="I2908" s="3"/>
      <c r="J2908" s="3"/>
    </row>
    <row r="2909" spans="5:10" ht="14.4" x14ac:dyDescent="0.3">
      <c r="E2909" s="3"/>
      <c r="F2909" s="3"/>
      <c r="G2909" s="3"/>
      <c r="H2909" s="3"/>
      <c r="I2909" s="3"/>
      <c r="J2909" s="3"/>
    </row>
    <row r="2910" spans="5:10" ht="14.4" x14ac:dyDescent="0.3">
      <c r="E2910" s="3"/>
      <c r="F2910" s="3"/>
      <c r="G2910" s="3"/>
      <c r="H2910" s="3"/>
      <c r="I2910" s="3"/>
      <c r="J2910" s="3"/>
    </row>
    <row r="2911" spans="5:10" ht="14.4" x14ac:dyDescent="0.3">
      <c r="E2911" s="3"/>
      <c r="F2911" s="3"/>
      <c r="G2911" s="3"/>
      <c r="H2911" s="3"/>
      <c r="I2911" s="3"/>
      <c r="J2911" s="3"/>
    </row>
    <row r="2912" spans="5:10" ht="14.4" x14ac:dyDescent="0.3">
      <c r="E2912" s="3"/>
      <c r="F2912" s="3"/>
      <c r="G2912" s="3"/>
      <c r="H2912" s="3"/>
      <c r="I2912" s="3"/>
      <c r="J2912" s="3"/>
    </row>
    <row r="2913" spans="5:10" ht="14.4" x14ac:dyDescent="0.3">
      <c r="E2913" s="3"/>
      <c r="F2913" s="3"/>
      <c r="G2913" s="3"/>
      <c r="H2913" s="3"/>
      <c r="I2913" s="3"/>
      <c r="J2913" s="3"/>
    </row>
    <row r="2914" spans="5:10" ht="14.4" x14ac:dyDescent="0.3">
      <c r="E2914" s="3"/>
      <c r="F2914" s="3"/>
      <c r="G2914" s="3"/>
      <c r="H2914" s="3"/>
      <c r="I2914" s="3"/>
      <c r="J2914" s="3"/>
    </row>
    <row r="2915" spans="5:10" ht="14.4" x14ac:dyDescent="0.3">
      <c r="E2915" s="3"/>
      <c r="F2915" s="3"/>
      <c r="G2915" s="3"/>
      <c r="H2915" s="3"/>
      <c r="I2915" s="3"/>
      <c r="J2915" s="3"/>
    </row>
    <row r="2916" spans="5:10" ht="14.4" x14ac:dyDescent="0.3">
      <c r="E2916" s="3"/>
      <c r="F2916" s="3"/>
      <c r="G2916" s="3"/>
      <c r="H2916" s="3"/>
      <c r="I2916" s="3"/>
      <c r="J2916" s="3"/>
    </row>
    <row r="2917" spans="5:10" ht="14.4" x14ac:dyDescent="0.3">
      <c r="E2917" s="3"/>
      <c r="F2917" s="3"/>
      <c r="G2917" s="3"/>
      <c r="H2917" s="3"/>
      <c r="I2917" s="3"/>
      <c r="J2917" s="3"/>
    </row>
    <row r="2918" spans="5:10" ht="14.4" x14ac:dyDescent="0.3">
      <c r="E2918" s="3"/>
      <c r="F2918" s="3"/>
      <c r="G2918" s="3"/>
      <c r="H2918" s="3"/>
      <c r="I2918" s="3"/>
      <c r="J2918" s="3"/>
    </row>
    <row r="2919" spans="5:10" ht="14.4" x14ac:dyDescent="0.3">
      <c r="E2919" s="3"/>
      <c r="F2919" s="3"/>
      <c r="G2919" s="3"/>
      <c r="H2919" s="3"/>
      <c r="I2919" s="3"/>
      <c r="J2919" s="3"/>
    </row>
    <row r="2920" spans="5:10" ht="14.4" x14ac:dyDescent="0.3">
      <c r="E2920" s="3"/>
      <c r="F2920" s="3"/>
      <c r="G2920" s="3"/>
      <c r="H2920" s="3"/>
      <c r="I2920" s="3"/>
      <c r="J2920" s="3"/>
    </row>
    <row r="2921" spans="5:10" ht="14.4" x14ac:dyDescent="0.3">
      <c r="E2921" s="3"/>
      <c r="F2921" s="3"/>
      <c r="G2921" s="3"/>
      <c r="H2921" s="3"/>
      <c r="I2921" s="3"/>
      <c r="J2921" s="3"/>
    </row>
    <row r="2922" spans="5:10" ht="14.4" x14ac:dyDescent="0.3">
      <c r="E2922" s="3"/>
      <c r="F2922" s="3"/>
      <c r="G2922" s="3"/>
      <c r="H2922" s="3"/>
      <c r="I2922" s="3"/>
      <c r="J2922" s="3"/>
    </row>
    <row r="2923" spans="5:10" ht="14.4" x14ac:dyDescent="0.3">
      <c r="E2923" s="3"/>
      <c r="F2923" s="3"/>
      <c r="G2923" s="3"/>
      <c r="H2923" s="3"/>
      <c r="I2923" s="3"/>
      <c r="J2923" s="3"/>
    </row>
    <row r="2924" spans="5:10" ht="14.4" x14ac:dyDescent="0.3">
      <c r="E2924" s="3"/>
      <c r="F2924" s="3"/>
      <c r="G2924" s="3"/>
      <c r="H2924" s="3"/>
      <c r="I2924" s="3"/>
      <c r="J2924" s="3"/>
    </row>
    <row r="2925" spans="5:10" ht="14.4" x14ac:dyDescent="0.3">
      <c r="E2925" s="3"/>
      <c r="F2925" s="3"/>
      <c r="G2925" s="3"/>
      <c r="H2925" s="3"/>
      <c r="I2925" s="3"/>
      <c r="J2925" s="3"/>
    </row>
    <row r="2926" spans="5:10" ht="14.4" x14ac:dyDescent="0.3">
      <c r="E2926" s="3"/>
      <c r="F2926" s="3"/>
      <c r="G2926" s="3"/>
      <c r="H2926" s="3"/>
      <c r="I2926" s="3"/>
      <c r="J2926" s="3"/>
    </row>
    <row r="2927" spans="5:10" ht="14.4" x14ac:dyDescent="0.3">
      <c r="E2927" s="3"/>
      <c r="F2927" s="3"/>
      <c r="G2927" s="3"/>
      <c r="H2927" s="3"/>
      <c r="I2927" s="3"/>
      <c r="J2927" s="3"/>
    </row>
    <row r="2928" spans="5:10" ht="14.4" x14ac:dyDescent="0.3">
      <c r="E2928" s="3"/>
      <c r="F2928" s="3"/>
      <c r="G2928" s="3"/>
      <c r="H2928" s="3"/>
      <c r="I2928" s="3"/>
      <c r="J2928" s="3"/>
    </row>
    <row r="2929" spans="5:10" ht="14.4" x14ac:dyDescent="0.3">
      <c r="E2929" s="3"/>
      <c r="F2929" s="3"/>
      <c r="G2929" s="3"/>
      <c r="H2929" s="3"/>
      <c r="I2929" s="3"/>
      <c r="J2929" s="3"/>
    </row>
    <row r="2930" spans="5:10" ht="14.4" x14ac:dyDescent="0.3">
      <c r="E2930" s="3"/>
      <c r="F2930" s="3"/>
      <c r="G2930" s="3"/>
      <c r="H2930" s="3"/>
      <c r="I2930" s="3"/>
      <c r="J2930" s="3"/>
    </row>
    <row r="2931" spans="5:10" ht="14.4" x14ac:dyDescent="0.3">
      <c r="E2931" s="3"/>
      <c r="F2931" s="3"/>
      <c r="G2931" s="3"/>
      <c r="H2931" s="3"/>
      <c r="I2931" s="3"/>
      <c r="J2931" s="3"/>
    </row>
    <row r="2932" spans="5:10" ht="14.4" x14ac:dyDescent="0.3">
      <c r="E2932" s="3"/>
      <c r="F2932" s="3"/>
      <c r="G2932" s="3"/>
      <c r="H2932" s="3"/>
      <c r="I2932" s="3"/>
      <c r="J2932" s="3"/>
    </row>
    <row r="2933" spans="5:10" ht="14.4" x14ac:dyDescent="0.3">
      <c r="E2933" s="3"/>
      <c r="F2933" s="3"/>
      <c r="G2933" s="3"/>
      <c r="H2933" s="3"/>
      <c r="I2933" s="3"/>
      <c r="J2933" s="3"/>
    </row>
    <row r="2934" spans="5:10" ht="14.4" x14ac:dyDescent="0.3">
      <c r="E2934" s="3"/>
      <c r="F2934" s="3"/>
      <c r="G2934" s="3"/>
      <c r="H2934" s="3"/>
      <c r="I2934" s="3"/>
      <c r="J2934" s="3"/>
    </row>
    <row r="2935" spans="5:10" ht="14.4" x14ac:dyDescent="0.3">
      <c r="E2935" s="3"/>
      <c r="F2935" s="3"/>
      <c r="G2935" s="3"/>
      <c r="H2935" s="3"/>
      <c r="I2935" s="3"/>
      <c r="J2935" s="3"/>
    </row>
    <row r="2936" spans="5:10" ht="14.4" x14ac:dyDescent="0.3">
      <c r="E2936" s="3"/>
      <c r="F2936" s="3"/>
      <c r="G2936" s="3"/>
      <c r="H2936" s="3"/>
      <c r="I2936" s="3"/>
      <c r="J2936" s="3"/>
    </row>
    <row r="2937" spans="5:10" ht="14.4" x14ac:dyDescent="0.3">
      <c r="E2937" s="3"/>
      <c r="F2937" s="3"/>
      <c r="G2937" s="3"/>
      <c r="H2937" s="3"/>
      <c r="I2937" s="3"/>
      <c r="J2937" s="3"/>
    </row>
    <row r="2938" spans="5:10" ht="14.4" x14ac:dyDescent="0.3">
      <c r="E2938" s="3"/>
      <c r="F2938" s="3"/>
      <c r="G2938" s="3"/>
      <c r="H2938" s="3"/>
      <c r="I2938" s="3"/>
      <c r="J2938" s="3"/>
    </row>
    <row r="2939" spans="5:10" ht="14.4" x14ac:dyDescent="0.3">
      <c r="E2939" s="3"/>
      <c r="F2939" s="3"/>
      <c r="G2939" s="3"/>
      <c r="H2939" s="3"/>
      <c r="I2939" s="3"/>
      <c r="J2939" s="3"/>
    </row>
    <row r="2940" spans="5:10" ht="14.4" x14ac:dyDescent="0.3">
      <c r="E2940" s="3"/>
      <c r="F2940" s="3"/>
      <c r="G2940" s="3"/>
      <c r="H2940" s="3"/>
      <c r="I2940" s="3"/>
      <c r="J2940" s="3"/>
    </row>
    <row r="2941" spans="5:10" ht="14.4" x14ac:dyDescent="0.3">
      <c r="E2941" s="3"/>
      <c r="F2941" s="3"/>
      <c r="G2941" s="3"/>
      <c r="H2941" s="3"/>
      <c r="I2941" s="3"/>
      <c r="J2941" s="3"/>
    </row>
    <row r="2942" spans="5:10" ht="14.4" x14ac:dyDescent="0.3">
      <c r="E2942" s="3"/>
      <c r="F2942" s="3"/>
      <c r="G2942" s="3"/>
      <c r="H2942" s="3"/>
      <c r="I2942" s="3"/>
      <c r="J2942" s="3"/>
    </row>
    <row r="2943" spans="5:10" ht="14.4" x14ac:dyDescent="0.3">
      <c r="E2943" s="3"/>
      <c r="F2943" s="3"/>
      <c r="G2943" s="3"/>
      <c r="H2943" s="3"/>
      <c r="I2943" s="3"/>
      <c r="J2943" s="3"/>
    </row>
    <row r="2944" spans="5:10" ht="14.4" x14ac:dyDescent="0.3">
      <c r="E2944" s="3"/>
      <c r="F2944" s="3"/>
      <c r="G2944" s="3"/>
      <c r="H2944" s="3"/>
      <c r="I2944" s="3"/>
      <c r="J2944" s="3"/>
    </row>
    <row r="2945" spans="5:10" ht="14.4" x14ac:dyDescent="0.3">
      <c r="E2945" s="3"/>
      <c r="F2945" s="3"/>
      <c r="G2945" s="3"/>
      <c r="H2945" s="3"/>
      <c r="I2945" s="3"/>
      <c r="J2945" s="3"/>
    </row>
    <row r="2946" spans="5:10" ht="14.4" x14ac:dyDescent="0.3">
      <c r="E2946" s="3"/>
      <c r="F2946" s="3"/>
      <c r="G2946" s="3"/>
      <c r="H2946" s="3"/>
      <c r="I2946" s="3"/>
      <c r="J2946" s="3"/>
    </row>
    <row r="2947" spans="5:10" ht="14.4" x14ac:dyDescent="0.3">
      <c r="E2947" s="3"/>
      <c r="F2947" s="3"/>
      <c r="G2947" s="3"/>
      <c r="H2947" s="3"/>
      <c r="I2947" s="3"/>
      <c r="J2947" s="3"/>
    </row>
    <row r="2948" spans="5:10" ht="14.4" x14ac:dyDescent="0.3">
      <c r="E2948" s="3"/>
      <c r="F2948" s="3"/>
      <c r="G2948" s="3"/>
      <c r="H2948" s="3"/>
      <c r="I2948" s="3"/>
      <c r="J2948" s="3"/>
    </row>
    <row r="2949" spans="5:10" ht="14.4" x14ac:dyDescent="0.3">
      <c r="E2949" s="3"/>
      <c r="F2949" s="3"/>
      <c r="G2949" s="3"/>
      <c r="H2949" s="3"/>
      <c r="I2949" s="3"/>
      <c r="J2949" s="3"/>
    </row>
    <row r="2950" spans="5:10" ht="14.4" x14ac:dyDescent="0.3">
      <c r="E2950" s="3"/>
      <c r="F2950" s="3"/>
      <c r="G2950" s="3"/>
      <c r="H2950" s="3"/>
      <c r="I2950" s="3"/>
      <c r="J2950" s="3"/>
    </row>
    <row r="2951" spans="5:10" ht="14.4" x14ac:dyDescent="0.3">
      <c r="E2951" s="3"/>
      <c r="F2951" s="3"/>
      <c r="G2951" s="3"/>
      <c r="H2951" s="3"/>
      <c r="I2951" s="3"/>
      <c r="J2951" s="3"/>
    </row>
    <row r="2952" spans="5:10" ht="14.4" x14ac:dyDescent="0.3">
      <c r="E2952" s="3"/>
      <c r="F2952" s="3"/>
      <c r="G2952" s="3"/>
      <c r="H2952" s="3"/>
      <c r="I2952" s="3"/>
      <c r="J2952" s="3"/>
    </row>
    <row r="2953" spans="5:10" ht="14.4" x14ac:dyDescent="0.3">
      <c r="E2953" s="3"/>
      <c r="F2953" s="3"/>
      <c r="G2953" s="3"/>
      <c r="H2953" s="3"/>
      <c r="I2953" s="3"/>
      <c r="J2953" s="3"/>
    </row>
    <row r="2954" spans="5:10" ht="14.4" x14ac:dyDescent="0.3">
      <c r="E2954" s="3"/>
      <c r="F2954" s="3"/>
      <c r="G2954" s="3"/>
      <c r="H2954" s="3"/>
      <c r="I2954" s="3"/>
      <c r="J2954" s="3"/>
    </row>
    <row r="2955" spans="5:10" ht="14.4" x14ac:dyDescent="0.3">
      <c r="E2955" s="3"/>
      <c r="F2955" s="3"/>
      <c r="G2955" s="3"/>
      <c r="H2955" s="3"/>
      <c r="I2955" s="3"/>
      <c r="J2955" s="3"/>
    </row>
    <row r="2956" spans="5:10" ht="14.4" x14ac:dyDescent="0.3">
      <c r="E2956" s="3"/>
      <c r="F2956" s="3"/>
      <c r="G2956" s="3"/>
      <c r="H2956" s="3"/>
      <c r="I2956" s="3"/>
      <c r="J2956" s="3"/>
    </row>
    <row r="2957" spans="5:10" ht="14.4" x14ac:dyDescent="0.3">
      <c r="E2957" s="3"/>
      <c r="F2957" s="3"/>
      <c r="G2957" s="3"/>
      <c r="H2957" s="3"/>
      <c r="I2957" s="3"/>
      <c r="J2957" s="3"/>
    </row>
    <row r="2958" spans="5:10" ht="14.4" x14ac:dyDescent="0.3">
      <c r="E2958" s="3"/>
      <c r="F2958" s="3"/>
      <c r="G2958" s="3"/>
      <c r="H2958" s="3"/>
      <c r="I2958" s="3"/>
      <c r="J2958" s="3"/>
    </row>
    <row r="2959" spans="5:10" ht="14.4" x14ac:dyDescent="0.3">
      <c r="E2959" s="3"/>
      <c r="F2959" s="3"/>
      <c r="G2959" s="3"/>
      <c r="H2959" s="3"/>
      <c r="I2959" s="3"/>
      <c r="J2959" s="3"/>
    </row>
    <row r="2960" spans="5:10" ht="14.4" x14ac:dyDescent="0.3">
      <c r="E2960" s="3"/>
      <c r="F2960" s="3"/>
      <c r="G2960" s="3"/>
      <c r="H2960" s="3"/>
      <c r="I2960" s="3"/>
      <c r="J2960" s="3"/>
    </row>
    <row r="2961" spans="5:10" ht="14.4" x14ac:dyDescent="0.3">
      <c r="E2961" s="3"/>
      <c r="F2961" s="3"/>
      <c r="G2961" s="3"/>
      <c r="H2961" s="3"/>
      <c r="I2961" s="3"/>
      <c r="J2961" s="3"/>
    </row>
    <row r="2962" spans="5:10" ht="14.4" x14ac:dyDescent="0.3">
      <c r="E2962" s="3"/>
      <c r="F2962" s="3"/>
      <c r="G2962" s="3"/>
      <c r="H2962" s="3"/>
      <c r="I2962" s="3"/>
      <c r="J2962" s="3"/>
    </row>
    <row r="2963" spans="5:10" ht="14.4" x14ac:dyDescent="0.3">
      <c r="E2963" s="3"/>
      <c r="F2963" s="3"/>
      <c r="G2963" s="3"/>
      <c r="H2963" s="3"/>
      <c r="I2963" s="3"/>
      <c r="J2963" s="3"/>
    </row>
    <row r="2964" spans="5:10" ht="14.4" x14ac:dyDescent="0.3">
      <c r="E2964" s="3"/>
      <c r="F2964" s="3"/>
      <c r="G2964" s="3"/>
      <c r="H2964" s="3"/>
      <c r="I2964" s="3"/>
      <c r="J2964" s="3"/>
    </row>
    <row r="2965" spans="5:10" ht="14.4" x14ac:dyDescent="0.3">
      <c r="E2965" s="3"/>
      <c r="F2965" s="3"/>
      <c r="G2965" s="3"/>
      <c r="H2965" s="3"/>
      <c r="I2965" s="3"/>
      <c r="J2965" s="3"/>
    </row>
    <row r="2966" spans="5:10" ht="14.4" x14ac:dyDescent="0.3">
      <c r="E2966" s="3"/>
      <c r="F2966" s="3"/>
      <c r="G2966" s="3"/>
      <c r="H2966" s="3"/>
      <c r="I2966" s="3"/>
      <c r="J2966" s="3"/>
    </row>
    <row r="2967" spans="5:10" ht="14.4" x14ac:dyDescent="0.3">
      <c r="E2967" s="3"/>
      <c r="F2967" s="3"/>
      <c r="G2967" s="3"/>
      <c r="H2967" s="3"/>
      <c r="I2967" s="3"/>
      <c r="J2967" s="3"/>
    </row>
    <row r="2968" spans="5:10" ht="14.4" x14ac:dyDescent="0.3">
      <c r="E2968" s="3"/>
      <c r="F2968" s="3"/>
      <c r="G2968" s="3"/>
      <c r="H2968" s="3"/>
      <c r="I2968" s="3"/>
      <c r="J2968" s="3"/>
    </row>
    <row r="2969" spans="5:10" ht="14.4" x14ac:dyDescent="0.3">
      <c r="E2969" s="3"/>
      <c r="F2969" s="3"/>
      <c r="G2969" s="3"/>
      <c r="H2969" s="3"/>
      <c r="I2969" s="3"/>
      <c r="J2969" s="3"/>
    </row>
    <row r="2970" spans="5:10" ht="14.4" x14ac:dyDescent="0.3">
      <c r="E2970" s="3"/>
      <c r="F2970" s="3"/>
      <c r="G2970" s="3"/>
      <c r="H2970" s="3"/>
      <c r="I2970" s="3"/>
      <c r="J2970" s="3"/>
    </row>
    <row r="2971" spans="5:10" ht="14.4" x14ac:dyDescent="0.3">
      <c r="E2971" s="3"/>
      <c r="F2971" s="3"/>
      <c r="G2971" s="3"/>
      <c r="H2971" s="3"/>
      <c r="I2971" s="3"/>
      <c r="J2971" s="3"/>
    </row>
    <row r="2972" spans="5:10" ht="14.4" x14ac:dyDescent="0.3">
      <c r="E2972" s="3"/>
      <c r="F2972" s="3"/>
      <c r="G2972" s="3"/>
      <c r="H2972" s="3"/>
      <c r="I2972" s="3"/>
      <c r="J2972" s="3"/>
    </row>
    <row r="2973" spans="5:10" ht="14.4" x14ac:dyDescent="0.3">
      <c r="E2973" s="3"/>
      <c r="F2973" s="3"/>
      <c r="G2973" s="3"/>
      <c r="H2973" s="3"/>
      <c r="I2973" s="3"/>
      <c r="J2973" s="3"/>
    </row>
    <row r="2974" spans="5:10" ht="14.4" x14ac:dyDescent="0.3">
      <c r="E2974" s="3"/>
      <c r="F2974" s="3"/>
      <c r="G2974" s="3"/>
      <c r="H2974" s="3"/>
      <c r="I2974" s="3"/>
      <c r="J2974" s="3"/>
    </row>
    <row r="2975" spans="5:10" ht="14.4" x14ac:dyDescent="0.3">
      <c r="E2975" s="3"/>
      <c r="F2975" s="3"/>
      <c r="G2975" s="3"/>
      <c r="H2975" s="3"/>
      <c r="I2975" s="3"/>
      <c r="J2975" s="3"/>
    </row>
    <row r="2976" spans="5:10" ht="14.4" x14ac:dyDescent="0.3">
      <c r="E2976" s="3"/>
      <c r="F2976" s="3"/>
      <c r="G2976" s="3"/>
      <c r="H2976" s="3"/>
      <c r="I2976" s="3"/>
      <c r="J2976" s="3"/>
    </row>
    <row r="2977" spans="5:10" ht="14.4" x14ac:dyDescent="0.3">
      <c r="E2977" s="3"/>
      <c r="F2977" s="3"/>
      <c r="G2977" s="3"/>
      <c r="H2977" s="3"/>
      <c r="I2977" s="3"/>
      <c r="J2977" s="3"/>
    </row>
    <row r="2978" spans="5:10" ht="14.4" x14ac:dyDescent="0.3">
      <c r="E2978" s="3"/>
      <c r="F2978" s="3"/>
      <c r="G2978" s="3"/>
      <c r="H2978" s="3"/>
      <c r="I2978" s="3"/>
      <c r="J2978" s="3"/>
    </row>
    <row r="2979" spans="5:10" ht="14.4" x14ac:dyDescent="0.3">
      <c r="E2979" s="3"/>
      <c r="F2979" s="3"/>
      <c r="G2979" s="3"/>
      <c r="H2979" s="3"/>
      <c r="I2979" s="3"/>
      <c r="J2979" s="3"/>
    </row>
    <row r="2980" spans="5:10" ht="14.4" x14ac:dyDescent="0.3">
      <c r="E2980" s="3"/>
      <c r="F2980" s="3"/>
      <c r="G2980" s="3"/>
      <c r="H2980" s="3"/>
      <c r="I2980" s="3"/>
      <c r="J2980" s="3"/>
    </row>
    <row r="2981" spans="5:10" ht="14.4" x14ac:dyDescent="0.3">
      <c r="E2981" s="3"/>
      <c r="F2981" s="3"/>
      <c r="G2981" s="3"/>
      <c r="H2981" s="3"/>
      <c r="I2981" s="3"/>
      <c r="J2981" s="3"/>
    </row>
    <row r="2982" spans="5:10" ht="14.4" x14ac:dyDescent="0.3">
      <c r="E2982" s="3"/>
      <c r="F2982" s="3"/>
      <c r="G2982" s="3"/>
      <c r="H2982" s="3"/>
      <c r="I2982" s="3"/>
      <c r="J2982" s="3"/>
    </row>
    <row r="2983" spans="5:10" ht="14.4" x14ac:dyDescent="0.3">
      <c r="E2983" s="3"/>
      <c r="F2983" s="3"/>
      <c r="G2983" s="3"/>
      <c r="H2983" s="3"/>
      <c r="I2983" s="3"/>
      <c r="J2983" s="3"/>
    </row>
    <row r="2984" spans="5:10" ht="14.4" x14ac:dyDescent="0.3">
      <c r="E2984" s="3"/>
      <c r="F2984" s="3"/>
      <c r="G2984" s="3"/>
      <c r="H2984" s="3"/>
      <c r="I2984" s="3"/>
      <c r="J2984" s="3"/>
    </row>
    <row r="2985" spans="5:10" ht="14.4" x14ac:dyDescent="0.3">
      <c r="E2985" s="3"/>
      <c r="F2985" s="3"/>
      <c r="G2985" s="3"/>
      <c r="H2985" s="3"/>
      <c r="I2985" s="3"/>
      <c r="J2985" s="3"/>
    </row>
    <row r="2986" spans="5:10" ht="14.4" x14ac:dyDescent="0.3">
      <c r="E2986" s="3"/>
      <c r="F2986" s="3"/>
      <c r="G2986" s="3"/>
      <c r="H2986" s="3"/>
      <c r="I2986" s="3"/>
      <c r="J2986" s="3"/>
    </row>
    <row r="2987" spans="5:10" ht="14.4" x14ac:dyDescent="0.3">
      <c r="E2987" s="3"/>
      <c r="F2987" s="3"/>
      <c r="G2987" s="3"/>
      <c r="H2987" s="3"/>
      <c r="I2987" s="3"/>
      <c r="J2987" s="3"/>
    </row>
    <row r="2988" spans="5:10" ht="14.4" x14ac:dyDescent="0.3">
      <c r="E2988" s="3"/>
      <c r="F2988" s="3"/>
      <c r="G2988" s="3"/>
      <c r="H2988" s="3"/>
      <c r="I2988" s="3"/>
      <c r="J2988" s="3"/>
    </row>
    <row r="2989" spans="5:10" ht="14.4" x14ac:dyDescent="0.3">
      <c r="E2989" s="3"/>
      <c r="F2989" s="3"/>
      <c r="G2989" s="3"/>
      <c r="H2989" s="3"/>
      <c r="I2989" s="3"/>
      <c r="J2989" s="3"/>
    </row>
    <row r="2990" spans="5:10" ht="14.4" x14ac:dyDescent="0.3">
      <c r="E2990" s="3"/>
      <c r="F2990" s="3"/>
      <c r="G2990" s="3"/>
      <c r="H2990" s="3"/>
      <c r="I2990" s="3"/>
      <c r="J2990" s="3"/>
    </row>
    <row r="2991" spans="5:10" ht="14.4" x14ac:dyDescent="0.3">
      <c r="E2991" s="3"/>
      <c r="F2991" s="3"/>
      <c r="G2991" s="3"/>
      <c r="H2991" s="3"/>
      <c r="I2991" s="3"/>
      <c r="J2991" s="3"/>
    </row>
    <row r="2992" spans="5:10" ht="14.4" x14ac:dyDescent="0.3">
      <c r="E2992" s="3"/>
      <c r="F2992" s="3"/>
      <c r="G2992" s="3"/>
      <c r="H2992" s="3"/>
      <c r="I2992" s="3"/>
      <c r="J2992" s="3"/>
    </row>
    <row r="2993" spans="5:10" ht="14.4" x14ac:dyDescent="0.3">
      <c r="E2993" s="3"/>
      <c r="F2993" s="3"/>
      <c r="G2993" s="3"/>
      <c r="H2993" s="3"/>
      <c r="I2993" s="3"/>
      <c r="J2993" s="3"/>
    </row>
    <row r="2994" spans="5:10" ht="14.4" x14ac:dyDescent="0.3">
      <c r="E2994" s="3"/>
      <c r="F2994" s="3"/>
      <c r="G2994" s="3"/>
      <c r="H2994" s="3"/>
      <c r="I2994" s="3"/>
      <c r="J2994" s="3"/>
    </row>
    <row r="2995" spans="5:10" ht="14.4" x14ac:dyDescent="0.3">
      <c r="E2995" s="3"/>
      <c r="F2995" s="3"/>
      <c r="G2995" s="3"/>
      <c r="H2995" s="3"/>
      <c r="I2995" s="3"/>
      <c r="J2995" s="3"/>
    </row>
    <row r="2996" spans="5:10" ht="14.4" x14ac:dyDescent="0.3">
      <c r="E2996" s="3"/>
      <c r="F2996" s="3"/>
      <c r="G2996" s="3"/>
      <c r="H2996" s="3"/>
      <c r="I2996" s="3"/>
      <c r="J2996" s="3"/>
    </row>
    <row r="2997" spans="5:10" ht="14.4" x14ac:dyDescent="0.3">
      <c r="E2997" s="3"/>
      <c r="F2997" s="3"/>
      <c r="G2997" s="3"/>
      <c r="H2997" s="3"/>
      <c r="I2997" s="3"/>
      <c r="J2997" s="3"/>
    </row>
    <row r="2998" spans="5:10" ht="14.4" x14ac:dyDescent="0.3">
      <c r="E2998" s="3"/>
      <c r="F2998" s="3"/>
      <c r="G2998" s="3"/>
      <c r="H2998" s="3"/>
      <c r="I2998" s="3"/>
      <c r="J2998" s="3"/>
    </row>
    <row r="2999" spans="5:10" ht="14.4" x14ac:dyDescent="0.3">
      <c r="E2999" s="3"/>
      <c r="F2999" s="3"/>
      <c r="G2999" s="3"/>
      <c r="H2999" s="3"/>
      <c r="I2999" s="3"/>
      <c r="J2999" s="3"/>
    </row>
    <row r="3000" spans="5:10" ht="14.4" x14ac:dyDescent="0.3">
      <c r="E3000" s="3"/>
      <c r="F3000" s="3"/>
      <c r="G3000" s="3"/>
      <c r="H3000" s="3"/>
      <c r="I3000" s="3"/>
      <c r="J3000" s="3"/>
    </row>
    <row r="3001" spans="5:10" ht="14.4" x14ac:dyDescent="0.3">
      <c r="E3001" s="3"/>
      <c r="F3001" s="3"/>
      <c r="G3001" s="3"/>
      <c r="H3001" s="3"/>
      <c r="I3001" s="3"/>
      <c r="J3001" s="3"/>
    </row>
    <row r="3002" spans="5:10" ht="14.4" x14ac:dyDescent="0.3">
      <c r="E3002" s="3"/>
      <c r="F3002" s="3"/>
      <c r="G3002" s="3"/>
      <c r="H3002" s="3"/>
      <c r="I3002" s="3"/>
      <c r="J3002" s="3"/>
    </row>
    <row r="3003" spans="5:10" ht="14.4" x14ac:dyDescent="0.3">
      <c r="E3003" s="3"/>
      <c r="F3003" s="3"/>
      <c r="G3003" s="3"/>
      <c r="H3003" s="3"/>
      <c r="I3003" s="3"/>
      <c r="J3003" s="3"/>
    </row>
    <row r="3004" spans="5:10" ht="14.4" x14ac:dyDescent="0.3">
      <c r="E3004" s="3"/>
      <c r="F3004" s="3"/>
      <c r="G3004" s="3"/>
      <c r="H3004" s="3"/>
      <c r="I3004" s="3"/>
      <c r="J3004" s="3"/>
    </row>
    <row r="3005" spans="5:10" ht="14.4" x14ac:dyDescent="0.3">
      <c r="E3005" s="3"/>
      <c r="F3005" s="3"/>
      <c r="G3005" s="3"/>
      <c r="H3005" s="3"/>
      <c r="I3005" s="3"/>
      <c r="J3005" s="3"/>
    </row>
    <row r="3006" spans="5:10" ht="14.4" x14ac:dyDescent="0.3">
      <c r="E3006" s="3"/>
      <c r="F3006" s="3"/>
      <c r="G3006" s="3"/>
      <c r="H3006" s="3"/>
      <c r="I3006" s="3"/>
      <c r="J3006" s="3"/>
    </row>
    <row r="3007" spans="5:10" ht="14.4" x14ac:dyDescent="0.3">
      <c r="E3007" s="3"/>
      <c r="F3007" s="3"/>
      <c r="G3007" s="3"/>
      <c r="H3007" s="3"/>
      <c r="I3007" s="3"/>
      <c r="J3007" s="3"/>
    </row>
    <row r="3008" spans="5:10" ht="14.4" x14ac:dyDescent="0.3">
      <c r="E3008" s="3"/>
      <c r="F3008" s="3"/>
      <c r="G3008" s="3"/>
      <c r="H3008" s="3"/>
      <c r="I3008" s="3"/>
      <c r="J3008" s="3"/>
    </row>
    <row r="3009" spans="5:10" ht="14.4" x14ac:dyDescent="0.3">
      <c r="E3009" s="3"/>
      <c r="F3009" s="3"/>
      <c r="G3009" s="3"/>
      <c r="H3009" s="3"/>
      <c r="I3009" s="3"/>
      <c r="J3009" s="3"/>
    </row>
    <row r="3010" spans="5:10" ht="14.4" x14ac:dyDescent="0.3">
      <c r="E3010" s="3"/>
      <c r="F3010" s="3"/>
      <c r="G3010" s="3"/>
      <c r="H3010" s="3"/>
      <c r="I3010" s="3"/>
      <c r="J3010" s="3"/>
    </row>
    <row r="3011" spans="5:10" ht="14.4" x14ac:dyDescent="0.3">
      <c r="E3011" s="3"/>
      <c r="F3011" s="3"/>
      <c r="G3011" s="3"/>
      <c r="H3011" s="3"/>
      <c r="I3011" s="3"/>
      <c r="J3011" s="3"/>
    </row>
    <row r="3012" spans="5:10" ht="14.4" x14ac:dyDescent="0.3">
      <c r="E3012" s="3"/>
      <c r="F3012" s="3"/>
      <c r="G3012" s="3"/>
      <c r="H3012" s="3"/>
      <c r="I3012" s="3"/>
      <c r="J3012" s="3"/>
    </row>
    <row r="3013" spans="5:10" ht="14.4" x14ac:dyDescent="0.3">
      <c r="E3013" s="3"/>
      <c r="F3013" s="3"/>
      <c r="G3013" s="3"/>
      <c r="H3013" s="3"/>
      <c r="I3013" s="3"/>
      <c r="J3013" s="3"/>
    </row>
    <row r="3014" spans="5:10" ht="14.4" x14ac:dyDescent="0.3">
      <c r="E3014" s="3"/>
      <c r="F3014" s="3"/>
      <c r="G3014" s="3"/>
      <c r="H3014" s="3"/>
      <c r="I3014" s="3"/>
      <c r="J3014" s="3"/>
    </row>
    <row r="3015" spans="5:10" ht="14.4" x14ac:dyDescent="0.3">
      <c r="E3015" s="3"/>
      <c r="F3015" s="3"/>
      <c r="G3015" s="3"/>
      <c r="H3015" s="3"/>
      <c r="I3015" s="3"/>
      <c r="J3015" s="3"/>
    </row>
    <row r="3016" spans="5:10" ht="14.4" x14ac:dyDescent="0.3">
      <c r="E3016" s="3"/>
      <c r="F3016" s="3"/>
      <c r="G3016" s="3"/>
      <c r="H3016" s="3"/>
      <c r="I3016" s="3"/>
      <c r="J3016" s="3"/>
    </row>
    <row r="3017" spans="5:10" ht="14.4" x14ac:dyDescent="0.3">
      <c r="E3017" s="3"/>
      <c r="F3017" s="3"/>
      <c r="G3017" s="3"/>
      <c r="H3017" s="3"/>
      <c r="I3017" s="3"/>
      <c r="J3017" s="3"/>
    </row>
    <row r="3018" spans="5:10" ht="14.4" x14ac:dyDescent="0.3">
      <c r="E3018" s="3"/>
      <c r="F3018" s="3"/>
      <c r="G3018" s="3"/>
      <c r="H3018" s="3"/>
      <c r="I3018" s="3"/>
      <c r="J3018" s="3"/>
    </row>
    <row r="3019" spans="5:10" ht="14.4" x14ac:dyDescent="0.3">
      <c r="E3019" s="3"/>
      <c r="F3019" s="3"/>
      <c r="G3019" s="3"/>
      <c r="H3019" s="3"/>
      <c r="I3019" s="3"/>
      <c r="J3019" s="3"/>
    </row>
    <row r="3020" spans="5:10" ht="14.4" x14ac:dyDescent="0.3">
      <c r="E3020" s="3"/>
      <c r="F3020" s="3"/>
      <c r="G3020" s="3"/>
      <c r="H3020" s="3"/>
      <c r="I3020" s="3"/>
      <c r="J3020" s="3"/>
    </row>
    <row r="3021" spans="5:10" ht="14.4" x14ac:dyDescent="0.3">
      <c r="E3021" s="3"/>
      <c r="F3021" s="3"/>
      <c r="G3021" s="3"/>
      <c r="H3021" s="3"/>
      <c r="I3021" s="3"/>
      <c r="J3021" s="3"/>
    </row>
    <row r="3022" spans="5:10" ht="14.4" x14ac:dyDescent="0.3">
      <c r="E3022" s="3"/>
      <c r="F3022" s="3"/>
      <c r="G3022" s="3"/>
      <c r="H3022" s="3"/>
      <c r="I3022" s="3"/>
      <c r="J3022" s="3"/>
    </row>
    <row r="3023" spans="5:10" ht="14.4" x14ac:dyDescent="0.3">
      <c r="E3023" s="3"/>
      <c r="F3023" s="3"/>
      <c r="G3023" s="3"/>
      <c r="H3023" s="3"/>
      <c r="I3023" s="3"/>
      <c r="J3023" s="3"/>
    </row>
    <row r="3024" spans="5:10" ht="14.4" x14ac:dyDescent="0.3">
      <c r="E3024" s="3"/>
      <c r="F3024" s="3"/>
      <c r="G3024" s="3"/>
      <c r="H3024" s="3"/>
      <c r="I3024" s="3"/>
      <c r="J3024" s="3"/>
    </row>
    <row r="3025" spans="5:10" ht="14.4" x14ac:dyDescent="0.3">
      <c r="E3025" s="3"/>
      <c r="F3025" s="3"/>
      <c r="G3025" s="3"/>
      <c r="H3025" s="3"/>
      <c r="I3025" s="3"/>
      <c r="J3025" s="3"/>
    </row>
    <row r="3026" spans="5:10" ht="14.4" x14ac:dyDescent="0.3">
      <c r="E3026" s="3"/>
      <c r="F3026" s="3"/>
      <c r="G3026" s="3"/>
      <c r="H3026" s="3"/>
      <c r="I3026" s="3"/>
      <c r="J3026" s="3"/>
    </row>
    <row r="3027" spans="5:10" ht="14.4" x14ac:dyDescent="0.3">
      <c r="E3027" s="3"/>
      <c r="F3027" s="3"/>
      <c r="G3027" s="3"/>
      <c r="H3027" s="3"/>
      <c r="I3027" s="3"/>
      <c r="J3027" s="3"/>
    </row>
    <row r="3028" spans="5:10" ht="14.4" x14ac:dyDescent="0.3">
      <c r="E3028" s="3"/>
      <c r="F3028" s="3"/>
      <c r="G3028" s="3"/>
      <c r="H3028" s="3"/>
      <c r="I3028" s="3"/>
      <c r="J3028" s="3"/>
    </row>
    <row r="3029" spans="5:10" ht="14.4" x14ac:dyDescent="0.3">
      <c r="E3029" s="3"/>
      <c r="F3029" s="3"/>
      <c r="G3029" s="3"/>
      <c r="H3029" s="3"/>
      <c r="I3029" s="3"/>
      <c r="J3029" s="3"/>
    </row>
    <row r="3030" spans="5:10" ht="14.4" x14ac:dyDescent="0.3">
      <c r="E3030" s="3"/>
      <c r="F3030" s="3"/>
      <c r="G3030" s="3"/>
      <c r="H3030" s="3"/>
      <c r="I3030" s="3"/>
      <c r="J3030" s="3"/>
    </row>
    <row r="3031" spans="5:10" ht="14.4" x14ac:dyDescent="0.3">
      <c r="E3031" s="3"/>
      <c r="F3031" s="3"/>
      <c r="G3031" s="3"/>
      <c r="H3031" s="3"/>
      <c r="I3031" s="3"/>
      <c r="J3031" s="3"/>
    </row>
    <row r="3032" spans="5:10" ht="14.4" x14ac:dyDescent="0.3">
      <c r="E3032" s="3"/>
      <c r="F3032" s="3"/>
      <c r="G3032" s="3"/>
      <c r="H3032" s="3"/>
      <c r="I3032" s="3"/>
      <c r="J3032" s="3"/>
    </row>
    <row r="3033" spans="5:10" ht="14.4" x14ac:dyDescent="0.3">
      <c r="E3033" s="3"/>
      <c r="F3033" s="3"/>
      <c r="G3033" s="3"/>
      <c r="H3033" s="3"/>
      <c r="I3033" s="3"/>
      <c r="J3033" s="3"/>
    </row>
    <row r="3034" spans="5:10" ht="14.4" x14ac:dyDescent="0.3">
      <c r="E3034" s="3"/>
      <c r="F3034" s="3"/>
      <c r="G3034" s="3"/>
      <c r="H3034" s="3"/>
      <c r="I3034" s="3"/>
      <c r="J3034" s="3"/>
    </row>
    <row r="3035" spans="5:10" ht="14.4" x14ac:dyDescent="0.3">
      <c r="E3035" s="3"/>
      <c r="F3035" s="3"/>
      <c r="G3035" s="3"/>
      <c r="H3035" s="3"/>
      <c r="I3035" s="3"/>
      <c r="J3035" s="3"/>
    </row>
    <row r="3036" spans="5:10" ht="14.4" x14ac:dyDescent="0.3">
      <c r="E3036" s="3"/>
      <c r="F3036" s="3"/>
      <c r="G3036" s="3"/>
      <c r="H3036" s="3"/>
      <c r="I3036" s="3"/>
      <c r="J3036" s="3"/>
    </row>
    <row r="3037" spans="5:10" ht="14.4" x14ac:dyDescent="0.3">
      <c r="E3037" s="3"/>
      <c r="F3037" s="3"/>
      <c r="G3037" s="3"/>
      <c r="H3037" s="3"/>
      <c r="I3037" s="3"/>
      <c r="J3037" s="3"/>
    </row>
    <row r="3038" spans="5:10" ht="14.4" x14ac:dyDescent="0.3">
      <c r="E3038" s="3"/>
      <c r="F3038" s="3"/>
      <c r="G3038" s="3"/>
      <c r="H3038" s="3"/>
      <c r="I3038" s="3"/>
      <c r="J3038" s="3"/>
    </row>
    <row r="3039" spans="5:10" ht="14.4" x14ac:dyDescent="0.3">
      <c r="E3039" s="3"/>
      <c r="F3039" s="3"/>
      <c r="G3039" s="3"/>
      <c r="H3039" s="3"/>
      <c r="I3039" s="3"/>
      <c r="J3039" s="3"/>
    </row>
    <row r="3040" spans="5:10" ht="14.4" x14ac:dyDescent="0.3">
      <c r="E3040" s="3"/>
      <c r="F3040" s="3"/>
      <c r="G3040" s="3"/>
      <c r="H3040" s="3"/>
      <c r="I3040" s="3"/>
      <c r="J3040" s="3"/>
    </row>
    <row r="3041" spans="5:10" ht="14.4" x14ac:dyDescent="0.3">
      <c r="E3041" s="3"/>
      <c r="F3041" s="3"/>
      <c r="G3041" s="3"/>
      <c r="H3041" s="3"/>
      <c r="I3041" s="3"/>
      <c r="J3041" s="3"/>
    </row>
    <row r="3042" spans="5:10" ht="14.4" x14ac:dyDescent="0.3">
      <c r="E3042" s="3"/>
      <c r="F3042" s="3"/>
      <c r="G3042" s="3"/>
      <c r="H3042" s="3"/>
      <c r="I3042" s="3"/>
      <c r="J3042" s="3"/>
    </row>
    <row r="3043" spans="5:10" ht="14.4" x14ac:dyDescent="0.3">
      <c r="E3043" s="3"/>
      <c r="F3043" s="3"/>
      <c r="G3043" s="3"/>
      <c r="H3043" s="3"/>
      <c r="I3043" s="3"/>
      <c r="J3043" s="3"/>
    </row>
    <row r="3044" spans="5:10" ht="14.4" x14ac:dyDescent="0.3">
      <c r="E3044" s="3"/>
      <c r="F3044" s="3"/>
      <c r="G3044" s="3"/>
      <c r="H3044" s="3"/>
      <c r="I3044" s="3"/>
      <c r="J3044" s="3"/>
    </row>
    <row r="3045" spans="5:10" ht="14.4" x14ac:dyDescent="0.3">
      <c r="E3045" s="3"/>
      <c r="F3045" s="3"/>
      <c r="G3045" s="3"/>
      <c r="H3045" s="3"/>
      <c r="I3045" s="3"/>
      <c r="J3045" s="3"/>
    </row>
    <row r="3046" spans="5:10" ht="14.4" x14ac:dyDescent="0.3">
      <c r="E3046" s="3"/>
      <c r="F3046" s="3"/>
      <c r="G3046" s="3"/>
      <c r="H3046" s="3"/>
      <c r="I3046" s="3"/>
      <c r="J3046" s="3"/>
    </row>
    <row r="3047" spans="5:10" ht="14.4" x14ac:dyDescent="0.3">
      <c r="E3047" s="3"/>
      <c r="F3047" s="3"/>
      <c r="G3047" s="3"/>
      <c r="H3047" s="3"/>
      <c r="I3047" s="3"/>
      <c r="J3047" s="3"/>
    </row>
    <row r="3048" spans="5:10" ht="14.4" x14ac:dyDescent="0.3">
      <c r="E3048" s="3"/>
      <c r="F3048" s="3"/>
      <c r="G3048" s="3"/>
      <c r="H3048" s="3"/>
      <c r="I3048" s="3"/>
      <c r="J3048" s="3"/>
    </row>
    <row r="3049" spans="5:10" ht="14.4" x14ac:dyDescent="0.3">
      <c r="E3049" s="3"/>
      <c r="F3049" s="3"/>
      <c r="G3049" s="3"/>
      <c r="H3049" s="3"/>
      <c r="I3049" s="3"/>
      <c r="J3049" s="3"/>
    </row>
    <row r="3050" spans="5:10" ht="14.4" x14ac:dyDescent="0.3">
      <c r="E3050" s="3"/>
      <c r="F3050" s="3"/>
      <c r="G3050" s="3"/>
      <c r="H3050" s="3"/>
      <c r="I3050" s="3"/>
      <c r="J3050" s="3"/>
    </row>
    <row r="3051" spans="5:10" ht="14.4" x14ac:dyDescent="0.3">
      <c r="E3051" s="3"/>
      <c r="F3051" s="3"/>
      <c r="G3051" s="3"/>
      <c r="H3051" s="3"/>
      <c r="I3051" s="3"/>
      <c r="J3051" s="3"/>
    </row>
    <row r="3052" spans="5:10" ht="14.4" x14ac:dyDescent="0.3">
      <c r="E3052" s="3"/>
      <c r="F3052" s="3"/>
      <c r="G3052" s="3"/>
      <c r="H3052" s="3"/>
      <c r="I3052" s="3"/>
      <c r="J3052" s="3"/>
    </row>
    <row r="3053" spans="5:10" ht="14.4" x14ac:dyDescent="0.3">
      <c r="E3053" s="3"/>
      <c r="F3053" s="3"/>
      <c r="G3053" s="3"/>
      <c r="H3053" s="3"/>
      <c r="I3053" s="3"/>
      <c r="J3053" s="3"/>
    </row>
    <row r="3054" spans="5:10" ht="14.4" x14ac:dyDescent="0.3">
      <c r="E3054" s="3"/>
      <c r="F3054" s="3"/>
      <c r="G3054" s="3"/>
      <c r="H3054" s="3"/>
      <c r="I3054" s="3"/>
      <c r="J3054" s="3"/>
    </row>
    <row r="3055" spans="5:10" ht="14.4" x14ac:dyDescent="0.3">
      <c r="E3055" s="3"/>
      <c r="F3055" s="3"/>
      <c r="G3055" s="3"/>
      <c r="H3055" s="3"/>
      <c r="I3055" s="3"/>
      <c r="J3055" s="3"/>
    </row>
    <row r="3056" spans="5:10" ht="14.4" x14ac:dyDescent="0.3">
      <c r="E3056" s="3"/>
      <c r="F3056" s="3"/>
      <c r="G3056" s="3"/>
      <c r="H3056" s="3"/>
      <c r="I3056" s="3"/>
      <c r="J3056" s="3"/>
    </row>
    <row r="3057" spans="5:10" ht="14.4" x14ac:dyDescent="0.3">
      <c r="E3057" s="3"/>
      <c r="F3057" s="3"/>
      <c r="G3057" s="3"/>
      <c r="H3057" s="3"/>
      <c r="I3057" s="3"/>
      <c r="J3057" s="3"/>
    </row>
    <row r="3058" spans="5:10" ht="14.4" x14ac:dyDescent="0.3">
      <c r="E3058" s="3"/>
      <c r="F3058" s="3"/>
      <c r="G3058" s="3"/>
      <c r="H3058" s="3"/>
      <c r="I3058" s="3"/>
      <c r="J3058" s="3"/>
    </row>
    <row r="3059" spans="5:10" ht="14.4" x14ac:dyDescent="0.3">
      <c r="E3059" s="3"/>
      <c r="F3059" s="3"/>
      <c r="G3059" s="3"/>
      <c r="H3059" s="3"/>
      <c r="I3059" s="3"/>
      <c r="J3059" s="3"/>
    </row>
    <row r="3060" spans="5:10" ht="14.4" x14ac:dyDescent="0.3">
      <c r="E3060" s="3"/>
      <c r="F3060" s="3"/>
      <c r="G3060" s="3"/>
      <c r="H3060" s="3"/>
      <c r="I3060" s="3"/>
      <c r="J3060" s="3"/>
    </row>
    <row r="3061" spans="5:10" ht="14.4" x14ac:dyDescent="0.3">
      <c r="E3061" s="3"/>
      <c r="F3061" s="3"/>
      <c r="G3061" s="3"/>
      <c r="H3061" s="3"/>
      <c r="I3061" s="3"/>
      <c r="J3061" s="3"/>
    </row>
    <row r="3062" spans="5:10" ht="14.4" x14ac:dyDescent="0.3">
      <c r="E3062" s="3"/>
      <c r="F3062" s="3"/>
      <c r="G3062" s="3"/>
      <c r="H3062" s="3"/>
      <c r="I3062" s="3"/>
      <c r="J3062" s="3"/>
    </row>
    <row r="3063" spans="5:10" ht="14.4" x14ac:dyDescent="0.3">
      <c r="E3063" s="3"/>
      <c r="F3063" s="3"/>
      <c r="G3063" s="3"/>
      <c r="H3063" s="3"/>
      <c r="I3063" s="3"/>
      <c r="J3063" s="3"/>
    </row>
    <row r="3064" spans="5:10" ht="14.4" x14ac:dyDescent="0.3">
      <c r="E3064" s="3"/>
      <c r="F3064" s="3"/>
      <c r="G3064" s="3"/>
      <c r="H3064" s="3"/>
      <c r="I3064" s="3"/>
      <c r="J3064" s="3"/>
    </row>
    <row r="3065" spans="5:10" ht="14.4" x14ac:dyDescent="0.3">
      <c r="E3065" s="3"/>
      <c r="F3065" s="3"/>
      <c r="G3065" s="3"/>
      <c r="H3065" s="3"/>
      <c r="I3065" s="3"/>
      <c r="J3065" s="3"/>
    </row>
    <row r="3066" spans="5:10" ht="14.4" x14ac:dyDescent="0.3">
      <c r="E3066" s="3"/>
      <c r="F3066" s="3"/>
      <c r="G3066" s="3"/>
      <c r="H3066" s="3"/>
      <c r="I3066" s="3"/>
      <c r="J3066" s="3"/>
    </row>
    <row r="3067" spans="5:10" ht="14.4" x14ac:dyDescent="0.3">
      <c r="E3067" s="3"/>
      <c r="F3067" s="3"/>
      <c r="G3067" s="3"/>
      <c r="H3067" s="3"/>
      <c r="I3067" s="3"/>
      <c r="J3067" s="3"/>
    </row>
    <row r="3068" spans="5:10" ht="14.4" x14ac:dyDescent="0.3">
      <c r="E3068" s="3"/>
      <c r="F3068" s="3"/>
      <c r="G3068" s="3"/>
      <c r="H3068" s="3"/>
      <c r="I3068" s="3"/>
      <c r="J3068" s="3"/>
    </row>
    <row r="3069" spans="5:10" ht="14.4" x14ac:dyDescent="0.3">
      <c r="E3069" s="3"/>
      <c r="F3069" s="3"/>
      <c r="G3069" s="3"/>
      <c r="H3069" s="3"/>
      <c r="I3069" s="3"/>
      <c r="J3069" s="3"/>
    </row>
    <row r="3070" spans="5:10" ht="14.4" x14ac:dyDescent="0.3">
      <c r="E3070" s="3"/>
      <c r="F3070" s="3"/>
      <c r="G3070" s="3"/>
      <c r="H3070" s="3"/>
      <c r="I3070" s="3"/>
      <c r="J3070" s="3"/>
    </row>
    <row r="3071" spans="5:10" ht="14.4" x14ac:dyDescent="0.3">
      <c r="E3071" s="3"/>
      <c r="F3071" s="3"/>
      <c r="G3071" s="3"/>
      <c r="H3071" s="3"/>
      <c r="I3071" s="3"/>
      <c r="J3071" s="3"/>
    </row>
    <row r="3072" spans="5:10" ht="14.4" x14ac:dyDescent="0.3">
      <c r="E3072" s="3"/>
      <c r="F3072" s="3"/>
      <c r="G3072" s="3"/>
      <c r="H3072" s="3"/>
      <c r="I3072" s="3"/>
      <c r="J3072" s="3"/>
    </row>
    <row r="3073" spans="5:10" ht="14.4" x14ac:dyDescent="0.3">
      <c r="E3073" s="3"/>
      <c r="F3073" s="3"/>
      <c r="G3073" s="3"/>
      <c r="H3073" s="3"/>
      <c r="I3073" s="3"/>
      <c r="J3073" s="3"/>
    </row>
    <row r="3074" spans="5:10" ht="14.4" x14ac:dyDescent="0.3">
      <c r="E3074" s="3"/>
      <c r="F3074" s="3"/>
      <c r="G3074" s="3"/>
      <c r="H3074" s="3"/>
      <c r="I3074" s="3"/>
      <c r="J3074" s="3"/>
    </row>
    <row r="3075" spans="5:10" ht="14.4" x14ac:dyDescent="0.3">
      <c r="E3075" s="3"/>
      <c r="F3075" s="3"/>
      <c r="G3075" s="3"/>
      <c r="H3075" s="3"/>
      <c r="I3075" s="3"/>
      <c r="J3075" s="3"/>
    </row>
    <row r="3076" spans="5:10" ht="14.4" x14ac:dyDescent="0.3">
      <c r="E3076" s="3"/>
      <c r="F3076" s="3"/>
      <c r="G3076" s="3"/>
      <c r="H3076" s="3"/>
      <c r="I3076" s="3"/>
      <c r="J3076" s="3"/>
    </row>
    <row r="3077" spans="5:10" ht="14.4" x14ac:dyDescent="0.3">
      <c r="E3077" s="3"/>
      <c r="F3077" s="3"/>
      <c r="G3077" s="3"/>
      <c r="H3077" s="3"/>
      <c r="I3077" s="3"/>
      <c r="J3077" s="3"/>
    </row>
    <row r="3078" spans="5:10" ht="14.4" x14ac:dyDescent="0.3">
      <c r="E3078" s="3"/>
      <c r="F3078" s="3"/>
      <c r="G3078" s="3"/>
      <c r="H3078" s="3"/>
      <c r="I3078" s="3"/>
      <c r="J3078" s="3"/>
    </row>
    <row r="3079" spans="5:10" ht="14.4" x14ac:dyDescent="0.3">
      <c r="E3079" s="3"/>
      <c r="F3079" s="3"/>
      <c r="G3079" s="3"/>
      <c r="H3079" s="3"/>
      <c r="I3079" s="3"/>
      <c r="J3079" s="3"/>
    </row>
    <row r="3080" spans="5:10" ht="14.4" x14ac:dyDescent="0.3">
      <c r="E3080" s="3"/>
      <c r="F3080" s="3"/>
      <c r="G3080" s="3"/>
      <c r="H3080" s="3"/>
      <c r="I3080" s="3"/>
      <c r="J3080" s="3"/>
    </row>
    <row r="3081" spans="5:10" ht="14.4" x14ac:dyDescent="0.3">
      <c r="E3081" s="3"/>
      <c r="F3081" s="3"/>
      <c r="G3081" s="3"/>
      <c r="H3081" s="3"/>
      <c r="I3081" s="3"/>
      <c r="J3081" s="3"/>
    </row>
    <row r="3082" spans="5:10" ht="14.4" x14ac:dyDescent="0.3">
      <c r="E3082" s="3"/>
      <c r="F3082" s="3"/>
      <c r="G3082" s="3"/>
      <c r="H3082" s="3"/>
      <c r="I3082" s="3"/>
      <c r="J3082" s="3"/>
    </row>
    <row r="3083" spans="5:10" ht="14.4" x14ac:dyDescent="0.3">
      <c r="E3083" s="3"/>
      <c r="F3083" s="3"/>
      <c r="G3083" s="3"/>
      <c r="H3083" s="3"/>
      <c r="I3083" s="3"/>
      <c r="J3083" s="3"/>
    </row>
    <row r="3084" spans="5:10" ht="14.4" x14ac:dyDescent="0.3">
      <c r="E3084" s="3"/>
      <c r="F3084" s="3"/>
      <c r="G3084" s="3"/>
      <c r="H3084" s="3"/>
      <c r="I3084" s="3"/>
      <c r="J3084" s="3"/>
    </row>
    <row r="3085" spans="5:10" ht="14.4" x14ac:dyDescent="0.3">
      <c r="E3085" s="3"/>
      <c r="F3085" s="3"/>
      <c r="G3085" s="3"/>
      <c r="H3085" s="3"/>
      <c r="I3085" s="3"/>
      <c r="J3085" s="3"/>
    </row>
    <row r="3086" spans="5:10" ht="14.4" x14ac:dyDescent="0.3">
      <c r="E3086" s="3"/>
      <c r="F3086" s="3"/>
      <c r="G3086" s="3"/>
      <c r="H3086" s="3"/>
      <c r="I3086" s="3"/>
      <c r="J3086" s="3"/>
    </row>
    <row r="3087" spans="5:10" ht="14.4" x14ac:dyDescent="0.3">
      <c r="E3087" s="3"/>
      <c r="F3087" s="3"/>
      <c r="G3087" s="3"/>
      <c r="H3087" s="3"/>
      <c r="I3087" s="3"/>
      <c r="J3087" s="3"/>
    </row>
    <row r="3088" spans="5:10" ht="14.4" x14ac:dyDescent="0.3">
      <c r="E3088" s="3"/>
      <c r="F3088" s="3"/>
      <c r="G3088" s="3"/>
      <c r="H3088" s="3"/>
      <c r="I3088" s="3"/>
      <c r="J3088" s="3"/>
    </row>
    <row r="3089" spans="5:10" ht="14.4" x14ac:dyDescent="0.3">
      <c r="E3089" s="3"/>
      <c r="F3089" s="3"/>
      <c r="G3089" s="3"/>
      <c r="H3089" s="3"/>
      <c r="I3089" s="3"/>
      <c r="J3089" s="3"/>
    </row>
    <row r="3090" spans="5:10" ht="14.4" x14ac:dyDescent="0.3">
      <c r="E3090" s="3"/>
      <c r="F3090" s="3"/>
      <c r="G3090" s="3"/>
      <c r="H3090" s="3"/>
      <c r="I3090" s="3"/>
      <c r="J3090" s="3"/>
    </row>
    <row r="3091" spans="5:10" ht="14.4" x14ac:dyDescent="0.3">
      <c r="E3091" s="3"/>
      <c r="F3091" s="3"/>
      <c r="G3091" s="3"/>
      <c r="H3091" s="3"/>
      <c r="I3091" s="3"/>
      <c r="J3091" s="3"/>
    </row>
    <row r="3092" spans="5:10" ht="14.4" x14ac:dyDescent="0.3">
      <c r="E3092" s="3"/>
      <c r="F3092" s="3"/>
      <c r="G3092" s="3"/>
      <c r="H3092" s="3"/>
      <c r="I3092" s="3"/>
      <c r="J3092" s="3"/>
    </row>
    <row r="3093" spans="5:10" ht="14.4" x14ac:dyDescent="0.3">
      <c r="E3093" s="3"/>
      <c r="F3093" s="3"/>
      <c r="G3093" s="3"/>
      <c r="H3093" s="3"/>
      <c r="I3093" s="3"/>
      <c r="J3093" s="3"/>
    </row>
    <row r="3094" spans="5:10" ht="14.4" x14ac:dyDescent="0.3">
      <c r="E3094" s="3"/>
      <c r="F3094" s="3"/>
      <c r="G3094" s="3"/>
      <c r="H3094" s="3"/>
      <c r="I3094" s="3"/>
      <c r="J3094" s="3"/>
    </row>
    <row r="3095" spans="5:10" ht="14.4" x14ac:dyDescent="0.3">
      <c r="E3095" s="3"/>
      <c r="F3095" s="3"/>
      <c r="G3095" s="3"/>
      <c r="H3095" s="3"/>
      <c r="I3095" s="3"/>
      <c r="J3095" s="3"/>
    </row>
    <row r="3096" spans="5:10" ht="14.4" x14ac:dyDescent="0.3">
      <c r="E3096" s="3"/>
      <c r="F3096" s="3"/>
      <c r="G3096" s="3"/>
      <c r="H3096" s="3"/>
      <c r="I3096" s="3"/>
      <c r="J3096" s="3"/>
    </row>
    <row r="3097" spans="5:10" ht="14.4" x14ac:dyDescent="0.3">
      <c r="E3097" s="3"/>
      <c r="F3097" s="3"/>
      <c r="G3097" s="3"/>
      <c r="H3097" s="3"/>
      <c r="I3097" s="3"/>
      <c r="J3097" s="3"/>
    </row>
    <row r="3098" spans="5:10" ht="14.4" x14ac:dyDescent="0.3">
      <c r="E3098" s="3"/>
      <c r="F3098" s="3"/>
      <c r="G3098" s="3"/>
      <c r="H3098" s="3"/>
      <c r="I3098" s="3"/>
      <c r="J3098" s="3"/>
    </row>
    <row r="3099" spans="5:10" ht="14.4" x14ac:dyDescent="0.3">
      <c r="E3099" s="3"/>
      <c r="F3099" s="3"/>
      <c r="G3099" s="3"/>
      <c r="H3099" s="3"/>
      <c r="I3099" s="3"/>
      <c r="J3099" s="3"/>
    </row>
    <row r="3100" spans="5:10" ht="14.4" x14ac:dyDescent="0.3">
      <c r="E3100" s="3"/>
      <c r="F3100" s="3"/>
      <c r="G3100" s="3"/>
      <c r="H3100" s="3"/>
      <c r="I3100" s="3"/>
      <c r="J3100" s="3"/>
    </row>
    <row r="3101" spans="5:10" ht="14.4" x14ac:dyDescent="0.3">
      <c r="E3101" s="3"/>
      <c r="F3101" s="3"/>
      <c r="G3101" s="3"/>
      <c r="H3101" s="3"/>
      <c r="I3101" s="3"/>
      <c r="J3101" s="3"/>
    </row>
    <row r="3102" spans="5:10" ht="14.4" x14ac:dyDescent="0.3">
      <c r="E3102" s="3"/>
      <c r="F3102" s="3"/>
      <c r="G3102" s="3"/>
      <c r="H3102" s="3"/>
      <c r="I3102" s="3"/>
      <c r="J3102" s="3"/>
    </row>
    <row r="3103" spans="5:10" ht="14.4" x14ac:dyDescent="0.3">
      <c r="E3103" s="3"/>
      <c r="F3103" s="3"/>
      <c r="G3103" s="3"/>
      <c r="H3103" s="3"/>
      <c r="I3103" s="3"/>
      <c r="J3103" s="3"/>
    </row>
    <row r="3104" spans="5:10" ht="14.4" x14ac:dyDescent="0.3">
      <c r="E3104" s="3"/>
      <c r="F3104" s="3"/>
      <c r="G3104" s="3"/>
      <c r="H3104" s="3"/>
      <c r="I3104" s="3"/>
      <c r="J3104" s="3"/>
    </row>
    <row r="3105" spans="5:10" ht="14.4" x14ac:dyDescent="0.3">
      <c r="E3105" s="3"/>
      <c r="F3105" s="3"/>
      <c r="G3105" s="3"/>
      <c r="H3105" s="3"/>
      <c r="I3105" s="3"/>
      <c r="J3105" s="3"/>
    </row>
    <row r="3106" spans="5:10" ht="14.4" x14ac:dyDescent="0.3">
      <c r="E3106" s="3"/>
      <c r="F3106" s="3"/>
      <c r="G3106" s="3"/>
      <c r="H3106" s="3"/>
      <c r="I3106" s="3"/>
      <c r="J3106" s="3"/>
    </row>
    <row r="3107" spans="5:10" ht="14.4" x14ac:dyDescent="0.3">
      <c r="E3107" s="3"/>
      <c r="F3107" s="3"/>
      <c r="G3107" s="3"/>
      <c r="H3107" s="3"/>
      <c r="I3107" s="3"/>
      <c r="J3107" s="3"/>
    </row>
    <row r="3108" spans="5:10" ht="14.4" x14ac:dyDescent="0.3">
      <c r="E3108" s="3"/>
      <c r="F3108" s="3"/>
      <c r="G3108" s="3"/>
      <c r="H3108" s="3"/>
      <c r="I3108" s="3"/>
      <c r="J3108" s="3"/>
    </row>
    <row r="3109" spans="5:10" ht="14.4" x14ac:dyDescent="0.3">
      <c r="E3109" s="3"/>
      <c r="F3109" s="3"/>
      <c r="G3109" s="3"/>
      <c r="H3109" s="3"/>
      <c r="I3109" s="3"/>
      <c r="J3109" s="3"/>
    </row>
    <row r="3110" spans="5:10" ht="14.4" x14ac:dyDescent="0.3">
      <c r="E3110" s="3"/>
      <c r="F3110" s="3"/>
      <c r="G3110" s="3"/>
      <c r="H3110" s="3"/>
      <c r="I3110" s="3"/>
      <c r="J3110" s="3"/>
    </row>
    <row r="3111" spans="5:10" ht="14.4" x14ac:dyDescent="0.3">
      <c r="E3111" s="3"/>
      <c r="F3111" s="3"/>
      <c r="G3111" s="3"/>
      <c r="H3111" s="3"/>
      <c r="I3111" s="3"/>
      <c r="J3111" s="3"/>
    </row>
    <row r="3112" spans="5:10" ht="14.4" x14ac:dyDescent="0.3">
      <c r="E3112" s="3"/>
      <c r="F3112" s="3"/>
      <c r="G3112" s="3"/>
      <c r="H3112" s="3"/>
      <c r="I3112" s="3"/>
      <c r="J3112" s="3"/>
    </row>
    <row r="3113" spans="5:10" ht="14.4" x14ac:dyDescent="0.3">
      <c r="E3113" s="3"/>
      <c r="F3113" s="3"/>
      <c r="G3113" s="3"/>
      <c r="H3113" s="3"/>
      <c r="I3113" s="3"/>
      <c r="J3113" s="3"/>
    </row>
    <row r="3114" spans="5:10" ht="14.4" x14ac:dyDescent="0.3">
      <c r="E3114" s="3"/>
      <c r="F3114" s="3"/>
      <c r="G3114" s="3"/>
      <c r="H3114" s="3"/>
      <c r="I3114" s="3"/>
      <c r="J3114" s="3"/>
    </row>
    <row r="3115" spans="5:10" ht="14.4" x14ac:dyDescent="0.3">
      <c r="E3115" s="3"/>
      <c r="F3115" s="3"/>
      <c r="G3115" s="3"/>
      <c r="H3115" s="3"/>
      <c r="I3115" s="3"/>
      <c r="J3115" s="3"/>
    </row>
    <row r="3116" spans="5:10" ht="14.4" x14ac:dyDescent="0.3">
      <c r="E3116" s="3"/>
      <c r="F3116" s="3"/>
      <c r="G3116" s="3"/>
      <c r="H3116" s="3"/>
      <c r="I3116" s="3"/>
      <c r="J3116" s="3"/>
    </row>
    <row r="3117" spans="5:10" ht="14.4" x14ac:dyDescent="0.3">
      <c r="E3117" s="3"/>
      <c r="F3117" s="3"/>
      <c r="G3117" s="3"/>
      <c r="H3117" s="3"/>
      <c r="I3117" s="3"/>
      <c r="J3117" s="3"/>
    </row>
    <row r="3118" spans="5:10" ht="14.4" x14ac:dyDescent="0.3">
      <c r="E3118" s="3"/>
      <c r="F3118" s="3"/>
      <c r="G3118" s="3"/>
      <c r="H3118" s="3"/>
      <c r="I3118" s="3"/>
      <c r="J3118" s="3"/>
    </row>
    <row r="3119" spans="5:10" ht="14.4" x14ac:dyDescent="0.3">
      <c r="E3119" s="3"/>
      <c r="F3119" s="3"/>
      <c r="G3119" s="3"/>
      <c r="H3119" s="3"/>
      <c r="I3119" s="3"/>
      <c r="J3119" s="3"/>
    </row>
    <row r="3120" spans="5:10" ht="14.4" x14ac:dyDescent="0.3">
      <c r="E3120" s="3"/>
      <c r="F3120" s="3"/>
      <c r="G3120" s="3"/>
      <c r="H3120" s="3"/>
      <c r="I3120" s="3"/>
      <c r="J3120" s="3"/>
    </row>
    <row r="3121" spans="5:10" ht="14.4" x14ac:dyDescent="0.3">
      <c r="E3121" s="3"/>
      <c r="F3121" s="3"/>
      <c r="G3121" s="3"/>
      <c r="H3121" s="3"/>
      <c r="I3121" s="3"/>
      <c r="J3121" s="3"/>
    </row>
    <row r="3122" spans="5:10" ht="14.4" x14ac:dyDescent="0.3">
      <c r="E3122" s="3"/>
      <c r="F3122" s="3"/>
      <c r="G3122" s="3"/>
      <c r="H3122" s="3"/>
      <c r="I3122" s="3"/>
      <c r="J3122" s="3"/>
    </row>
    <row r="3123" spans="5:10" ht="14.4" x14ac:dyDescent="0.3">
      <c r="E3123" s="3"/>
      <c r="F3123" s="3"/>
      <c r="G3123" s="3"/>
      <c r="H3123" s="3"/>
      <c r="I3123" s="3"/>
      <c r="J3123" s="3"/>
    </row>
    <row r="3124" spans="5:10" ht="14.4" x14ac:dyDescent="0.3">
      <c r="E3124" s="3"/>
      <c r="F3124" s="3"/>
      <c r="G3124" s="3"/>
      <c r="H3124" s="3"/>
      <c r="I3124" s="3"/>
      <c r="J3124" s="3"/>
    </row>
    <row r="3125" spans="5:10" ht="14.4" x14ac:dyDescent="0.3">
      <c r="E3125" s="3"/>
      <c r="F3125" s="3"/>
      <c r="G3125" s="3"/>
      <c r="H3125" s="3"/>
      <c r="I3125" s="3"/>
      <c r="J3125" s="3"/>
    </row>
    <row r="3126" spans="5:10" ht="14.4" x14ac:dyDescent="0.3">
      <c r="E3126" s="3"/>
      <c r="F3126" s="3"/>
      <c r="G3126" s="3"/>
      <c r="H3126" s="3"/>
      <c r="I3126" s="3"/>
      <c r="J3126" s="3"/>
    </row>
    <row r="3127" spans="5:10" ht="14.4" x14ac:dyDescent="0.3">
      <c r="E3127" s="3"/>
      <c r="F3127" s="3"/>
      <c r="G3127" s="3"/>
      <c r="H3127" s="3"/>
      <c r="I3127" s="3"/>
      <c r="J3127" s="3"/>
    </row>
    <row r="3128" spans="5:10" ht="14.4" x14ac:dyDescent="0.3">
      <c r="E3128" s="3"/>
      <c r="F3128" s="3"/>
      <c r="G3128" s="3"/>
      <c r="H3128" s="3"/>
      <c r="I3128" s="3"/>
      <c r="J3128" s="3"/>
    </row>
    <row r="3129" spans="5:10" ht="14.4" x14ac:dyDescent="0.3">
      <c r="E3129" s="3"/>
      <c r="F3129" s="3"/>
      <c r="G3129" s="3"/>
      <c r="H3129" s="3"/>
      <c r="I3129" s="3"/>
      <c r="J3129" s="3"/>
    </row>
    <row r="3130" spans="5:10" ht="14.4" x14ac:dyDescent="0.3">
      <c r="E3130" s="3"/>
      <c r="F3130" s="3"/>
      <c r="G3130" s="3"/>
      <c r="H3130" s="3"/>
      <c r="I3130" s="3"/>
      <c r="J3130" s="3"/>
    </row>
    <row r="3131" spans="5:10" ht="14.4" x14ac:dyDescent="0.3">
      <c r="E3131" s="3"/>
      <c r="F3131" s="3"/>
      <c r="G3131" s="3"/>
      <c r="H3131" s="3"/>
      <c r="I3131" s="3"/>
      <c r="J3131" s="3"/>
    </row>
    <row r="3132" spans="5:10" ht="14.4" x14ac:dyDescent="0.3">
      <c r="E3132" s="3"/>
      <c r="F3132" s="3"/>
      <c r="G3132" s="3"/>
      <c r="H3132" s="3"/>
      <c r="I3132" s="3"/>
      <c r="J3132" s="3"/>
    </row>
    <row r="3133" spans="5:10" ht="14.4" x14ac:dyDescent="0.3">
      <c r="E3133" s="3"/>
      <c r="F3133" s="3"/>
      <c r="G3133" s="3"/>
      <c r="H3133" s="3"/>
      <c r="I3133" s="3"/>
      <c r="J3133" s="3"/>
    </row>
    <row r="3134" spans="5:10" ht="14.4" x14ac:dyDescent="0.3">
      <c r="E3134" s="3"/>
      <c r="F3134" s="3"/>
      <c r="G3134" s="3"/>
      <c r="H3134" s="3"/>
      <c r="I3134" s="3"/>
      <c r="J3134" s="3"/>
    </row>
    <row r="3135" spans="5:10" ht="14.4" x14ac:dyDescent="0.3">
      <c r="E3135" s="3"/>
      <c r="F3135" s="3"/>
      <c r="G3135" s="3"/>
      <c r="H3135" s="3"/>
      <c r="I3135" s="3"/>
      <c r="J3135" s="3"/>
    </row>
    <row r="3136" spans="5:10" ht="14.4" x14ac:dyDescent="0.3">
      <c r="E3136" s="3"/>
      <c r="F3136" s="3"/>
      <c r="G3136" s="3"/>
      <c r="H3136" s="3"/>
      <c r="I3136" s="3"/>
      <c r="J3136" s="3"/>
    </row>
    <row r="3137" spans="5:10" ht="14.4" x14ac:dyDescent="0.3">
      <c r="E3137" s="3"/>
      <c r="F3137" s="3"/>
      <c r="G3137" s="3"/>
      <c r="H3137" s="3"/>
      <c r="I3137" s="3"/>
      <c r="J3137" s="3"/>
    </row>
    <row r="3138" spans="5:10" ht="14.4" x14ac:dyDescent="0.3">
      <c r="E3138" s="3"/>
      <c r="F3138" s="3"/>
      <c r="G3138" s="3"/>
      <c r="H3138" s="3"/>
      <c r="I3138" s="3"/>
      <c r="J3138" s="3"/>
    </row>
    <row r="3139" spans="5:10" ht="14.4" x14ac:dyDescent="0.3">
      <c r="E3139" s="3"/>
      <c r="F3139" s="3"/>
      <c r="G3139" s="3"/>
      <c r="H3139" s="3"/>
      <c r="I3139" s="3"/>
      <c r="J3139" s="3"/>
    </row>
    <row r="3140" spans="5:10" ht="14.4" x14ac:dyDescent="0.3">
      <c r="E3140" s="3"/>
      <c r="F3140" s="3"/>
      <c r="G3140" s="3"/>
      <c r="H3140" s="3"/>
      <c r="I3140" s="3"/>
      <c r="J3140" s="3"/>
    </row>
    <row r="3141" spans="5:10" ht="14.4" x14ac:dyDescent="0.3">
      <c r="E3141" s="3"/>
      <c r="F3141" s="3"/>
      <c r="G3141" s="3"/>
      <c r="H3141" s="3"/>
      <c r="I3141" s="3"/>
      <c r="J3141" s="3"/>
    </row>
    <row r="3142" spans="5:10" ht="14.4" x14ac:dyDescent="0.3">
      <c r="E3142" s="3"/>
      <c r="F3142" s="3"/>
      <c r="G3142" s="3"/>
      <c r="H3142" s="3"/>
      <c r="I3142" s="3"/>
      <c r="J3142" s="3"/>
    </row>
    <row r="3143" spans="5:10" ht="14.4" x14ac:dyDescent="0.3">
      <c r="E3143" s="3"/>
      <c r="F3143" s="3"/>
      <c r="G3143" s="3"/>
      <c r="H3143" s="3"/>
      <c r="I3143" s="3"/>
      <c r="J3143" s="3"/>
    </row>
    <row r="3144" spans="5:10" ht="14.4" x14ac:dyDescent="0.3">
      <c r="E3144" s="3"/>
      <c r="F3144" s="3"/>
      <c r="G3144" s="3"/>
      <c r="H3144" s="3"/>
      <c r="I3144" s="3"/>
      <c r="J3144" s="3"/>
    </row>
    <row r="3145" spans="5:10" ht="14.4" x14ac:dyDescent="0.3">
      <c r="E3145" s="3"/>
      <c r="F3145" s="3"/>
      <c r="G3145" s="3"/>
      <c r="H3145" s="3"/>
      <c r="I3145" s="3"/>
      <c r="J3145" s="3"/>
    </row>
    <row r="3146" spans="5:10" ht="14.4" x14ac:dyDescent="0.3">
      <c r="E3146" s="3"/>
      <c r="F3146" s="3"/>
      <c r="G3146" s="3"/>
      <c r="H3146" s="3"/>
      <c r="I3146" s="3"/>
      <c r="J3146" s="3"/>
    </row>
    <row r="3147" spans="5:10" ht="14.4" x14ac:dyDescent="0.3">
      <c r="E3147" s="3"/>
      <c r="F3147" s="3"/>
      <c r="G3147" s="3"/>
      <c r="H3147" s="3"/>
      <c r="I3147" s="3"/>
      <c r="J3147" s="3"/>
    </row>
    <row r="3148" spans="5:10" ht="14.4" x14ac:dyDescent="0.3">
      <c r="E3148" s="3"/>
      <c r="F3148" s="3"/>
      <c r="G3148" s="3"/>
      <c r="H3148" s="3"/>
      <c r="I3148" s="3"/>
      <c r="J3148" s="3"/>
    </row>
    <row r="3149" spans="5:10" ht="14.4" x14ac:dyDescent="0.3">
      <c r="E3149" s="3"/>
      <c r="F3149" s="3"/>
      <c r="G3149" s="3"/>
      <c r="H3149" s="3"/>
      <c r="I3149" s="3"/>
      <c r="J3149" s="3"/>
    </row>
    <row r="3150" spans="5:10" ht="14.4" x14ac:dyDescent="0.3">
      <c r="E3150" s="3"/>
      <c r="F3150" s="3"/>
      <c r="G3150" s="3"/>
      <c r="H3150" s="3"/>
      <c r="I3150" s="3"/>
      <c r="J3150" s="3"/>
    </row>
    <row r="3151" spans="5:10" ht="14.4" x14ac:dyDescent="0.3">
      <c r="E3151" s="3"/>
      <c r="F3151" s="3"/>
      <c r="G3151" s="3"/>
      <c r="H3151" s="3"/>
      <c r="I3151" s="3"/>
      <c r="J3151" s="3"/>
    </row>
    <row r="3152" spans="5:10" ht="14.4" x14ac:dyDescent="0.3">
      <c r="E3152" s="3"/>
      <c r="F3152" s="3"/>
      <c r="G3152" s="3"/>
      <c r="H3152" s="3"/>
      <c r="I3152" s="3"/>
      <c r="J3152" s="3"/>
    </row>
    <row r="3153" spans="5:10" ht="14.4" x14ac:dyDescent="0.3">
      <c r="E3153" s="3"/>
      <c r="F3153" s="3"/>
      <c r="G3153" s="3"/>
      <c r="H3153" s="3"/>
      <c r="I3153" s="3"/>
      <c r="J3153" s="3"/>
    </row>
    <row r="3154" spans="5:10" ht="14.4" x14ac:dyDescent="0.3">
      <c r="E3154" s="3"/>
      <c r="F3154" s="3"/>
      <c r="G3154" s="3"/>
      <c r="H3154" s="3"/>
      <c r="I3154" s="3"/>
      <c r="J3154" s="3"/>
    </row>
    <row r="3155" spans="5:10" ht="14.4" x14ac:dyDescent="0.3">
      <c r="E3155" s="3"/>
      <c r="F3155" s="3"/>
      <c r="G3155" s="3"/>
      <c r="H3155" s="3"/>
      <c r="I3155" s="3"/>
      <c r="J3155" s="3"/>
    </row>
    <row r="3156" spans="5:10" ht="14.4" x14ac:dyDescent="0.3">
      <c r="E3156" s="3"/>
      <c r="F3156" s="3"/>
      <c r="G3156" s="3"/>
      <c r="H3156" s="3"/>
      <c r="I3156" s="3"/>
      <c r="J3156" s="3"/>
    </row>
    <row r="3157" spans="5:10" ht="14.4" x14ac:dyDescent="0.3">
      <c r="E3157" s="3"/>
      <c r="F3157" s="3"/>
      <c r="G3157" s="3"/>
      <c r="H3157" s="3"/>
      <c r="I3157" s="3"/>
      <c r="J3157" s="3"/>
    </row>
    <row r="3158" spans="5:10" ht="14.4" x14ac:dyDescent="0.3">
      <c r="E3158" s="3"/>
      <c r="F3158" s="3"/>
      <c r="G3158" s="3"/>
      <c r="H3158" s="3"/>
      <c r="I3158" s="3"/>
      <c r="J3158" s="3"/>
    </row>
    <row r="3159" spans="5:10" ht="14.4" x14ac:dyDescent="0.3">
      <c r="E3159" s="3"/>
      <c r="F3159" s="3"/>
      <c r="G3159" s="3"/>
      <c r="H3159" s="3"/>
      <c r="I3159" s="3"/>
      <c r="J3159" s="3"/>
    </row>
    <row r="3160" spans="5:10" ht="14.4" x14ac:dyDescent="0.3">
      <c r="E3160" s="3"/>
      <c r="F3160" s="3"/>
      <c r="G3160" s="3"/>
      <c r="H3160" s="3"/>
      <c r="I3160" s="3"/>
      <c r="J3160" s="3"/>
    </row>
    <row r="3161" spans="5:10" ht="14.4" x14ac:dyDescent="0.3">
      <c r="E3161" s="3"/>
      <c r="F3161" s="3"/>
      <c r="G3161" s="3"/>
      <c r="H3161" s="3"/>
      <c r="I3161" s="3"/>
      <c r="J3161" s="3"/>
    </row>
    <row r="3162" spans="5:10" ht="14.4" x14ac:dyDescent="0.3">
      <c r="E3162" s="3"/>
      <c r="F3162" s="3"/>
      <c r="G3162" s="3"/>
      <c r="H3162" s="3"/>
      <c r="I3162" s="3"/>
      <c r="J3162" s="3"/>
    </row>
    <row r="3163" spans="5:10" ht="14.4" x14ac:dyDescent="0.3">
      <c r="E3163" s="3"/>
      <c r="F3163" s="3"/>
      <c r="G3163" s="3"/>
      <c r="H3163" s="3"/>
      <c r="I3163" s="3"/>
      <c r="J3163" s="3"/>
    </row>
    <row r="3164" spans="5:10" ht="14.4" x14ac:dyDescent="0.3">
      <c r="E3164" s="3"/>
      <c r="F3164" s="3"/>
      <c r="G3164" s="3"/>
      <c r="H3164" s="3"/>
      <c r="I3164" s="3"/>
      <c r="J3164" s="3"/>
    </row>
    <row r="3165" spans="5:10" ht="14.4" x14ac:dyDescent="0.3">
      <c r="E3165" s="3"/>
      <c r="F3165" s="3"/>
      <c r="G3165" s="3"/>
      <c r="H3165" s="3"/>
      <c r="I3165" s="3"/>
      <c r="J3165" s="3"/>
    </row>
    <row r="3166" spans="5:10" ht="14.4" x14ac:dyDescent="0.3">
      <c r="E3166" s="3"/>
      <c r="F3166" s="3"/>
      <c r="G3166" s="3"/>
      <c r="H3166" s="3"/>
      <c r="I3166" s="3"/>
      <c r="J3166" s="3"/>
    </row>
    <row r="3167" spans="5:10" ht="14.4" x14ac:dyDescent="0.3">
      <c r="E3167" s="3"/>
      <c r="F3167" s="3"/>
      <c r="G3167" s="3"/>
      <c r="H3167" s="3"/>
      <c r="I3167" s="3"/>
      <c r="J3167" s="3"/>
    </row>
    <row r="3168" spans="5:10" ht="14.4" x14ac:dyDescent="0.3">
      <c r="E3168" s="3"/>
      <c r="F3168" s="3"/>
      <c r="G3168" s="3"/>
      <c r="H3168" s="3"/>
      <c r="I3168" s="3"/>
      <c r="J3168" s="3"/>
    </row>
    <row r="3169" spans="5:10" ht="14.4" x14ac:dyDescent="0.3">
      <c r="E3169" s="3"/>
      <c r="F3169" s="3"/>
      <c r="G3169" s="3"/>
      <c r="H3169" s="3"/>
      <c r="I3169" s="3"/>
      <c r="J3169" s="3"/>
    </row>
    <row r="3170" spans="5:10" ht="14.4" x14ac:dyDescent="0.3">
      <c r="E3170" s="3"/>
      <c r="F3170" s="3"/>
      <c r="G3170" s="3"/>
      <c r="H3170" s="3"/>
      <c r="I3170" s="3"/>
      <c r="J3170" s="3"/>
    </row>
    <row r="3171" spans="5:10" ht="14.4" x14ac:dyDescent="0.3">
      <c r="E3171" s="3"/>
      <c r="F3171" s="3"/>
      <c r="G3171" s="3"/>
      <c r="H3171" s="3"/>
      <c r="I3171" s="3"/>
      <c r="J3171" s="3"/>
    </row>
    <row r="3172" spans="5:10" ht="14.4" x14ac:dyDescent="0.3">
      <c r="E3172" s="3"/>
      <c r="F3172" s="3"/>
      <c r="G3172" s="3"/>
      <c r="H3172" s="3"/>
      <c r="I3172" s="3"/>
      <c r="J3172" s="3"/>
    </row>
    <row r="3173" spans="5:10" ht="14.4" x14ac:dyDescent="0.3">
      <c r="E3173" s="3"/>
      <c r="F3173" s="3"/>
      <c r="G3173" s="3"/>
      <c r="H3173" s="3"/>
      <c r="I3173" s="3"/>
      <c r="J3173" s="3"/>
    </row>
    <row r="3174" spans="5:10" ht="14.4" x14ac:dyDescent="0.3">
      <c r="E3174" s="3"/>
      <c r="F3174" s="3"/>
      <c r="G3174" s="3"/>
      <c r="H3174" s="3"/>
      <c r="I3174" s="3"/>
      <c r="J3174" s="3"/>
    </row>
    <row r="3175" spans="5:10" ht="14.4" x14ac:dyDescent="0.3">
      <c r="E3175" s="3"/>
      <c r="F3175" s="3"/>
      <c r="G3175" s="3"/>
      <c r="H3175" s="3"/>
      <c r="I3175" s="3"/>
      <c r="J3175" s="3"/>
    </row>
    <row r="3176" spans="5:10" ht="14.4" x14ac:dyDescent="0.3">
      <c r="E3176" s="3"/>
      <c r="F3176" s="3"/>
      <c r="G3176" s="3"/>
      <c r="H3176" s="3"/>
      <c r="I3176" s="3"/>
      <c r="J3176" s="3"/>
    </row>
    <row r="3177" spans="5:10" ht="14.4" x14ac:dyDescent="0.3">
      <c r="E3177" s="3"/>
      <c r="F3177" s="3"/>
      <c r="G3177" s="3"/>
      <c r="H3177" s="3"/>
      <c r="I3177" s="3"/>
      <c r="J3177" s="3"/>
    </row>
    <row r="3178" spans="5:10" ht="14.4" x14ac:dyDescent="0.3">
      <c r="E3178" s="3"/>
      <c r="F3178" s="3"/>
      <c r="G3178" s="3"/>
      <c r="H3178" s="3"/>
      <c r="I3178" s="3"/>
      <c r="J3178" s="3"/>
    </row>
    <row r="3179" spans="5:10" ht="14.4" x14ac:dyDescent="0.3">
      <c r="E3179" s="3"/>
      <c r="F3179" s="3"/>
      <c r="G3179" s="3"/>
      <c r="H3179" s="3"/>
      <c r="I3179" s="3"/>
      <c r="J3179" s="3"/>
    </row>
    <row r="3180" spans="5:10" ht="14.4" x14ac:dyDescent="0.3">
      <c r="E3180" s="3"/>
      <c r="F3180" s="3"/>
      <c r="G3180" s="3"/>
      <c r="H3180" s="3"/>
      <c r="I3180" s="3"/>
      <c r="J3180" s="3"/>
    </row>
    <row r="3181" spans="5:10" ht="14.4" x14ac:dyDescent="0.3">
      <c r="E3181" s="3"/>
      <c r="F3181" s="3"/>
      <c r="G3181" s="3"/>
      <c r="H3181" s="3"/>
      <c r="I3181" s="3"/>
      <c r="J3181" s="3"/>
    </row>
    <row r="3182" spans="5:10" ht="14.4" x14ac:dyDescent="0.3">
      <c r="E3182" s="3"/>
      <c r="F3182" s="3"/>
      <c r="G3182" s="3"/>
      <c r="H3182" s="3"/>
      <c r="I3182" s="3"/>
      <c r="J3182" s="3"/>
    </row>
    <row r="3183" spans="5:10" ht="14.4" x14ac:dyDescent="0.3">
      <c r="E3183" s="3"/>
      <c r="F3183" s="3"/>
      <c r="G3183" s="3"/>
      <c r="H3183" s="3"/>
      <c r="I3183" s="3"/>
      <c r="J3183" s="3"/>
    </row>
    <row r="3184" spans="5:10" ht="14.4" x14ac:dyDescent="0.3">
      <c r="E3184" s="3"/>
      <c r="F3184" s="3"/>
      <c r="G3184" s="3"/>
      <c r="H3184" s="3"/>
      <c r="I3184" s="3"/>
      <c r="J3184" s="3"/>
    </row>
    <row r="3185" spans="5:10" ht="14.4" x14ac:dyDescent="0.3">
      <c r="E3185" s="3"/>
      <c r="F3185" s="3"/>
      <c r="G3185" s="3"/>
      <c r="H3185" s="3"/>
      <c r="I3185" s="3"/>
      <c r="J3185" s="3"/>
    </row>
    <row r="3186" spans="5:10" ht="14.4" x14ac:dyDescent="0.3">
      <c r="E3186" s="3"/>
      <c r="F3186" s="3"/>
      <c r="G3186" s="3"/>
      <c r="H3186" s="3"/>
      <c r="I3186" s="3"/>
      <c r="J3186" s="3"/>
    </row>
    <row r="3187" spans="5:10" ht="14.4" x14ac:dyDescent="0.3">
      <c r="E3187" s="3"/>
      <c r="F3187" s="3"/>
      <c r="G3187" s="3"/>
      <c r="H3187" s="3"/>
      <c r="I3187" s="3"/>
      <c r="J3187" s="3"/>
    </row>
    <row r="3188" spans="5:10" ht="14.4" x14ac:dyDescent="0.3">
      <c r="E3188" s="3"/>
      <c r="F3188" s="3"/>
      <c r="G3188" s="3"/>
      <c r="H3188" s="3"/>
      <c r="I3188" s="3"/>
      <c r="J3188" s="3"/>
    </row>
    <row r="3189" spans="5:10" ht="14.4" x14ac:dyDescent="0.3">
      <c r="E3189" s="3"/>
      <c r="F3189" s="3"/>
      <c r="G3189" s="3"/>
      <c r="H3189" s="3"/>
      <c r="I3189" s="3"/>
      <c r="J3189" s="3"/>
    </row>
    <row r="3190" spans="5:10" ht="14.4" x14ac:dyDescent="0.3">
      <c r="E3190" s="3"/>
      <c r="F3190" s="3"/>
      <c r="G3190" s="3"/>
      <c r="H3190" s="3"/>
      <c r="I3190" s="3"/>
      <c r="J3190" s="3"/>
    </row>
    <row r="3191" spans="5:10" ht="14.4" x14ac:dyDescent="0.3">
      <c r="E3191" s="3"/>
      <c r="F3191" s="3"/>
      <c r="G3191" s="3"/>
      <c r="H3191" s="3"/>
      <c r="I3191" s="3"/>
      <c r="J3191" s="3"/>
    </row>
    <row r="3192" spans="5:10" ht="14.4" x14ac:dyDescent="0.3">
      <c r="E3192" s="3"/>
      <c r="F3192" s="3"/>
      <c r="G3192" s="3"/>
      <c r="H3192" s="3"/>
      <c r="I3192" s="3"/>
      <c r="J3192" s="3"/>
    </row>
    <row r="3193" spans="5:10" ht="14.4" x14ac:dyDescent="0.3">
      <c r="E3193" s="3"/>
      <c r="F3193" s="3"/>
      <c r="G3193" s="3"/>
      <c r="H3193" s="3"/>
      <c r="I3193" s="3"/>
      <c r="J3193" s="3"/>
    </row>
    <row r="3194" spans="5:10" ht="14.4" x14ac:dyDescent="0.3">
      <c r="E3194" s="3"/>
      <c r="F3194" s="3"/>
      <c r="G3194" s="3"/>
      <c r="H3194" s="3"/>
      <c r="I3194" s="3"/>
      <c r="J3194" s="3"/>
    </row>
    <row r="3195" spans="5:10" ht="14.4" x14ac:dyDescent="0.3">
      <c r="E3195" s="3"/>
      <c r="F3195" s="3"/>
      <c r="G3195" s="3"/>
      <c r="H3195" s="3"/>
      <c r="I3195" s="3"/>
      <c r="J3195" s="3"/>
    </row>
    <row r="3196" spans="5:10" ht="14.4" x14ac:dyDescent="0.3">
      <c r="E3196" s="3"/>
      <c r="F3196" s="3"/>
      <c r="G3196" s="3"/>
      <c r="H3196" s="3"/>
      <c r="I3196" s="3"/>
      <c r="J3196" s="3"/>
    </row>
    <row r="3197" spans="5:10" ht="14.4" x14ac:dyDescent="0.3">
      <c r="E3197" s="3"/>
      <c r="F3197" s="3"/>
      <c r="G3197" s="3"/>
      <c r="H3197" s="3"/>
      <c r="I3197" s="3"/>
      <c r="J3197" s="3"/>
    </row>
    <row r="3198" spans="5:10" ht="14.4" x14ac:dyDescent="0.3">
      <c r="E3198" s="3"/>
      <c r="F3198" s="3"/>
      <c r="G3198" s="3"/>
      <c r="H3198" s="3"/>
      <c r="I3198" s="3"/>
      <c r="J3198" s="3"/>
    </row>
    <row r="3199" spans="5:10" ht="14.4" x14ac:dyDescent="0.3">
      <c r="E3199" s="3"/>
      <c r="F3199" s="3"/>
      <c r="G3199" s="3"/>
      <c r="H3199" s="3"/>
      <c r="I3199" s="3"/>
      <c r="J3199" s="3"/>
    </row>
    <row r="3200" spans="5:10" ht="14.4" x14ac:dyDescent="0.3">
      <c r="E3200" s="3"/>
      <c r="F3200" s="3"/>
      <c r="G3200" s="3"/>
      <c r="H3200" s="3"/>
      <c r="I3200" s="3"/>
      <c r="J3200" s="3"/>
    </row>
    <row r="3201" spans="5:10" ht="14.4" x14ac:dyDescent="0.3">
      <c r="E3201" s="3"/>
      <c r="F3201" s="3"/>
      <c r="G3201" s="3"/>
      <c r="H3201" s="3"/>
      <c r="I3201" s="3"/>
      <c r="J3201" s="3"/>
    </row>
    <row r="3202" spans="5:10" ht="14.4" x14ac:dyDescent="0.3">
      <c r="E3202" s="3"/>
      <c r="F3202" s="3"/>
      <c r="G3202" s="3"/>
      <c r="H3202" s="3"/>
      <c r="I3202" s="3"/>
      <c r="J3202" s="3"/>
    </row>
    <row r="3203" spans="5:10" ht="14.4" x14ac:dyDescent="0.3">
      <c r="E3203" s="3"/>
      <c r="F3203" s="3"/>
      <c r="G3203" s="3"/>
      <c r="H3203" s="3"/>
      <c r="I3203" s="3"/>
      <c r="J3203" s="3"/>
    </row>
    <row r="3204" spans="5:10" ht="14.4" x14ac:dyDescent="0.3">
      <c r="E3204" s="3"/>
      <c r="F3204" s="3"/>
      <c r="G3204" s="3"/>
      <c r="H3204" s="3"/>
      <c r="I3204" s="3"/>
      <c r="J3204" s="3"/>
    </row>
    <row r="3205" spans="5:10" ht="14.4" x14ac:dyDescent="0.3">
      <c r="E3205" s="3"/>
      <c r="F3205" s="3"/>
      <c r="G3205" s="3"/>
      <c r="H3205" s="3"/>
      <c r="I3205" s="3"/>
      <c r="J3205" s="3"/>
    </row>
    <row r="3206" spans="5:10" ht="14.4" x14ac:dyDescent="0.3">
      <c r="E3206" s="3"/>
      <c r="F3206" s="3"/>
      <c r="G3206" s="3"/>
      <c r="H3206" s="3"/>
      <c r="I3206" s="3"/>
      <c r="J3206" s="3"/>
    </row>
    <row r="3207" spans="5:10" ht="14.4" x14ac:dyDescent="0.3">
      <c r="E3207" s="3"/>
      <c r="F3207" s="3"/>
      <c r="G3207" s="3"/>
      <c r="H3207" s="3"/>
      <c r="I3207" s="3"/>
      <c r="J3207" s="3"/>
    </row>
    <row r="3208" spans="5:10" ht="14.4" x14ac:dyDescent="0.3">
      <c r="E3208" s="3"/>
      <c r="F3208" s="3"/>
      <c r="G3208" s="3"/>
      <c r="H3208" s="3"/>
      <c r="I3208" s="3"/>
      <c r="J3208" s="3"/>
    </row>
    <row r="3209" spans="5:10" ht="14.4" x14ac:dyDescent="0.3">
      <c r="E3209" s="3"/>
      <c r="F3209" s="3"/>
      <c r="G3209" s="3"/>
      <c r="H3209" s="3"/>
      <c r="I3209" s="3"/>
      <c r="J3209" s="3"/>
    </row>
    <row r="3210" spans="5:10" ht="14.4" x14ac:dyDescent="0.3">
      <c r="E3210" s="3"/>
      <c r="F3210" s="3"/>
      <c r="G3210" s="3"/>
      <c r="H3210" s="3"/>
      <c r="I3210" s="3"/>
      <c r="J3210" s="3"/>
    </row>
    <row r="3211" spans="5:10" ht="14.4" x14ac:dyDescent="0.3">
      <c r="E3211" s="3"/>
      <c r="F3211" s="3"/>
      <c r="G3211" s="3"/>
      <c r="H3211" s="3"/>
      <c r="I3211" s="3"/>
      <c r="J3211" s="3"/>
    </row>
    <row r="3212" spans="5:10" ht="14.4" x14ac:dyDescent="0.3">
      <c r="E3212" s="3"/>
      <c r="F3212" s="3"/>
      <c r="G3212" s="3"/>
      <c r="H3212" s="3"/>
      <c r="I3212" s="3"/>
      <c r="J3212" s="3"/>
    </row>
    <row r="3213" spans="5:10" ht="14.4" x14ac:dyDescent="0.3">
      <c r="E3213" s="3"/>
      <c r="F3213" s="3"/>
      <c r="G3213" s="3"/>
      <c r="H3213" s="3"/>
      <c r="I3213" s="3"/>
      <c r="J3213" s="3"/>
    </row>
    <row r="3214" spans="5:10" ht="14.4" x14ac:dyDescent="0.3">
      <c r="E3214" s="3"/>
      <c r="F3214" s="3"/>
      <c r="G3214" s="3"/>
      <c r="H3214" s="3"/>
      <c r="I3214" s="3"/>
      <c r="J3214" s="3"/>
    </row>
    <row r="3215" spans="5:10" ht="14.4" x14ac:dyDescent="0.3">
      <c r="E3215" s="3"/>
      <c r="F3215" s="3"/>
      <c r="G3215" s="3"/>
      <c r="H3215" s="3"/>
      <c r="I3215" s="3"/>
      <c r="J3215" s="3"/>
    </row>
    <row r="3216" spans="5:10" ht="14.4" x14ac:dyDescent="0.3">
      <c r="E3216" s="3"/>
      <c r="F3216" s="3"/>
      <c r="G3216" s="3"/>
      <c r="H3216" s="3"/>
      <c r="I3216" s="3"/>
      <c r="J3216" s="3"/>
    </row>
    <row r="3217" spans="5:10" ht="14.4" x14ac:dyDescent="0.3">
      <c r="E3217" s="3"/>
      <c r="F3217" s="3"/>
      <c r="G3217" s="3"/>
      <c r="H3217" s="3"/>
      <c r="I3217" s="3"/>
      <c r="J3217" s="3"/>
    </row>
    <row r="3218" spans="5:10" ht="14.4" x14ac:dyDescent="0.3">
      <c r="E3218" s="3"/>
      <c r="F3218" s="3"/>
      <c r="G3218" s="3"/>
      <c r="H3218" s="3"/>
      <c r="I3218" s="3"/>
      <c r="J3218" s="3"/>
    </row>
    <row r="3219" spans="5:10" ht="14.4" x14ac:dyDescent="0.3">
      <c r="E3219" s="3"/>
      <c r="F3219" s="3"/>
      <c r="G3219" s="3"/>
      <c r="H3219" s="3"/>
      <c r="I3219" s="3"/>
      <c r="J3219" s="3"/>
    </row>
    <row r="3220" spans="5:10" ht="14.4" x14ac:dyDescent="0.3">
      <c r="E3220" s="3"/>
      <c r="F3220" s="3"/>
      <c r="G3220" s="3"/>
      <c r="H3220" s="3"/>
      <c r="I3220" s="3"/>
      <c r="J3220" s="3"/>
    </row>
    <row r="3221" spans="5:10" ht="14.4" x14ac:dyDescent="0.3">
      <c r="E3221" s="3"/>
      <c r="F3221" s="3"/>
      <c r="G3221" s="3"/>
      <c r="H3221" s="3"/>
      <c r="I3221" s="3"/>
      <c r="J3221" s="3"/>
    </row>
    <row r="3222" spans="5:10" ht="14.4" x14ac:dyDescent="0.3">
      <c r="E3222" s="3"/>
      <c r="F3222" s="3"/>
      <c r="G3222" s="3"/>
      <c r="H3222" s="3"/>
      <c r="I3222" s="3"/>
      <c r="J3222" s="3"/>
    </row>
    <row r="3223" spans="5:10" ht="14.4" x14ac:dyDescent="0.3">
      <c r="E3223" s="3"/>
      <c r="F3223" s="3"/>
      <c r="G3223" s="3"/>
      <c r="H3223" s="3"/>
      <c r="I3223" s="3"/>
      <c r="J3223" s="3"/>
    </row>
    <row r="3224" spans="5:10" ht="14.4" x14ac:dyDescent="0.3">
      <c r="E3224" s="3"/>
      <c r="F3224" s="3"/>
      <c r="G3224" s="3"/>
      <c r="H3224" s="3"/>
      <c r="I3224" s="3"/>
      <c r="J3224" s="3"/>
    </row>
    <row r="3225" spans="5:10" ht="14.4" x14ac:dyDescent="0.3">
      <c r="E3225" s="3"/>
      <c r="F3225" s="3"/>
      <c r="G3225" s="3"/>
      <c r="H3225" s="3"/>
      <c r="I3225" s="3"/>
      <c r="J3225" s="3"/>
    </row>
    <row r="3226" spans="5:10" ht="14.4" x14ac:dyDescent="0.3">
      <c r="E3226" s="3"/>
      <c r="F3226" s="3"/>
      <c r="G3226" s="3"/>
      <c r="H3226" s="3"/>
      <c r="I3226" s="3"/>
      <c r="J3226" s="3"/>
    </row>
    <row r="3227" spans="5:10" ht="14.4" x14ac:dyDescent="0.3">
      <c r="E3227" s="3"/>
      <c r="F3227" s="3"/>
      <c r="G3227" s="3"/>
      <c r="H3227" s="3"/>
      <c r="I3227" s="3"/>
      <c r="J3227" s="3"/>
    </row>
    <row r="3228" spans="5:10" ht="14.4" x14ac:dyDescent="0.3">
      <c r="E3228" s="3"/>
      <c r="F3228" s="3"/>
      <c r="G3228" s="3"/>
      <c r="H3228" s="3"/>
      <c r="I3228" s="3"/>
      <c r="J3228" s="3"/>
    </row>
    <row r="3229" spans="5:10" ht="14.4" x14ac:dyDescent="0.3">
      <c r="E3229" s="3"/>
      <c r="F3229" s="3"/>
      <c r="G3229" s="3"/>
      <c r="H3229" s="3"/>
      <c r="I3229" s="3"/>
      <c r="J3229" s="3"/>
    </row>
    <row r="3230" spans="5:10" ht="14.4" x14ac:dyDescent="0.3">
      <c r="E3230" s="3"/>
      <c r="F3230" s="3"/>
      <c r="G3230" s="3"/>
      <c r="H3230" s="3"/>
      <c r="I3230" s="3"/>
      <c r="J3230" s="3"/>
    </row>
    <row r="3231" spans="5:10" ht="14.4" x14ac:dyDescent="0.3">
      <c r="E3231" s="3"/>
      <c r="F3231" s="3"/>
      <c r="G3231" s="3"/>
      <c r="H3231" s="3"/>
      <c r="I3231" s="3"/>
      <c r="J3231" s="3"/>
    </row>
    <row r="3232" spans="5:10" ht="14.4" x14ac:dyDescent="0.3">
      <c r="E3232" s="3"/>
      <c r="F3232" s="3"/>
      <c r="G3232" s="3"/>
      <c r="H3232" s="3"/>
      <c r="I3232" s="3"/>
      <c r="J3232" s="3"/>
    </row>
    <row r="3233" spans="5:10" ht="14.4" x14ac:dyDescent="0.3">
      <c r="E3233" s="3"/>
      <c r="F3233" s="3"/>
      <c r="G3233" s="3"/>
      <c r="H3233" s="3"/>
      <c r="I3233" s="3"/>
      <c r="J3233" s="3"/>
    </row>
    <row r="3234" spans="5:10" ht="14.4" x14ac:dyDescent="0.3">
      <c r="E3234" s="3"/>
      <c r="F3234" s="3"/>
      <c r="G3234" s="3"/>
      <c r="H3234" s="3"/>
      <c r="I3234" s="3"/>
      <c r="J3234" s="3"/>
    </row>
    <row r="3235" spans="5:10" ht="14.4" x14ac:dyDescent="0.3">
      <c r="E3235" s="3"/>
      <c r="F3235" s="3"/>
      <c r="G3235" s="3"/>
      <c r="H3235" s="3"/>
      <c r="I3235" s="3"/>
      <c r="J3235" s="3"/>
    </row>
    <row r="3236" spans="5:10" ht="14.4" x14ac:dyDescent="0.3">
      <c r="E3236" s="3"/>
      <c r="F3236" s="3"/>
      <c r="G3236" s="3"/>
      <c r="H3236" s="3"/>
      <c r="I3236" s="3"/>
      <c r="J3236" s="3"/>
    </row>
    <row r="3237" spans="5:10" ht="14.4" x14ac:dyDescent="0.3">
      <c r="E3237" s="3"/>
      <c r="F3237" s="3"/>
      <c r="G3237" s="3"/>
      <c r="H3237" s="3"/>
      <c r="I3237" s="3"/>
      <c r="J3237" s="3"/>
    </row>
    <row r="3238" spans="5:10" ht="14.4" x14ac:dyDescent="0.3">
      <c r="E3238" s="3"/>
      <c r="F3238" s="3"/>
      <c r="G3238" s="3"/>
      <c r="H3238" s="3"/>
      <c r="I3238" s="3"/>
      <c r="J3238" s="3"/>
    </row>
    <row r="3239" spans="5:10" ht="14.4" x14ac:dyDescent="0.3">
      <c r="E3239" s="3"/>
      <c r="F3239" s="3"/>
      <c r="G3239" s="3"/>
      <c r="H3239" s="3"/>
      <c r="I3239" s="3"/>
      <c r="J3239" s="3"/>
    </row>
    <row r="3240" spans="5:10" ht="14.4" x14ac:dyDescent="0.3">
      <c r="E3240" s="3"/>
      <c r="F3240" s="3"/>
      <c r="G3240" s="3"/>
      <c r="H3240" s="3"/>
      <c r="I3240" s="3"/>
      <c r="J3240" s="3"/>
    </row>
    <row r="3241" spans="5:10" ht="14.4" x14ac:dyDescent="0.3">
      <c r="E3241" s="3"/>
      <c r="F3241" s="3"/>
      <c r="G3241" s="3"/>
      <c r="H3241" s="3"/>
      <c r="I3241" s="3"/>
      <c r="J3241" s="3"/>
    </row>
    <row r="3242" spans="5:10" ht="14.4" x14ac:dyDescent="0.3">
      <c r="E3242" s="3"/>
      <c r="F3242" s="3"/>
      <c r="G3242" s="3"/>
      <c r="H3242" s="3"/>
      <c r="I3242" s="3"/>
      <c r="J3242" s="3"/>
    </row>
    <row r="3243" spans="5:10" ht="14.4" x14ac:dyDescent="0.3">
      <c r="E3243" s="3"/>
      <c r="F3243" s="3"/>
      <c r="G3243" s="3"/>
      <c r="H3243" s="3"/>
      <c r="I3243" s="3"/>
      <c r="J3243" s="3"/>
    </row>
    <row r="3244" spans="5:10" ht="14.4" x14ac:dyDescent="0.3">
      <c r="E3244" s="3"/>
      <c r="F3244" s="3"/>
      <c r="G3244" s="3"/>
      <c r="H3244" s="3"/>
      <c r="I3244" s="3"/>
      <c r="J3244" s="3"/>
    </row>
    <row r="3245" spans="5:10" ht="14.4" x14ac:dyDescent="0.3">
      <c r="E3245" s="3"/>
      <c r="F3245" s="3"/>
      <c r="G3245" s="3"/>
      <c r="H3245" s="3"/>
      <c r="I3245" s="3"/>
      <c r="J3245" s="3"/>
    </row>
    <row r="3246" spans="5:10" ht="14.4" x14ac:dyDescent="0.3">
      <c r="E3246" s="3"/>
      <c r="F3246" s="3"/>
      <c r="G3246" s="3"/>
      <c r="H3246" s="3"/>
      <c r="I3246" s="3"/>
      <c r="J3246" s="3"/>
    </row>
    <row r="3247" spans="5:10" ht="14.4" x14ac:dyDescent="0.3">
      <c r="E3247" s="3"/>
      <c r="F3247" s="3"/>
      <c r="G3247" s="3"/>
      <c r="H3247" s="3"/>
      <c r="I3247" s="3"/>
      <c r="J3247" s="3"/>
    </row>
    <row r="3248" spans="5:10" ht="14.4" x14ac:dyDescent="0.3">
      <c r="E3248" s="3"/>
      <c r="F3248" s="3"/>
      <c r="G3248" s="3"/>
      <c r="H3248" s="3"/>
      <c r="I3248" s="3"/>
      <c r="J3248" s="3"/>
    </row>
    <row r="3249" spans="5:10" ht="14.4" x14ac:dyDescent="0.3">
      <c r="E3249" s="3"/>
      <c r="F3249" s="3"/>
      <c r="G3249" s="3"/>
      <c r="H3249" s="3"/>
      <c r="I3249" s="3"/>
      <c r="J3249" s="3"/>
    </row>
    <row r="3250" spans="5:10" ht="14.4" x14ac:dyDescent="0.3">
      <c r="E3250" s="3"/>
      <c r="F3250" s="3"/>
      <c r="G3250" s="3"/>
      <c r="H3250" s="3"/>
      <c r="I3250" s="3"/>
      <c r="J3250" s="3"/>
    </row>
    <row r="3251" spans="5:10" ht="14.4" x14ac:dyDescent="0.3">
      <c r="E3251" s="3"/>
      <c r="F3251" s="3"/>
      <c r="G3251" s="3"/>
      <c r="H3251" s="3"/>
      <c r="I3251" s="3"/>
      <c r="J3251" s="3"/>
    </row>
    <row r="3252" spans="5:10" ht="14.4" x14ac:dyDescent="0.3">
      <c r="E3252" s="3"/>
      <c r="F3252" s="3"/>
      <c r="G3252" s="3"/>
      <c r="H3252" s="3"/>
      <c r="I3252" s="3"/>
      <c r="J3252" s="3"/>
    </row>
    <row r="3253" spans="5:10" ht="14.4" x14ac:dyDescent="0.3">
      <c r="E3253" s="3"/>
      <c r="F3253" s="3"/>
      <c r="G3253" s="3"/>
      <c r="H3253" s="3"/>
      <c r="I3253" s="3"/>
      <c r="J3253" s="3"/>
    </row>
    <row r="3254" spans="5:10" ht="14.4" x14ac:dyDescent="0.3">
      <c r="E3254" s="3"/>
      <c r="F3254" s="3"/>
      <c r="G3254" s="3"/>
      <c r="H3254" s="3"/>
      <c r="I3254" s="3"/>
      <c r="J3254" s="3"/>
    </row>
    <row r="3255" spans="5:10" ht="14.4" x14ac:dyDescent="0.3">
      <c r="E3255" s="3"/>
      <c r="F3255" s="3"/>
      <c r="G3255" s="3"/>
      <c r="H3255" s="3"/>
      <c r="I3255" s="3"/>
      <c r="J3255" s="3"/>
    </row>
    <row r="3256" spans="5:10" ht="14.4" x14ac:dyDescent="0.3">
      <c r="E3256" s="3"/>
      <c r="F3256" s="3"/>
      <c r="G3256" s="3"/>
      <c r="H3256" s="3"/>
      <c r="I3256" s="3"/>
      <c r="J3256" s="3"/>
    </row>
    <row r="3257" spans="5:10" ht="14.4" x14ac:dyDescent="0.3">
      <c r="E3257" s="3"/>
      <c r="F3257" s="3"/>
      <c r="G3257" s="3"/>
      <c r="H3257" s="3"/>
      <c r="I3257" s="3"/>
      <c r="J3257" s="3"/>
    </row>
    <row r="3258" spans="5:10" ht="14.4" x14ac:dyDescent="0.3">
      <c r="E3258" s="3"/>
      <c r="F3258" s="3"/>
      <c r="G3258" s="3"/>
      <c r="H3258" s="3"/>
      <c r="I3258" s="3"/>
      <c r="J3258" s="3"/>
    </row>
    <row r="3259" spans="5:10" ht="14.4" x14ac:dyDescent="0.3">
      <c r="E3259" s="3"/>
      <c r="F3259" s="3"/>
      <c r="G3259" s="3"/>
      <c r="H3259" s="3"/>
      <c r="I3259" s="3"/>
      <c r="J3259" s="3"/>
    </row>
    <row r="3260" spans="5:10" ht="14.4" x14ac:dyDescent="0.3">
      <c r="E3260" s="3"/>
      <c r="F3260" s="3"/>
      <c r="G3260" s="3"/>
      <c r="H3260" s="3"/>
      <c r="I3260" s="3"/>
      <c r="J3260" s="3"/>
    </row>
    <row r="3261" spans="5:10" ht="14.4" x14ac:dyDescent="0.3">
      <c r="E3261" s="3"/>
      <c r="F3261" s="3"/>
      <c r="G3261" s="3"/>
      <c r="H3261" s="3"/>
      <c r="I3261" s="3"/>
      <c r="J3261" s="3"/>
    </row>
    <row r="3262" spans="5:10" ht="14.4" x14ac:dyDescent="0.3">
      <c r="E3262" s="3"/>
      <c r="F3262" s="3"/>
      <c r="G3262" s="3"/>
      <c r="H3262" s="3"/>
      <c r="I3262" s="3"/>
      <c r="J3262" s="3"/>
    </row>
    <row r="3263" spans="5:10" ht="14.4" x14ac:dyDescent="0.3">
      <c r="E3263" s="3"/>
      <c r="F3263" s="3"/>
      <c r="G3263" s="3"/>
      <c r="H3263" s="3"/>
      <c r="I3263" s="3"/>
      <c r="J3263" s="3"/>
    </row>
    <row r="3264" spans="5:10" ht="14.4" x14ac:dyDescent="0.3">
      <c r="E3264" s="3"/>
      <c r="F3264" s="3"/>
      <c r="G3264" s="3"/>
      <c r="H3264" s="3"/>
      <c r="I3264" s="3"/>
      <c r="J3264" s="3"/>
    </row>
    <row r="3265" spans="5:10" ht="14.4" x14ac:dyDescent="0.3">
      <c r="E3265" s="3"/>
      <c r="F3265" s="3"/>
      <c r="G3265" s="3"/>
      <c r="H3265" s="3"/>
      <c r="I3265" s="3"/>
      <c r="J3265" s="3"/>
    </row>
    <row r="3266" spans="5:10" ht="14.4" x14ac:dyDescent="0.3">
      <c r="E3266" s="3"/>
      <c r="F3266" s="3"/>
      <c r="G3266" s="3"/>
      <c r="H3266" s="3"/>
      <c r="I3266" s="3"/>
      <c r="J3266" s="3"/>
    </row>
    <row r="3267" spans="5:10" ht="14.4" x14ac:dyDescent="0.3">
      <c r="E3267" s="3"/>
      <c r="F3267" s="3"/>
      <c r="G3267" s="3"/>
      <c r="H3267" s="3"/>
      <c r="I3267" s="3"/>
      <c r="J3267" s="3"/>
    </row>
    <row r="3268" spans="5:10" ht="14.4" x14ac:dyDescent="0.3">
      <c r="E3268" s="3"/>
      <c r="F3268" s="3"/>
      <c r="G3268" s="3"/>
      <c r="H3268" s="3"/>
      <c r="I3268" s="3"/>
      <c r="J3268" s="3"/>
    </row>
    <row r="3269" spans="5:10" ht="14.4" x14ac:dyDescent="0.3">
      <c r="E3269" s="3"/>
      <c r="F3269" s="3"/>
      <c r="G3269" s="3"/>
      <c r="H3269" s="3"/>
      <c r="I3269" s="3"/>
      <c r="J3269" s="3"/>
    </row>
    <row r="3270" spans="5:10" ht="14.4" x14ac:dyDescent="0.3">
      <c r="E3270" s="3"/>
      <c r="F3270" s="3"/>
      <c r="G3270" s="3"/>
      <c r="H3270" s="3"/>
      <c r="I3270" s="3"/>
      <c r="J3270" s="3"/>
    </row>
    <row r="3271" spans="5:10" ht="14.4" x14ac:dyDescent="0.3">
      <c r="E3271" s="3"/>
      <c r="F3271" s="3"/>
      <c r="G3271" s="3"/>
      <c r="H3271" s="3"/>
      <c r="I3271" s="3"/>
      <c r="J3271" s="3"/>
    </row>
    <row r="3272" spans="5:10" ht="14.4" x14ac:dyDescent="0.3">
      <c r="E3272" s="3"/>
      <c r="F3272" s="3"/>
      <c r="G3272" s="3"/>
      <c r="H3272" s="3"/>
      <c r="I3272" s="3"/>
      <c r="J3272" s="3"/>
    </row>
    <row r="3273" spans="5:10" ht="14.4" x14ac:dyDescent="0.3">
      <c r="E3273" s="3"/>
      <c r="F3273" s="3"/>
      <c r="G3273" s="3"/>
      <c r="H3273" s="3"/>
      <c r="I3273" s="3"/>
      <c r="J3273" s="3"/>
    </row>
    <row r="3274" spans="5:10" ht="14.4" x14ac:dyDescent="0.3">
      <c r="E3274" s="3"/>
      <c r="F3274" s="3"/>
      <c r="G3274" s="3"/>
      <c r="H3274" s="3"/>
      <c r="I3274" s="3"/>
      <c r="J3274" s="3"/>
    </row>
    <row r="3275" spans="5:10" ht="14.4" x14ac:dyDescent="0.3">
      <c r="E3275" s="3"/>
      <c r="F3275" s="3"/>
      <c r="G3275" s="3"/>
      <c r="H3275" s="3"/>
      <c r="I3275" s="3"/>
      <c r="J3275" s="3"/>
    </row>
    <row r="3276" spans="5:10" ht="14.4" x14ac:dyDescent="0.3">
      <c r="E3276" s="3"/>
      <c r="F3276" s="3"/>
      <c r="G3276" s="3"/>
      <c r="H3276" s="3"/>
      <c r="I3276" s="3"/>
      <c r="J3276" s="3"/>
    </row>
    <row r="3277" spans="5:10" ht="14.4" x14ac:dyDescent="0.3">
      <c r="E3277" s="3"/>
      <c r="F3277" s="3"/>
      <c r="G3277" s="3"/>
      <c r="H3277" s="3"/>
      <c r="I3277" s="3"/>
      <c r="J3277" s="3"/>
    </row>
    <row r="3278" spans="5:10" ht="14.4" x14ac:dyDescent="0.3">
      <c r="E3278" s="3"/>
      <c r="F3278" s="3"/>
      <c r="G3278" s="3"/>
      <c r="H3278" s="3"/>
      <c r="I3278" s="3"/>
      <c r="J3278" s="3"/>
    </row>
    <row r="3279" spans="5:10" ht="14.4" x14ac:dyDescent="0.3">
      <c r="E3279" s="3"/>
      <c r="F3279" s="3"/>
      <c r="G3279" s="3"/>
      <c r="H3279" s="3"/>
      <c r="I3279" s="3"/>
      <c r="J3279" s="3"/>
    </row>
    <row r="3280" spans="5:10" ht="14.4" x14ac:dyDescent="0.3">
      <c r="E3280" s="3"/>
      <c r="F3280" s="3"/>
      <c r="G3280" s="3"/>
      <c r="H3280" s="3"/>
      <c r="I3280" s="3"/>
      <c r="J3280" s="3"/>
    </row>
    <row r="3281" spans="5:10" ht="14.4" x14ac:dyDescent="0.3">
      <c r="E3281" s="3"/>
      <c r="F3281" s="3"/>
      <c r="G3281" s="3"/>
      <c r="H3281" s="3"/>
      <c r="I3281" s="3"/>
      <c r="J3281" s="3"/>
    </row>
    <row r="3282" spans="5:10" ht="14.4" x14ac:dyDescent="0.3">
      <c r="E3282" s="3"/>
      <c r="F3282" s="3"/>
      <c r="G3282" s="3"/>
      <c r="H3282" s="3"/>
      <c r="I3282" s="3"/>
      <c r="J3282" s="3"/>
    </row>
    <row r="3283" spans="5:10" ht="14.4" x14ac:dyDescent="0.3">
      <c r="E3283" s="3"/>
      <c r="F3283" s="3"/>
      <c r="G3283" s="3"/>
      <c r="H3283" s="3"/>
      <c r="I3283" s="3"/>
      <c r="J3283" s="3"/>
    </row>
    <row r="3284" spans="5:10" ht="14.4" x14ac:dyDescent="0.3">
      <c r="E3284" s="3"/>
      <c r="F3284" s="3"/>
      <c r="G3284" s="3"/>
      <c r="H3284" s="3"/>
      <c r="I3284" s="3"/>
      <c r="J3284" s="3"/>
    </row>
    <row r="3285" spans="5:10" ht="14.4" x14ac:dyDescent="0.3">
      <c r="E3285" s="3"/>
      <c r="F3285" s="3"/>
      <c r="G3285" s="3"/>
      <c r="H3285" s="3"/>
      <c r="I3285" s="3"/>
      <c r="J3285" s="3"/>
    </row>
    <row r="3286" spans="5:10" ht="14.4" x14ac:dyDescent="0.3">
      <c r="E3286" s="3"/>
      <c r="F3286" s="3"/>
      <c r="G3286" s="3"/>
      <c r="H3286" s="3"/>
      <c r="I3286" s="3"/>
      <c r="J3286" s="3"/>
    </row>
    <row r="3287" spans="5:10" ht="14.4" x14ac:dyDescent="0.3">
      <c r="E3287" s="3"/>
      <c r="F3287" s="3"/>
      <c r="G3287" s="3"/>
      <c r="H3287" s="3"/>
      <c r="I3287" s="3"/>
      <c r="J3287" s="3"/>
    </row>
    <row r="3288" spans="5:10" ht="14.4" x14ac:dyDescent="0.3">
      <c r="E3288" s="3"/>
      <c r="F3288" s="3"/>
      <c r="G3288" s="3"/>
      <c r="H3288" s="3"/>
      <c r="I3288" s="3"/>
      <c r="J3288" s="3"/>
    </row>
    <row r="3289" spans="5:10" ht="14.4" x14ac:dyDescent="0.3">
      <c r="E3289" s="3"/>
      <c r="F3289" s="3"/>
      <c r="G3289" s="3"/>
      <c r="H3289" s="3"/>
      <c r="I3289" s="3"/>
      <c r="J3289" s="3"/>
    </row>
    <row r="3290" spans="5:10" ht="14.4" x14ac:dyDescent="0.3">
      <c r="E3290" s="3"/>
      <c r="F3290" s="3"/>
      <c r="G3290" s="3"/>
      <c r="H3290" s="3"/>
      <c r="I3290" s="3"/>
      <c r="J3290" s="3"/>
    </row>
    <row r="3291" spans="5:10" ht="14.4" x14ac:dyDescent="0.3">
      <c r="E3291" s="3"/>
      <c r="F3291" s="3"/>
      <c r="G3291" s="3"/>
      <c r="H3291" s="3"/>
      <c r="I3291" s="3"/>
      <c r="J3291" s="3"/>
    </row>
    <row r="3292" spans="5:10" ht="14.4" x14ac:dyDescent="0.3">
      <c r="E3292" s="3"/>
      <c r="F3292" s="3"/>
      <c r="G3292" s="3"/>
      <c r="H3292" s="3"/>
      <c r="I3292" s="3"/>
      <c r="J3292" s="3"/>
    </row>
    <row r="3293" spans="5:10" ht="14.4" x14ac:dyDescent="0.3">
      <c r="E3293" s="3"/>
      <c r="F3293" s="3"/>
      <c r="G3293" s="3"/>
      <c r="H3293" s="3"/>
      <c r="I3293" s="3"/>
      <c r="J3293" s="3"/>
    </row>
    <row r="3294" spans="5:10" ht="14.4" x14ac:dyDescent="0.3">
      <c r="E3294" s="3"/>
      <c r="F3294" s="3"/>
      <c r="G3294" s="3"/>
      <c r="H3294" s="3"/>
      <c r="I3294" s="3"/>
      <c r="J3294" s="3"/>
    </row>
    <row r="3295" spans="5:10" ht="14.4" x14ac:dyDescent="0.3">
      <c r="E3295" s="3"/>
      <c r="F3295" s="3"/>
      <c r="G3295" s="3"/>
      <c r="H3295" s="3"/>
      <c r="I3295" s="3"/>
      <c r="J3295" s="3"/>
    </row>
    <row r="3296" spans="5:10" ht="14.4" x14ac:dyDescent="0.3">
      <c r="E3296" s="3"/>
      <c r="F3296" s="3"/>
      <c r="G3296" s="3"/>
      <c r="H3296" s="3"/>
      <c r="I3296" s="3"/>
      <c r="J3296" s="3"/>
    </row>
    <row r="3297" spans="5:10" ht="14.4" x14ac:dyDescent="0.3">
      <c r="E3297" s="3"/>
      <c r="F3297" s="3"/>
      <c r="G3297" s="3"/>
      <c r="H3297" s="3"/>
      <c r="I3297" s="3"/>
      <c r="J3297" s="3"/>
    </row>
    <row r="3298" spans="5:10" ht="14.4" x14ac:dyDescent="0.3">
      <c r="E3298" s="3"/>
      <c r="F3298" s="3"/>
      <c r="G3298" s="3"/>
      <c r="H3298" s="3"/>
      <c r="I3298" s="3"/>
      <c r="J3298" s="3"/>
    </row>
    <row r="3299" spans="5:10" ht="14.4" x14ac:dyDescent="0.3">
      <c r="E3299" s="3"/>
      <c r="F3299" s="3"/>
      <c r="G3299" s="3"/>
      <c r="H3299" s="3"/>
      <c r="I3299" s="3"/>
      <c r="J3299" s="3"/>
    </row>
    <row r="3300" spans="5:10" ht="14.4" x14ac:dyDescent="0.3">
      <c r="E3300" s="3"/>
      <c r="F3300" s="3"/>
      <c r="G3300" s="3"/>
      <c r="H3300" s="3"/>
      <c r="I3300" s="3"/>
      <c r="J3300" s="3"/>
    </row>
    <row r="3301" spans="5:10" ht="14.4" x14ac:dyDescent="0.3">
      <c r="E3301" s="3"/>
      <c r="F3301" s="3"/>
      <c r="G3301" s="3"/>
      <c r="H3301" s="3"/>
      <c r="I3301" s="3"/>
      <c r="J3301" s="3"/>
    </row>
    <row r="3302" spans="5:10" ht="14.4" x14ac:dyDescent="0.3">
      <c r="E3302" s="3"/>
      <c r="F3302" s="3"/>
      <c r="G3302" s="3"/>
      <c r="H3302" s="3"/>
      <c r="I3302" s="3"/>
      <c r="J3302" s="3"/>
    </row>
    <row r="3303" spans="5:10" ht="14.4" x14ac:dyDescent="0.3">
      <c r="E3303" s="3"/>
      <c r="F3303" s="3"/>
      <c r="G3303" s="3"/>
      <c r="H3303" s="3"/>
      <c r="I3303" s="3"/>
      <c r="J3303" s="3"/>
    </row>
    <row r="3304" spans="5:10" ht="14.4" x14ac:dyDescent="0.3">
      <c r="E3304" s="3"/>
      <c r="F3304" s="3"/>
      <c r="G3304" s="3"/>
      <c r="H3304" s="3"/>
      <c r="I3304" s="3"/>
      <c r="J3304" s="3"/>
    </row>
    <row r="3305" spans="5:10" ht="14.4" x14ac:dyDescent="0.3">
      <c r="E3305" s="3"/>
      <c r="F3305" s="3"/>
      <c r="G3305" s="3"/>
      <c r="H3305" s="3"/>
      <c r="I3305" s="3"/>
      <c r="J3305" s="3"/>
    </row>
    <row r="3306" spans="5:10" ht="14.4" x14ac:dyDescent="0.3">
      <c r="E3306" s="3"/>
      <c r="F3306" s="3"/>
      <c r="G3306" s="3"/>
      <c r="H3306" s="3"/>
      <c r="I3306" s="3"/>
      <c r="J3306" s="3"/>
    </row>
    <row r="3307" spans="5:10" ht="14.4" x14ac:dyDescent="0.3">
      <c r="E3307" s="3"/>
      <c r="F3307" s="3"/>
      <c r="G3307" s="3"/>
      <c r="H3307" s="3"/>
      <c r="I3307" s="3"/>
      <c r="J3307" s="3"/>
    </row>
    <row r="3308" spans="5:10" ht="14.4" x14ac:dyDescent="0.3">
      <c r="E3308" s="3"/>
      <c r="F3308" s="3"/>
      <c r="G3308" s="3"/>
      <c r="H3308" s="3"/>
      <c r="I3308" s="3"/>
      <c r="J3308" s="3"/>
    </row>
    <row r="3309" spans="5:10" ht="14.4" x14ac:dyDescent="0.3">
      <c r="E3309" s="3"/>
      <c r="F3309" s="3"/>
      <c r="G3309" s="3"/>
      <c r="H3309" s="3"/>
      <c r="I3309" s="3"/>
      <c r="J3309" s="3"/>
    </row>
    <row r="3310" spans="5:10" ht="14.4" x14ac:dyDescent="0.3">
      <c r="E3310" s="3"/>
      <c r="F3310" s="3"/>
      <c r="G3310" s="3"/>
      <c r="H3310" s="3"/>
      <c r="I3310" s="3"/>
      <c r="J3310" s="3"/>
    </row>
    <row r="3311" spans="5:10" ht="14.4" x14ac:dyDescent="0.3">
      <c r="E3311" s="3"/>
      <c r="F3311" s="3"/>
      <c r="G3311" s="3"/>
      <c r="H3311" s="3"/>
      <c r="I3311" s="3"/>
      <c r="J3311" s="3"/>
    </row>
    <row r="3312" spans="5:10" ht="14.4" x14ac:dyDescent="0.3">
      <c r="E3312" s="3"/>
      <c r="F3312" s="3"/>
      <c r="G3312" s="3"/>
      <c r="H3312" s="3"/>
      <c r="I3312" s="3"/>
      <c r="J3312" s="3"/>
    </row>
    <row r="3313" spans="5:10" ht="14.4" x14ac:dyDescent="0.3">
      <c r="E3313" s="3"/>
      <c r="F3313" s="3"/>
      <c r="G3313" s="3"/>
      <c r="H3313" s="3"/>
      <c r="I3313" s="3"/>
      <c r="J3313" s="3"/>
    </row>
    <row r="3314" spans="5:10" ht="14.4" x14ac:dyDescent="0.3">
      <c r="E3314" s="3"/>
      <c r="F3314" s="3"/>
      <c r="G3314" s="3"/>
      <c r="H3314" s="3"/>
      <c r="I3314" s="3"/>
      <c r="J3314" s="3"/>
    </row>
    <row r="3315" spans="5:10" ht="14.4" x14ac:dyDescent="0.3">
      <c r="E3315" s="3"/>
      <c r="F3315" s="3"/>
      <c r="G3315" s="3"/>
      <c r="H3315" s="3"/>
      <c r="I3315" s="3"/>
      <c r="J3315" s="3"/>
    </row>
    <row r="3316" spans="5:10" ht="14.4" x14ac:dyDescent="0.3">
      <c r="E3316" s="3"/>
      <c r="F3316" s="3"/>
      <c r="G3316" s="3"/>
      <c r="H3316" s="3"/>
      <c r="I3316" s="3"/>
      <c r="J3316" s="3"/>
    </row>
    <row r="3317" spans="5:10" ht="14.4" x14ac:dyDescent="0.3">
      <c r="E3317" s="3"/>
      <c r="F3317" s="3"/>
      <c r="G3317" s="3"/>
      <c r="H3317" s="3"/>
      <c r="I3317" s="3"/>
      <c r="J3317" s="3"/>
    </row>
    <row r="3318" spans="5:10" ht="14.4" x14ac:dyDescent="0.3">
      <c r="E3318" s="3"/>
      <c r="F3318" s="3"/>
      <c r="G3318" s="3"/>
      <c r="H3318" s="3"/>
      <c r="I3318" s="3"/>
      <c r="J3318" s="3"/>
    </row>
    <row r="3319" spans="5:10" ht="14.4" x14ac:dyDescent="0.3">
      <c r="E3319" s="3"/>
      <c r="F3319" s="3"/>
      <c r="G3319" s="3"/>
      <c r="H3319" s="3"/>
      <c r="I3319" s="3"/>
      <c r="J3319" s="3"/>
    </row>
    <row r="3320" spans="5:10" ht="14.4" x14ac:dyDescent="0.3">
      <c r="E3320" s="3"/>
      <c r="F3320" s="3"/>
      <c r="G3320" s="3"/>
      <c r="H3320" s="3"/>
      <c r="I3320" s="3"/>
      <c r="J3320" s="3"/>
    </row>
    <row r="3321" spans="5:10" ht="14.4" x14ac:dyDescent="0.3">
      <c r="E3321" s="3"/>
      <c r="F3321" s="3"/>
      <c r="G3321" s="3"/>
      <c r="H3321" s="3"/>
      <c r="I3321" s="3"/>
      <c r="J3321" s="3"/>
    </row>
    <row r="3322" spans="5:10" ht="14.4" x14ac:dyDescent="0.3">
      <c r="E3322" s="3"/>
      <c r="F3322" s="3"/>
      <c r="G3322" s="3"/>
      <c r="H3322" s="3"/>
      <c r="I3322" s="3"/>
      <c r="J3322" s="3"/>
    </row>
    <row r="3323" spans="5:10" ht="14.4" x14ac:dyDescent="0.3">
      <c r="E3323" s="3"/>
      <c r="F3323" s="3"/>
      <c r="G3323" s="3"/>
      <c r="H3323" s="3"/>
      <c r="I3323" s="3"/>
      <c r="J3323" s="3"/>
    </row>
    <row r="3324" spans="5:10" ht="14.4" x14ac:dyDescent="0.3">
      <c r="E3324" s="3"/>
      <c r="F3324" s="3"/>
      <c r="G3324" s="3"/>
      <c r="H3324" s="3"/>
      <c r="I3324" s="3"/>
      <c r="J3324" s="3"/>
    </row>
    <row r="3325" spans="5:10" ht="14.4" x14ac:dyDescent="0.3">
      <c r="E3325" s="3"/>
      <c r="F3325" s="3"/>
      <c r="G3325" s="3"/>
      <c r="H3325" s="3"/>
      <c r="I3325" s="3"/>
      <c r="J3325" s="3"/>
    </row>
    <row r="3326" spans="5:10" ht="14.4" x14ac:dyDescent="0.3">
      <c r="E3326" s="3"/>
      <c r="F3326" s="3"/>
      <c r="G3326" s="3"/>
      <c r="H3326" s="3"/>
      <c r="I3326" s="3"/>
      <c r="J3326" s="3"/>
    </row>
    <row r="3327" spans="5:10" ht="14.4" x14ac:dyDescent="0.3">
      <c r="E3327" s="3"/>
      <c r="F3327" s="3"/>
      <c r="G3327" s="3"/>
      <c r="H3327" s="3"/>
      <c r="I3327" s="3"/>
      <c r="J3327" s="3"/>
    </row>
    <row r="3328" spans="5:10" ht="14.4" x14ac:dyDescent="0.3">
      <c r="E3328" s="3"/>
      <c r="F3328" s="3"/>
      <c r="G3328" s="3"/>
      <c r="H3328" s="3"/>
      <c r="I3328" s="3"/>
      <c r="J3328" s="3"/>
    </row>
    <row r="3329" spans="5:10" ht="14.4" x14ac:dyDescent="0.3">
      <c r="E3329" s="3"/>
      <c r="F3329" s="3"/>
      <c r="G3329" s="3"/>
      <c r="H3329" s="3"/>
      <c r="I3329" s="3"/>
      <c r="J3329" s="3"/>
    </row>
    <row r="3330" spans="5:10" ht="14.4" x14ac:dyDescent="0.3">
      <c r="E3330" s="3"/>
      <c r="F3330" s="3"/>
      <c r="G3330" s="3"/>
      <c r="H3330" s="3"/>
      <c r="I3330" s="3"/>
      <c r="J3330" s="3"/>
    </row>
    <row r="3331" spans="5:10" ht="14.4" x14ac:dyDescent="0.3">
      <c r="E3331" s="3"/>
      <c r="F3331" s="3"/>
      <c r="G3331" s="3"/>
      <c r="H3331" s="3"/>
      <c r="I3331" s="3"/>
      <c r="J3331" s="3"/>
    </row>
    <row r="3332" spans="5:10" ht="14.4" x14ac:dyDescent="0.3">
      <c r="E3332" s="3"/>
      <c r="F3332" s="3"/>
      <c r="G3332" s="3"/>
      <c r="H3332" s="3"/>
      <c r="I3332" s="3"/>
      <c r="J3332" s="3"/>
    </row>
    <row r="3333" spans="5:10" ht="14.4" x14ac:dyDescent="0.3">
      <c r="E3333" s="3"/>
      <c r="F3333" s="3"/>
      <c r="G3333" s="3"/>
      <c r="H3333" s="3"/>
      <c r="I3333" s="3"/>
      <c r="J3333" s="3"/>
    </row>
    <row r="3334" spans="5:10" ht="14.4" x14ac:dyDescent="0.3">
      <c r="E3334" s="3"/>
      <c r="F3334" s="3"/>
      <c r="G3334" s="3"/>
      <c r="H3334" s="3"/>
      <c r="I3334" s="3"/>
      <c r="J3334" s="3"/>
    </row>
    <row r="3335" spans="5:10" ht="14.4" x14ac:dyDescent="0.3">
      <c r="E3335" s="3"/>
      <c r="F3335" s="3"/>
      <c r="G3335" s="3"/>
      <c r="H3335" s="3"/>
      <c r="I3335" s="3"/>
      <c r="J3335" s="3"/>
    </row>
    <row r="3336" spans="5:10" ht="14.4" x14ac:dyDescent="0.3">
      <c r="E3336" s="3"/>
      <c r="F3336" s="3"/>
      <c r="G3336" s="3"/>
      <c r="H3336" s="3"/>
      <c r="I3336" s="3"/>
      <c r="J3336" s="3"/>
    </row>
    <row r="3337" spans="5:10" ht="14.4" x14ac:dyDescent="0.3">
      <c r="E3337" s="3"/>
      <c r="F3337" s="3"/>
      <c r="G3337" s="3"/>
      <c r="H3337" s="3"/>
      <c r="I3337" s="3"/>
      <c r="J3337" s="3"/>
    </row>
    <row r="3338" spans="5:10" ht="14.4" x14ac:dyDescent="0.3">
      <c r="E3338" s="3"/>
      <c r="F3338" s="3"/>
      <c r="G3338" s="3"/>
      <c r="H3338" s="3"/>
      <c r="I3338" s="3"/>
      <c r="J3338" s="3"/>
    </row>
    <row r="3339" spans="5:10" ht="14.4" x14ac:dyDescent="0.3">
      <c r="E3339" s="3"/>
      <c r="F3339" s="3"/>
      <c r="G3339" s="3"/>
      <c r="H3339" s="3"/>
      <c r="I3339" s="3"/>
      <c r="J3339" s="3"/>
    </row>
    <row r="3340" spans="5:10" ht="14.4" x14ac:dyDescent="0.3">
      <c r="E3340" s="3"/>
      <c r="F3340" s="3"/>
      <c r="G3340" s="3"/>
      <c r="H3340" s="3"/>
      <c r="I3340" s="3"/>
      <c r="J3340" s="3"/>
    </row>
    <row r="3341" spans="5:10" ht="14.4" x14ac:dyDescent="0.3">
      <c r="E3341" s="3"/>
      <c r="F3341" s="3"/>
      <c r="G3341" s="3"/>
      <c r="H3341" s="3"/>
      <c r="I3341" s="3"/>
      <c r="J3341" s="3"/>
    </row>
    <row r="3342" spans="5:10" ht="14.4" x14ac:dyDescent="0.3">
      <c r="E3342" s="3"/>
      <c r="F3342" s="3"/>
      <c r="G3342" s="3"/>
      <c r="H3342" s="3"/>
      <c r="I3342" s="3"/>
      <c r="J3342" s="3"/>
    </row>
    <row r="3343" spans="5:10" ht="14.4" x14ac:dyDescent="0.3">
      <c r="E3343" s="3"/>
      <c r="F3343" s="3"/>
      <c r="G3343" s="3"/>
      <c r="H3343" s="3"/>
      <c r="I3343" s="3"/>
      <c r="J3343" s="3"/>
    </row>
    <row r="3344" spans="5:10" ht="14.4" x14ac:dyDescent="0.3">
      <c r="E3344" s="3"/>
      <c r="F3344" s="3"/>
      <c r="G3344" s="3"/>
      <c r="H3344" s="3"/>
      <c r="I3344" s="3"/>
      <c r="J3344" s="3"/>
    </row>
    <row r="3345" spans="5:10" ht="14.4" x14ac:dyDescent="0.3">
      <c r="E3345" s="3"/>
      <c r="F3345" s="3"/>
      <c r="G3345" s="3"/>
      <c r="H3345" s="3"/>
      <c r="I3345" s="3"/>
      <c r="J3345" s="3"/>
    </row>
    <row r="3346" spans="5:10" ht="14.4" x14ac:dyDescent="0.3">
      <c r="E3346" s="3"/>
      <c r="F3346" s="3"/>
      <c r="G3346" s="3"/>
      <c r="H3346" s="3"/>
      <c r="I3346" s="3"/>
      <c r="J3346" s="3"/>
    </row>
    <row r="3347" spans="5:10" ht="14.4" x14ac:dyDescent="0.3">
      <c r="E3347" s="3"/>
      <c r="F3347" s="3"/>
      <c r="G3347" s="3"/>
      <c r="H3347" s="3"/>
      <c r="I3347" s="3"/>
      <c r="J3347" s="3"/>
    </row>
    <row r="3348" spans="5:10" ht="14.4" x14ac:dyDescent="0.3">
      <c r="E3348" s="3"/>
      <c r="F3348" s="3"/>
      <c r="G3348" s="3"/>
      <c r="H3348" s="3"/>
      <c r="I3348" s="3"/>
      <c r="J3348" s="3"/>
    </row>
    <row r="3349" spans="5:10" ht="14.4" x14ac:dyDescent="0.3">
      <c r="E3349" s="3"/>
      <c r="F3349" s="3"/>
      <c r="G3349" s="3"/>
      <c r="H3349" s="3"/>
      <c r="I3349" s="3"/>
      <c r="J3349" s="3"/>
    </row>
    <row r="3350" spans="5:10" ht="14.4" x14ac:dyDescent="0.3">
      <c r="E3350" s="3"/>
      <c r="F3350" s="3"/>
      <c r="G3350" s="3"/>
      <c r="H3350" s="3"/>
      <c r="I3350" s="3"/>
      <c r="J3350" s="3"/>
    </row>
    <row r="3351" spans="5:10" ht="14.4" x14ac:dyDescent="0.3">
      <c r="E3351" s="3"/>
      <c r="F3351" s="3"/>
      <c r="G3351" s="3"/>
      <c r="H3351" s="3"/>
      <c r="I3351" s="3"/>
      <c r="J3351" s="3"/>
    </row>
    <row r="3352" spans="5:10" ht="14.4" x14ac:dyDescent="0.3">
      <c r="E3352" s="3"/>
      <c r="F3352" s="3"/>
      <c r="G3352" s="3"/>
      <c r="H3352" s="3"/>
      <c r="I3352" s="3"/>
      <c r="J3352" s="3"/>
    </row>
    <row r="3353" spans="5:10" ht="14.4" x14ac:dyDescent="0.3">
      <c r="E3353" s="3"/>
      <c r="F3353" s="3"/>
      <c r="G3353" s="3"/>
      <c r="H3353" s="3"/>
      <c r="I3353" s="3"/>
      <c r="J3353" s="3"/>
    </row>
    <row r="3354" spans="5:10" ht="14.4" x14ac:dyDescent="0.3">
      <c r="E3354" s="3"/>
      <c r="F3354" s="3"/>
      <c r="G3354" s="3"/>
      <c r="H3354" s="3"/>
      <c r="I3354" s="3"/>
      <c r="J3354" s="3"/>
    </row>
    <row r="3355" spans="5:10" ht="14.4" x14ac:dyDescent="0.3">
      <c r="E3355" s="3"/>
      <c r="F3355" s="3"/>
      <c r="G3355" s="3"/>
      <c r="H3355" s="3"/>
      <c r="I3355" s="3"/>
      <c r="J3355" s="3"/>
    </row>
    <row r="3356" spans="5:10" ht="14.4" x14ac:dyDescent="0.3">
      <c r="E3356" s="3"/>
      <c r="F3356" s="3"/>
      <c r="G3356" s="3"/>
      <c r="H3356" s="3"/>
      <c r="I3356" s="3"/>
      <c r="J3356" s="3"/>
    </row>
    <row r="3357" spans="5:10" ht="14.4" x14ac:dyDescent="0.3">
      <c r="E3357" s="3"/>
      <c r="F3357" s="3"/>
      <c r="G3357" s="3"/>
      <c r="H3357" s="3"/>
      <c r="I3357" s="3"/>
      <c r="J3357" s="3"/>
    </row>
    <row r="3358" spans="5:10" ht="14.4" x14ac:dyDescent="0.3">
      <c r="E3358" s="3"/>
      <c r="F3358" s="3"/>
      <c r="G3358" s="3"/>
      <c r="H3358" s="3"/>
      <c r="I3358" s="3"/>
      <c r="J3358" s="3"/>
    </row>
    <row r="3359" spans="5:10" ht="14.4" x14ac:dyDescent="0.3">
      <c r="E3359" s="3"/>
      <c r="F3359" s="3"/>
      <c r="G3359" s="3"/>
      <c r="H3359" s="3"/>
      <c r="I3359" s="3"/>
      <c r="J3359" s="3"/>
    </row>
    <row r="3360" spans="5:10" ht="14.4" x14ac:dyDescent="0.3">
      <c r="E3360" s="3"/>
      <c r="F3360" s="3"/>
      <c r="G3360" s="3"/>
      <c r="H3360" s="3"/>
      <c r="I3360" s="3"/>
      <c r="J3360" s="3"/>
    </row>
    <row r="3361" spans="5:10" ht="14.4" x14ac:dyDescent="0.3">
      <c r="E3361" s="3"/>
      <c r="F3361" s="3"/>
      <c r="G3361" s="3"/>
      <c r="H3361" s="3"/>
      <c r="I3361" s="3"/>
      <c r="J3361" s="3"/>
    </row>
    <row r="3362" spans="5:10" ht="14.4" x14ac:dyDescent="0.3">
      <c r="E3362" s="3"/>
      <c r="F3362" s="3"/>
      <c r="G3362" s="3"/>
      <c r="H3362" s="3"/>
      <c r="I3362" s="3"/>
      <c r="J3362" s="3"/>
    </row>
    <row r="3363" spans="5:10" ht="14.4" x14ac:dyDescent="0.3">
      <c r="E3363" s="3"/>
      <c r="F3363" s="3"/>
      <c r="G3363" s="3"/>
      <c r="H3363" s="3"/>
      <c r="I3363" s="3"/>
      <c r="J3363" s="3"/>
    </row>
    <row r="3364" spans="5:10" ht="14.4" x14ac:dyDescent="0.3">
      <c r="E3364" s="3"/>
      <c r="F3364" s="3"/>
      <c r="G3364" s="3"/>
      <c r="H3364" s="3"/>
      <c r="I3364" s="3"/>
      <c r="J3364" s="3"/>
    </row>
    <row r="3365" spans="5:10" ht="14.4" x14ac:dyDescent="0.3">
      <c r="E3365" s="3"/>
      <c r="F3365" s="3"/>
      <c r="G3365" s="3"/>
      <c r="H3365" s="3"/>
      <c r="I3365" s="3"/>
      <c r="J3365" s="3"/>
    </row>
    <row r="3366" spans="5:10" ht="14.4" x14ac:dyDescent="0.3">
      <c r="E3366" s="3"/>
      <c r="F3366" s="3"/>
      <c r="G3366" s="3"/>
      <c r="H3366" s="3"/>
      <c r="I3366" s="3"/>
      <c r="J3366" s="3"/>
    </row>
    <row r="3367" spans="5:10" ht="14.4" x14ac:dyDescent="0.3">
      <c r="E3367" s="3"/>
      <c r="F3367" s="3"/>
      <c r="G3367" s="3"/>
      <c r="H3367" s="3"/>
      <c r="I3367" s="3"/>
      <c r="J3367" s="3"/>
    </row>
    <row r="3368" spans="5:10" ht="14.4" x14ac:dyDescent="0.3">
      <c r="E3368" s="3"/>
      <c r="F3368" s="3"/>
      <c r="G3368" s="3"/>
      <c r="H3368" s="3"/>
      <c r="I3368" s="3"/>
      <c r="J3368" s="3"/>
    </row>
    <row r="3369" spans="5:10" ht="14.4" x14ac:dyDescent="0.3">
      <c r="E3369" s="3"/>
      <c r="F3369" s="3"/>
      <c r="G3369" s="3"/>
      <c r="H3369" s="3"/>
      <c r="I3369" s="3"/>
      <c r="J3369" s="3"/>
    </row>
    <row r="3370" spans="5:10" ht="14.4" x14ac:dyDescent="0.3">
      <c r="E3370" s="3"/>
      <c r="F3370" s="3"/>
      <c r="G3370" s="3"/>
      <c r="H3370" s="3"/>
      <c r="I3370" s="3"/>
      <c r="J3370" s="3"/>
    </row>
    <row r="3371" spans="5:10" ht="14.4" x14ac:dyDescent="0.3">
      <c r="E3371" s="3"/>
      <c r="F3371" s="3"/>
      <c r="G3371" s="3"/>
      <c r="H3371" s="3"/>
      <c r="I3371" s="3"/>
      <c r="J3371" s="3"/>
    </row>
    <row r="3372" spans="5:10" ht="14.4" x14ac:dyDescent="0.3">
      <c r="E3372" s="3"/>
      <c r="F3372" s="3"/>
      <c r="G3372" s="3"/>
      <c r="H3372" s="3"/>
      <c r="I3372" s="3"/>
      <c r="J3372" s="3"/>
    </row>
    <row r="3373" spans="5:10" ht="14.4" x14ac:dyDescent="0.3">
      <c r="E3373" s="3"/>
      <c r="F3373" s="3"/>
      <c r="G3373" s="3"/>
      <c r="H3373" s="3"/>
      <c r="I3373" s="3"/>
      <c r="J3373" s="3"/>
    </row>
    <row r="3374" spans="5:10" ht="14.4" x14ac:dyDescent="0.3">
      <c r="E3374" s="3"/>
      <c r="F3374" s="3"/>
      <c r="G3374" s="3"/>
      <c r="H3374" s="3"/>
      <c r="I3374" s="3"/>
      <c r="J3374" s="3"/>
    </row>
    <row r="3375" spans="5:10" ht="14.4" x14ac:dyDescent="0.3">
      <c r="E3375" s="3"/>
      <c r="F3375" s="3"/>
      <c r="G3375" s="3"/>
      <c r="H3375" s="3"/>
      <c r="I3375" s="3"/>
      <c r="J3375" s="3"/>
    </row>
    <row r="3376" spans="5:10" ht="14.4" x14ac:dyDescent="0.3">
      <c r="E3376" s="3"/>
      <c r="F3376" s="3"/>
      <c r="G3376" s="3"/>
      <c r="H3376" s="3"/>
      <c r="I3376" s="3"/>
      <c r="J3376" s="3"/>
    </row>
    <row r="3377" spans="5:10" ht="14.4" x14ac:dyDescent="0.3">
      <c r="E3377" s="3"/>
      <c r="F3377" s="3"/>
      <c r="G3377" s="3"/>
      <c r="H3377" s="3"/>
      <c r="I3377" s="3"/>
      <c r="J3377" s="3"/>
    </row>
    <row r="3378" spans="5:10" ht="14.4" x14ac:dyDescent="0.3">
      <c r="E3378" s="3"/>
      <c r="F3378" s="3"/>
      <c r="G3378" s="3"/>
      <c r="H3378" s="3"/>
      <c r="I3378" s="3"/>
      <c r="J3378" s="3"/>
    </row>
    <row r="3379" spans="5:10" ht="14.4" x14ac:dyDescent="0.3">
      <c r="E3379" s="3"/>
      <c r="F3379" s="3"/>
      <c r="G3379" s="3"/>
      <c r="H3379" s="3"/>
      <c r="I3379" s="3"/>
      <c r="J3379" s="3"/>
    </row>
    <row r="3380" spans="5:10" ht="14.4" x14ac:dyDescent="0.3">
      <c r="E3380" s="3"/>
      <c r="F3380" s="3"/>
      <c r="G3380" s="3"/>
      <c r="H3380" s="3"/>
      <c r="I3380" s="3"/>
      <c r="J3380" s="3"/>
    </row>
    <row r="3381" spans="5:10" ht="14.4" x14ac:dyDescent="0.3">
      <c r="E3381" s="3"/>
      <c r="F3381" s="3"/>
      <c r="G3381" s="3"/>
      <c r="H3381" s="3"/>
      <c r="I3381" s="3"/>
      <c r="J3381" s="3"/>
    </row>
    <row r="3382" spans="5:10" ht="14.4" x14ac:dyDescent="0.3">
      <c r="E3382" s="3"/>
      <c r="F3382" s="3"/>
      <c r="G3382" s="3"/>
      <c r="H3382" s="3"/>
      <c r="I3382" s="3"/>
      <c r="J3382" s="3"/>
    </row>
    <row r="3383" spans="5:10" ht="14.4" x14ac:dyDescent="0.3">
      <c r="E3383" s="3"/>
      <c r="F3383" s="3"/>
      <c r="G3383" s="3"/>
      <c r="H3383" s="3"/>
      <c r="I3383" s="3"/>
      <c r="J3383" s="3"/>
    </row>
    <row r="3384" spans="5:10" ht="14.4" x14ac:dyDescent="0.3">
      <c r="E3384" s="3"/>
      <c r="F3384" s="3"/>
      <c r="G3384" s="3"/>
      <c r="H3384" s="3"/>
      <c r="I3384" s="3"/>
      <c r="J3384" s="3"/>
    </row>
    <row r="3385" spans="5:10" ht="14.4" x14ac:dyDescent="0.3">
      <c r="E3385" s="3"/>
      <c r="F3385" s="3"/>
      <c r="G3385" s="3"/>
      <c r="H3385" s="3"/>
      <c r="I3385" s="3"/>
      <c r="J3385" s="3"/>
    </row>
    <row r="3386" spans="5:10" ht="14.4" x14ac:dyDescent="0.3">
      <c r="E3386" s="3"/>
      <c r="F3386" s="3"/>
      <c r="G3386" s="3"/>
      <c r="H3386" s="3"/>
      <c r="I3386" s="3"/>
      <c r="J3386" s="3"/>
    </row>
    <row r="3387" spans="5:10" ht="14.4" x14ac:dyDescent="0.3">
      <c r="E3387" s="3"/>
      <c r="F3387" s="3"/>
      <c r="G3387" s="3"/>
      <c r="H3387" s="3"/>
      <c r="I3387" s="3"/>
      <c r="J3387" s="3"/>
    </row>
    <row r="3388" spans="5:10" ht="14.4" x14ac:dyDescent="0.3">
      <c r="E3388" s="3"/>
      <c r="F3388" s="3"/>
      <c r="G3388" s="3"/>
      <c r="H3388" s="3"/>
      <c r="I3388" s="3"/>
      <c r="J3388" s="3"/>
    </row>
    <row r="3389" spans="5:10" ht="14.4" x14ac:dyDescent="0.3">
      <c r="E3389" s="3"/>
      <c r="F3389" s="3"/>
      <c r="G3389" s="3"/>
      <c r="H3389" s="3"/>
      <c r="I3389" s="3"/>
      <c r="J3389" s="3"/>
    </row>
    <row r="3390" spans="5:10" ht="14.4" x14ac:dyDescent="0.3">
      <c r="E3390" s="3"/>
      <c r="F3390" s="3"/>
      <c r="G3390" s="3"/>
      <c r="H3390" s="3"/>
      <c r="I3390" s="3"/>
      <c r="J3390" s="3"/>
    </row>
    <row r="3391" spans="5:10" ht="14.4" x14ac:dyDescent="0.3">
      <c r="E3391" s="3"/>
      <c r="F3391" s="3"/>
      <c r="G3391" s="3"/>
      <c r="H3391" s="3"/>
      <c r="I3391" s="3"/>
      <c r="J3391" s="3"/>
    </row>
    <row r="3392" spans="5:10" ht="14.4" x14ac:dyDescent="0.3">
      <c r="E3392" s="3"/>
      <c r="F3392" s="3"/>
      <c r="G3392" s="3"/>
      <c r="H3392" s="3"/>
      <c r="I3392" s="3"/>
      <c r="J3392" s="3"/>
    </row>
    <row r="3393" spans="5:10" ht="14.4" x14ac:dyDescent="0.3">
      <c r="E3393" s="3"/>
      <c r="F3393" s="3"/>
      <c r="G3393" s="3"/>
      <c r="H3393" s="3"/>
      <c r="I3393" s="3"/>
      <c r="J3393" s="3"/>
    </row>
    <row r="3394" spans="5:10" ht="14.4" x14ac:dyDescent="0.3">
      <c r="E3394" s="3"/>
      <c r="F3394" s="3"/>
      <c r="G3394" s="3"/>
      <c r="H3394" s="3"/>
      <c r="I3394" s="3"/>
      <c r="J3394" s="3"/>
    </row>
    <row r="3395" spans="5:10" ht="14.4" x14ac:dyDescent="0.3">
      <c r="E3395" s="3"/>
      <c r="F3395" s="3"/>
      <c r="G3395" s="3"/>
      <c r="H3395" s="3"/>
      <c r="I3395" s="3"/>
      <c r="J3395" s="3"/>
    </row>
    <row r="3396" spans="5:10" ht="14.4" x14ac:dyDescent="0.3">
      <c r="E3396" s="3"/>
      <c r="F3396" s="3"/>
      <c r="G3396" s="3"/>
      <c r="H3396" s="3"/>
      <c r="I3396" s="3"/>
      <c r="J3396" s="3"/>
    </row>
    <row r="3397" spans="5:10" ht="14.4" x14ac:dyDescent="0.3">
      <c r="E3397" s="3"/>
      <c r="F3397" s="3"/>
      <c r="G3397" s="3"/>
      <c r="H3397" s="3"/>
      <c r="I3397" s="3"/>
      <c r="J3397" s="3"/>
    </row>
    <row r="3398" spans="5:10" ht="14.4" x14ac:dyDescent="0.3">
      <c r="E3398" s="3"/>
      <c r="F3398" s="3"/>
      <c r="G3398" s="3"/>
      <c r="H3398" s="3"/>
      <c r="I3398" s="3"/>
      <c r="J3398" s="3"/>
    </row>
    <row r="3399" spans="5:10" ht="14.4" x14ac:dyDescent="0.3">
      <c r="E3399" s="3"/>
      <c r="F3399" s="3"/>
      <c r="G3399" s="3"/>
      <c r="H3399" s="3"/>
      <c r="I3399" s="3"/>
      <c r="J3399" s="3"/>
    </row>
    <row r="3400" spans="5:10" ht="14.4" x14ac:dyDescent="0.3">
      <c r="E3400" s="3"/>
      <c r="F3400" s="3"/>
      <c r="G3400" s="3"/>
      <c r="H3400" s="3"/>
      <c r="I3400" s="3"/>
      <c r="J3400" s="3"/>
    </row>
    <row r="3401" spans="5:10" ht="14.4" x14ac:dyDescent="0.3">
      <c r="E3401" s="3"/>
      <c r="F3401" s="3"/>
      <c r="G3401" s="3"/>
      <c r="H3401" s="3"/>
      <c r="I3401" s="3"/>
      <c r="J3401" s="3"/>
    </row>
    <row r="3402" spans="5:10" ht="14.4" x14ac:dyDescent="0.3">
      <c r="E3402" s="3"/>
      <c r="F3402" s="3"/>
      <c r="G3402" s="3"/>
      <c r="H3402" s="3"/>
      <c r="I3402" s="3"/>
      <c r="J3402" s="3"/>
    </row>
    <row r="3403" spans="5:10" ht="14.4" x14ac:dyDescent="0.3">
      <c r="E3403" s="3"/>
      <c r="F3403" s="3"/>
      <c r="G3403" s="3"/>
      <c r="H3403" s="3"/>
      <c r="I3403" s="3"/>
      <c r="J3403" s="3"/>
    </row>
    <row r="3404" spans="5:10" ht="14.4" x14ac:dyDescent="0.3">
      <c r="E3404" s="3"/>
      <c r="F3404" s="3"/>
      <c r="G3404" s="3"/>
      <c r="H3404" s="3"/>
      <c r="I3404" s="3"/>
      <c r="J3404" s="3"/>
    </row>
    <row r="3405" spans="5:10" ht="14.4" x14ac:dyDescent="0.3">
      <c r="E3405" s="3"/>
      <c r="F3405" s="3"/>
      <c r="G3405" s="3"/>
      <c r="H3405" s="3"/>
      <c r="I3405" s="3"/>
      <c r="J3405" s="3"/>
    </row>
    <row r="3406" spans="5:10" ht="14.4" x14ac:dyDescent="0.3">
      <c r="E3406" s="3"/>
      <c r="F3406" s="3"/>
      <c r="G3406" s="3"/>
      <c r="H3406" s="3"/>
      <c r="I3406" s="3"/>
      <c r="J3406" s="3"/>
    </row>
    <row r="3407" spans="5:10" ht="14.4" x14ac:dyDescent="0.3">
      <c r="E3407" s="3"/>
      <c r="F3407" s="3"/>
      <c r="G3407" s="3"/>
      <c r="H3407" s="3"/>
      <c r="I3407" s="3"/>
      <c r="J3407" s="3"/>
    </row>
    <row r="3408" spans="5:10" ht="14.4" x14ac:dyDescent="0.3">
      <c r="E3408" s="3"/>
      <c r="F3408" s="3"/>
      <c r="G3408" s="3"/>
      <c r="H3408" s="3"/>
      <c r="I3408" s="3"/>
      <c r="J3408" s="3"/>
    </row>
    <row r="3409" spans="5:10" ht="14.4" x14ac:dyDescent="0.3">
      <c r="E3409" s="3"/>
      <c r="F3409" s="3"/>
      <c r="G3409" s="3"/>
      <c r="H3409" s="3"/>
      <c r="I3409" s="3"/>
      <c r="J3409" s="3"/>
    </row>
    <row r="3410" spans="5:10" ht="14.4" x14ac:dyDescent="0.3">
      <c r="E3410" s="3"/>
      <c r="F3410" s="3"/>
      <c r="G3410" s="3"/>
      <c r="H3410" s="3"/>
      <c r="I3410" s="3"/>
      <c r="J3410" s="3"/>
    </row>
    <row r="3411" spans="5:10" ht="14.4" x14ac:dyDescent="0.3">
      <c r="E3411" s="3"/>
      <c r="F3411" s="3"/>
      <c r="G3411" s="3"/>
      <c r="H3411" s="3"/>
      <c r="I3411" s="3"/>
      <c r="J3411" s="3"/>
    </row>
    <row r="3412" spans="5:10" ht="14.4" x14ac:dyDescent="0.3">
      <c r="E3412" s="3"/>
      <c r="F3412" s="3"/>
      <c r="G3412" s="3"/>
      <c r="H3412" s="3"/>
      <c r="I3412" s="3"/>
      <c r="J3412" s="3"/>
    </row>
    <row r="3413" spans="5:10" ht="14.4" x14ac:dyDescent="0.3">
      <c r="E3413" s="3"/>
      <c r="F3413" s="3"/>
      <c r="G3413" s="3"/>
      <c r="H3413" s="3"/>
      <c r="I3413" s="3"/>
      <c r="J3413" s="3"/>
    </row>
    <row r="3414" spans="5:10" ht="14.4" x14ac:dyDescent="0.3">
      <c r="E3414" s="3"/>
      <c r="F3414" s="3"/>
      <c r="G3414" s="3"/>
      <c r="H3414" s="3"/>
      <c r="I3414" s="3"/>
      <c r="J3414" s="3"/>
    </row>
    <row r="3415" spans="5:10" ht="14.4" x14ac:dyDescent="0.3">
      <c r="E3415" s="3"/>
      <c r="F3415" s="3"/>
      <c r="G3415" s="3"/>
      <c r="H3415" s="3"/>
      <c r="I3415" s="3"/>
      <c r="J3415" s="3"/>
    </row>
    <row r="3416" spans="5:10" ht="14.4" x14ac:dyDescent="0.3">
      <c r="E3416" s="3"/>
      <c r="F3416" s="3"/>
      <c r="G3416" s="3"/>
      <c r="H3416" s="3"/>
      <c r="I3416" s="3"/>
      <c r="J3416" s="3"/>
    </row>
    <row r="3417" spans="5:10" ht="14.4" x14ac:dyDescent="0.3">
      <c r="E3417" s="3"/>
      <c r="F3417" s="3"/>
      <c r="G3417" s="3"/>
      <c r="H3417" s="3"/>
      <c r="I3417" s="3"/>
      <c r="J3417" s="3"/>
    </row>
    <row r="3418" spans="5:10" ht="14.4" x14ac:dyDescent="0.3">
      <c r="E3418" s="3"/>
      <c r="F3418" s="3"/>
      <c r="G3418" s="3"/>
      <c r="H3418" s="3"/>
      <c r="I3418" s="3"/>
      <c r="J3418" s="3"/>
    </row>
    <row r="3419" spans="5:10" ht="14.4" x14ac:dyDescent="0.3">
      <c r="E3419" s="3"/>
      <c r="F3419" s="3"/>
      <c r="G3419" s="3"/>
      <c r="H3419" s="3"/>
      <c r="I3419" s="3"/>
      <c r="J3419" s="3"/>
    </row>
    <row r="3420" spans="5:10" ht="14.4" x14ac:dyDescent="0.3">
      <c r="E3420" s="3"/>
      <c r="F3420" s="3"/>
      <c r="G3420" s="3"/>
      <c r="H3420" s="3"/>
      <c r="I3420" s="3"/>
      <c r="J3420" s="3"/>
    </row>
    <row r="3421" spans="5:10" ht="14.4" x14ac:dyDescent="0.3">
      <c r="E3421" s="3"/>
      <c r="F3421" s="3"/>
      <c r="G3421" s="3"/>
      <c r="H3421" s="3"/>
      <c r="I3421" s="3"/>
      <c r="J3421" s="3"/>
    </row>
    <row r="3422" spans="5:10" ht="14.4" x14ac:dyDescent="0.3">
      <c r="E3422" s="3"/>
      <c r="F3422" s="3"/>
      <c r="G3422" s="3"/>
      <c r="H3422" s="3"/>
      <c r="I3422" s="3"/>
      <c r="J3422" s="3"/>
    </row>
    <row r="3423" spans="5:10" ht="14.4" x14ac:dyDescent="0.3">
      <c r="E3423" s="3"/>
      <c r="F3423" s="3"/>
      <c r="G3423" s="3"/>
      <c r="H3423" s="3"/>
      <c r="I3423" s="3"/>
      <c r="J3423" s="3"/>
    </row>
    <row r="3424" spans="5:10" ht="14.4" x14ac:dyDescent="0.3">
      <c r="E3424" s="3"/>
      <c r="F3424" s="3"/>
      <c r="G3424" s="3"/>
      <c r="H3424" s="3"/>
      <c r="I3424" s="3"/>
      <c r="J3424" s="3"/>
    </row>
    <row r="3425" spans="5:10" ht="14.4" x14ac:dyDescent="0.3">
      <c r="E3425" s="3"/>
      <c r="F3425" s="3"/>
      <c r="G3425" s="3"/>
      <c r="H3425" s="3"/>
      <c r="I3425" s="3"/>
      <c r="J3425" s="3"/>
    </row>
    <row r="3426" spans="5:10" ht="14.4" x14ac:dyDescent="0.3">
      <c r="E3426" s="3"/>
      <c r="F3426" s="3"/>
      <c r="G3426" s="3"/>
      <c r="H3426" s="3"/>
      <c r="I3426" s="3"/>
      <c r="J3426" s="3"/>
    </row>
    <row r="3427" spans="5:10" ht="14.4" x14ac:dyDescent="0.3">
      <c r="E3427" s="3"/>
      <c r="F3427" s="3"/>
      <c r="G3427" s="3"/>
      <c r="H3427" s="3"/>
      <c r="I3427" s="3"/>
      <c r="J3427" s="3"/>
    </row>
    <row r="3428" spans="5:10" ht="14.4" x14ac:dyDescent="0.3">
      <c r="E3428" s="3"/>
      <c r="F3428" s="3"/>
      <c r="G3428" s="3"/>
      <c r="H3428" s="3"/>
      <c r="I3428" s="3"/>
      <c r="J3428" s="3"/>
    </row>
    <row r="3429" spans="5:10" ht="14.4" x14ac:dyDescent="0.3">
      <c r="E3429" s="3"/>
      <c r="F3429" s="3"/>
      <c r="G3429" s="3"/>
      <c r="H3429" s="3"/>
      <c r="I3429" s="3"/>
      <c r="J3429" s="3"/>
    </row>
    <row r="3430" spans="5:10" ht="14.4" x14ac:dyDescent="0.3">
      <c r="E3430" s="3"/>
      <c r="F3430" s="3"/>
      <c r="G3430" s="3"/>
      <c r="H3430" s="3"/>
      <c r="I3430" s="3"/>
      <c r="J3430" s="3"/>
    </row>
    <row r="3431" spans="5:10" ht="14.4" x14ac:dyDescent="0.3">
      <c r="E3431" s="3"/>
      <c r="F3431" s="3"/>
      <c r="G3431" s="3"/>
      <c r="H3431" s="3"/>
      <c r="I3431" s="3"/>
      <c r="J3431" s="3"/>
    </row>
    <row r="3432" spans="5:10" ht="14.4" x14ac:dyDescent="0.3">
      <c r="E3432" s="3"/>
      <c r="F3432" s="3"/>
      <c r="G3432" s="3"/>
      <c r="H3432" s="3"/>
      <c r="I3432" s="3"/>
      <c r="J3432" s="3"/>
    </row>
    <row r="3433" spans="5:10" ht="14.4" x14ac:dyDescent="0.3">
      <c r="E3433" s="3"/>
      <c r="F3433" s="3"/>
      <c r="G3433" s="3"/>
      <c r="H3433" s="3"/>
      <c r="I3433" s="3"/>
      <c r="J3433" s="3"/>
    </row>
    <row r="3434" spans="5:10" ht="14.4" x14ac:dyDescent="0.3">
      <c r="E3434" s="3"/>
      <c r="F3434" s="3"/>
      <c r="G3434" s="3"/>
      <c r="H3434" s="3"/>
      <c r="I3434" s="3"/>
      <c r="J3434" s="3"/>
    </row>
    <row r="3435" spans="5:10" ht="14.4" x14ac:dyDescent="0.3">
      <c r="E3435" s="3"/>
      <c r="F3435" s="3"/>
      <c r="G3435" s="3"/>
      <c r="H3435" s="3"/>
      <c r="I3435" s="3"/>
      <c r="J3435" s="3"/>
    </row>
    <row r="3436" spans="5:10" ht="14.4" x14ac:dyDescent="0.3">
      <c r="E3436" s="3"/>
      <c r="F3436" s="3"/>
      <c r="G3436" s="3"/>
      <c r="H3436" s="3"/>
      <c r="I3436" s="3"/>
      <c r="J3436" s="3"/>
    </row>
    <row r="3437" spans="5:10" ht="14.4" x14ac:dyDescent="0.3">
      <c r="E3437" s="3"/>
      <c r="F3437" s="3"/>
      <c r="G3437" s="3"/>
      <c r="H3437" s="3"/>
      <c r="I3437" s="3"/>
      <c r="J3437" s="3"/>
    </row>
    <row r="3438" spans="5:10" ht="14.4" x14ac:dyDescent="0.3">
      <c r="E3438" s="3"/>
      <c r="F3438" s="3"/>
      <c r="G3438" s="3"/>
      <c r="H3438" s="3"/>
      <c r="I3438" s="3"/>
      <c r="J3438" s="3"/>
    </row>
    <row r="3439" spans="5:10" ht="14.4" x14ac:dyDescent="0.3">
      <c r="E3439" s="3"/>
      <c r="F3439" s="3"/>
      <c r="G3439" s="3"/>
      <c r="H3439" s="3"/>
      <c r="I3439" s="3"/>
      <c r="J3439" s="3"/>
    </row>
    <row r="3440" spans="5:10" ht="14.4" x14ac:dyDescent="0.3">
      <c r="E3440" s="3"/>
      <c r="F3440" s="3"/>
      <c r="G3440" s="3"/>
      <c r="H3440" s="3"/>
      <c r="I3440" s="3"/>
      <c r="J3440" s="3"/>
    </row>
    <row r="3441" spans="5:10" ht="14.4" x14ac:dyDescent="0.3">
      <c r="E3441" s="3"/>
      <c r="F3441" s="3"/>
      <c r="G3441" s="3"/>
      <c r="H3441" s="3"/>
      <c r="I3441" s="3"/>
      <c r="J3441" s="3"/>
    </row>
    <row r="3442" spans="5:10" ht="14.4" x14ac:dyDescent="0.3">
      <c r="E3442" s="3"/>
      <c r="F3442" s="3"/>
      <c r="G3442" s="3"/>
      <c r="H3442" s="3"/>
      <c r="I3442" s="3"/>
      <c r="J3442" s="3"/>
    </row>
    <row r="3443" spans="5:10" ht="14.4" x14ac:dyDescent="0.3">
      <c r="E3443" s="3"/>
      <c r="F3443" s="3"/>
      <c r="G3443" s="3"/>
      <c r="H3443" s="3"/>
      <c r="I3443" s="3"/>
      <c r="J3443" s="3"/>
    </row>
    <row r="3444" spans="5:10" ht="14.4" x14ac:dyDescent="0.3">
      <c r="E3444" s="3"/>
      <c r="F3444" s="3"/>
      <c r="G3444" s="3"/>
      <c r="H3444" s="3"/>
      <c r="I3444" s="3"/>
      <c r="J3444" s="3"/>
    </row>
    <row r="3445" spans="5:10" ht="14.4" x14ac:dyDescent="0.3">
      <c r="E3445" s="3"/>
      <c r="F3445" s="3"/>
      <c r="G3445" s="3"/>
      <c r="H3445" s="3"/>
      <c r="I3445" s="3"/>
      <c r="J3445" s="3"/>
    </row>
    <row r="3446" spans="5:10" ht="14.4" x14ac:dyDescent="0.3">
      <c r="E3446" s="3"/>
      <c r="F3446" s="3"/>
      <c r="G3446" s="3"/>
      <c r="H3446" s="3"/>
      <c r="I3446" s="3"/>
      <c r="J3446" s="3"/>
    </row>
    <row r="3447" spans="5:10" ht="14.4" x14ac:dyDescent="0.3">
      <c r="E3447" s="3"/>
      <c r="F3447" s="3"/>
      <c r="G3447" s="3"/>
      <c r="H3447" s="3"/>
      <c r="I3447" s="3"/>
      <c r="J3447" s="3"/>
    </row>
    <row r="3448" spans="5:10" ht="14.4" x14ac:dyDescent="0.3">
      <c r="E3448" s="3"/>
      <c r="F3448" s="3"/>
      <c r="G3448" s="3"/>
      <c r="H3448" s="3"/>
      <c r="I3448" s="3"/>
      <c r="J3448" s="3"/>
    </row>
    <row r="3449" spans="5:10" ht="14.4" x14ac:dyDescent="0.3">
      <c r="E3449" s="3"/>
      <c r="F3449" s="3"/>
      <c r="G3449" s="3"/>
      <c r="H3449" s="3"/>
      <c r="I3449" s="3"/>
      <c r="J3449" s="3"/>
    </row>
    <row r="3450" spans="5:10" ht="14.4" x14ac:dyDescent="0.3">
      <c r="E3450" s="3"/>
      <c r="F3450" s="3"/>
      <c r="G3450" s="3"/>
      <c r="H3450" s="3"/>
      <c r="I3450" s="3"/>
      <c r="J3450" s="3"/>
    </row>
    <row r="3451" spans="5:10" ht="14.4" x14ac:dyDescent="0.3">
      <c r="E3451" s="3"/>
      <c r="F3451" s="3"/>
      <c r="G3451" s="3"/>
      <c r="H3451" s="3"/>
      <c r="I3451" s="3"/>
      <c r="J3451" s="3"/>
    </row>
    <row r="3452" spans="5:10" ht="14.4" x14ac:dyDescent="0.3">
      <c r="E3452" s="3"/>
      <c r="F3452" s="3"/>
      <c r="G3452" s="3"/>
      <c r="H3452" s="3"/>
      <c r="I3452" s="3"/>
      <c r="J3452" s="3"/>
    </row>
    <row r="3453" spans="5:10" ht="14.4" x14ac:dyDescent="0.3">
      <c r="E3453" s="3"/>
      <c r="F3453" s="3"/>
      <c r="G3453" s="3"/>
      <c r="H3453" s="3"/>
      <c r="I3453" s="3"/>
      <c r="J3453" s="3"/>
    </row>
    <row r="3454" spans="5:10" ht="14.4" x14ac:dyDescent="0.3">
      <c r="E3454" s="3"/>
      <c r="F3454" s="3"/>
      <c r="G3454" s="3"/>
      <c r="H3454" s="3"/>
      <c r="I3454" s="3"/>
      <c r="J3454" s="3"/>
    </row>
    <row r="3455" spans="5:10" ht="14.4" x14ac:dyDescent="0.3">
      <c r="E3455" s="3"/>
      <c r="F3455" s="3"/>
      <c r="G3455" s="3"/>
      <c r="H3455" s="3"/>
      <c r="I3455" s="3"/>
      <c r="J3455" s="3"/>
    </row>
    <row r="3456" spans="5:10" ht="14.4" x14ac:dyDescent="0.3">
      <c r="E3456" s="3"/>
      <c r="F3456" s="3"/>
      <c r="G3456" s="3"/>
      <c r="H3456" s="3"/>
      <c r="I3456" s="3"/>
      <c r="J3456" s="3"/>
    </row>
    <row r="3457" spans="5:10" ht="14.4" x14ac:dyDescent="0.3">
      <c r="E3457" s="3"/>
      <c r="F3457" s="3"/>
      <c r="G3457" s="3"/>
      <c r="H3457" s="3"/>
      <c r="I3457" s="3"/>
      <c r="J3457" s="3"/>
    </row>
    <row r="3458" spans="5:10" ht="14.4" x14ac:dyDescent="0.3">
      <c r="E3458" s="3"/>
      <c r="F3458" s="3"/>
      <c r="G3458" s="3"/>
      <c r="H3458" s="3"/>
      <c r="I3458" s="3"/>
      <c r="J3458" s="3"/>
    </row>
    <row r="3459" spans="5:10" ht="14.4" x14ac:dyDescent="0.3">
      <c r="E3459" s="3"/>
      <c r="F3459" s="3"/>
      <c r="G3459" s="3"/>
      <c r="H3459" s="3"/>
      <c r="I3459" s="3"/>
      <c r="J3459" s="3"/>
    </row>
    <row r="3460" spans="5:10" ht="14.4" x14ac:dyDescent="0.3">
      <c r="E3460" s="3"/>
      <c r="F3460" s="3"/>
      <c r="G3460" s="3"/>
      <c r="H3460" s="3"/>
      <c r="I3460" s="3"/>
      <c r="J3460" s="3"/>
    </row>
    <row r="3461" spans="5:10" ht="14.4" x14ac:dyDescent="0.3">
      <c r="E3461" s="3"/>
      <c r="F3461" s="3"/>
      <c r="G3461" s="3"/>
      <c r="H3461" s="3"/>
      <c r="I3461" s="3"/>
      <c r="J3461" s="3"/>
    </row>
    <row r="3462" spans="5:10" ht="14.4" x14ac:dyDescent="0.3">
      <c r="E3462" s="3"/>
      <c r="F3462" s="3"/>
      <c r="G3462" s="3"/>
      <c r="H3462" s="3"/>
      <c r="I3462" s="3"/>
      <c r="J3462" s="3"/>
    </row>
    <row r="3463" spans="5:10" ht="14.4" x14ac:dyDescent="0.3">
      <c r="E3463" s="3"/>
      <c r="F3463" s="3"/>
      <c r="G3463" s="3"/>
      <c r="H3463" s="3"/>
      <c r="I3463" s="3"/>
      <c r="J3463" s="3"/>
    </row>
    <row r="3464" spans="5:10" ht="14.4" x14ac:dyDescent="0.3">
      <c r="E3464" s="3"/>
      <c r="F3464" s="3"/>
      <c r="G3464" s="3"/>
      <c r="H3464" s="3"/>
      <c r="I3464" s="3"/>
      <c r="J3464" s="3"/>
    </row>
    <row r="3465" spans="5:10" ht="14.4" x14ac:dyDescent="0.3">
      <c r="E3465" s="3"/>
      <c r="F3465" s="3"/>
      <c r="G3465" s="3"/>
      <c r="H3465" s="3"/>
      <c r="I3465" s="3"/>
      <c r="J3465" s="3"/>
    </row>
    <row r="3466" spans="5:10" ht="14.4" x14ac:dyDescent="0.3">
      <c r="E3466" s="3"/>
      <c r="F3466" s="3"/>
      <c r="G3466" s="3"/>
      <c r="H3466" s="3"/>
      <c r="I3466" s="3"/>
      <c r="J3466" s="3"/>
    </row>
    <row r="3467" spans="5:10" ht="14.4" x14ac:dyDescent="0.3">
      <c r="E3467" s="3"/>
      <c r="F3467" s="3"/>
      <c r="G3467" s="3"/>
      <c r="H3467" s="3"/>
      <c r="I3467" s="3"/>
      <c r="J3467" s="3"/>
    </row>
    <row r="3468" spans="5:10" ht="14.4" x14ac:dyDescent="0.3">
      <c r="E3468" s="3"/>
      <c r="F3468" s="3"/>
      <c r="G3468" s="3"/>
      <c r="H3468" s="3"/>
      <c r="I3468" s="3"/>
      <c r="J3468" s="3"/>
    </row>
    <row r="3469" spans="5:10" ht="14.4" x14ac:dyDescent="0.3">
      <c r="E3469" s="3"/>
      <c r="F3469" s="3"/>
      <c r="G3469" s="3"/>
      <c r="H3469" s="3"/>
      <c r="I3469" s="3"/>
      <c r="J3469" s="3"/>
    </row>
    <row r="3470" spans="5:10" ht="14.4" x14ac:dyDescent="0.3">
      <c r="E3470" s="3"/>
      <c r="F3470" s="3"/>
      <c r="G3470" s="3"/>
      <c r="H3470" s="3"/>
      <c r="I3470" s="3"/>
      <c r="J3470" s="3"/>
    </row>
    <row r="3471" spans="5:10" ht="14.4" x14ac:dyDescent="0.3">
      <c r="E3471" s="3"/>
      <c r="F3471" s="3"/>
      <c r="G3471" s="3"/>
      <c r="H3471" s="3"/>
      <c r="I3471" s="3"/>
      <c r="J3471" s="3"/>
    </row>
    <row r="3472" spans="5:10" ht="14.4" x14ac:dyDescent="0.3">
      <c r="E3472" s="3"/>
      <c r="F3472" s="3"/>
      <c r="G3472" s="3"/>
      <c r="H3472" s="3"/>
      <c r="I3472" s="3"/>
      <c r="J3472" s="3"/>
    </row>
    <row r="3473" spans="5:10" ht="14.4" x14ac:dyDescent="0.3">
      <c r="E3473" s="3"/>
      <c r="F3473" s="3"/>
      <c r="G3473" s="3"/>
      <c r="H3473" s="3"/>
      <c r="I3473" s="3"/>
      <c r="J3473" s="3"/>
    </row>
    <row r="3474" spans="5:10" ht="14.4" x14ac:dyDescent="0.3">
      <c r="E3474" s="3"/>
      <c r="F3474" s="3"/>
      <c r="G3474" s="3"/>
      <c r="H3474" s="3"/>
      <c r="I3474" s="3"/>
      <c r="J3474" s="3"/>
    </row>
    <row r="3475" spans="5:10" ht="14.4" x14ac:dyDescent="0.3">
      <c r="E3475" s="3"/>
      <c r="F3475" s="3"/>
      <c r="G3475" s="3"/>
      <c r="H3475" s="3"/>
      <c r="I3475" s="3"/>
      <c r="J3475" s="3"/>
    </row>
    <row r="3476" spans="5:10" ht="14.4" x14ac:dyDescent="0.3">
      <c r="E3476" s="3"/>
      <c r="F3476" s="3"/>
      <c r="G3476" s="3"/>
      <c r="H3476" s="3"/>
      <c r="I3476" s="3"/>
      <c r="J3476" s="3"/>
    </row>
    <row r="3477" spans="5:10" ht="14.4" x14ac:dyDescent="0.3">
      <c r="E3477" s="3"/>
      <c r="F3477" s="3"/>
      <c r="G3477" s="3"/>
      <c r="H3477" s="3"/>
      <c r="I3477" s="3"/>
      <c r="J3477" s="3"/>
    </row>
    <row r="3478" spans="5:10" ht="14.4" x14ac:dyDescent="0.3">
      <c r="E3478" s="3"/>
      <c r="F3478" s="3"/>
      <c r="G3478" s="3"/>
      <c r="H3478" s="3"/>
      <c r="I3478" s="3"/>
      <c r="J3478" s="3"/>
    </row>
    <row r="3479" spans="5:10" ht="14.4" x14ac:dyDescent="0.3">
      <c r="E3479" s="3"/>
      <c r="F3479" s="3"/>
      <c r="G3479" s="3"/>
      <c r="H3479" s="3"/>
      <c r="I3479" s="3"/>
      <c r="J3479" s="3"/>
    </row>
    <row r="3480" spans="5:10" ht="14.4" x14ac:dyDescent="0.3">
      <c r="E3480" s="3"/>
      <c r="F3480" s="3"/>
      <c r="G3480" s="3"/>
      <c r="H3480" s="3"/>
      <c r="I3480" s="3"/>
      <c r="J3480" s="3"/>
    </row>
    <row r="3481" spans="5:10" ht="14.4" x14ac:dyDescent="0.3">
      <c r="E3481" s="3"/>
      <c r="F3481" s="3"/>
      <c r="G3481" s="3"/>
      <c r="H3481" s="3"/>
      <c r="I3481" s="3"/>
      <c r="J3481" s="3"/>
    </row>
    <row r="3482" spans="5:10" ht="14.4" x14ac:dyDescent="0.3">
      <c r="E3482" s="3"/>
      <c r="F3482" s="3"/>
      <c r="G3482" s="3"/>
      <c r="H3482" s="3"/>
      <c r="I3482" s="3"/>
      <c r="J3482" s="3"/>
    </row>
    <row r="3483" spans="5:10" ht="14.4" x14ac:dyDescent="0.3">
      <c r="E3483" s="3"/>
      <c r="F3483" s="3"/>
      <c r="G3483" s="3"/>
      <c r="H3483" s="3"/>
      <c r="I3483" s="3"/>
      <c r="J3483" s="3"/>
    </row>
    <row r="3484" spans="5:10" ht="14.4" x14ac:dyDescent="0.3">
      <c r="E3484" s="3"/>
      <c r="F3484" s="3"/>
      <c r="G3484" s="3"/>
      <c r="H3484" s="3"/>
      <c r="I3484" s="3"/>
      <c r="J3484" s="3"/>
    </row>
    <row r="3485" spans="5:10" ht="14.4" x14ac:dyDescent="0.3">
      <c r="E3485" s="3"/>
      <c r="F3485" s="3"/>
      <c r="G3485" s="3"/>
      <c r="H3485" s="3"/>
      <c r="I3485" s="3"/>
      <c r="J3485" s="3"/>
    </row>
    <row r="3486" spans="5:10" ht="14.4" x14ac:dyDescent="0.3">
      <c r="E3486" s="3"/>
      <c r="F3486" s="3"/>
      <c r="G3486" s="3"/>
      <c r="H3486" s="3"/>
      <c r="I3486" s="3"/>
      <c r="J3486" s="3"/>
    </row>
    <row r="3487" spans="5:10" ht="14.4" x14ac:dyDescent="0.3">
      <c r="E3487" s="3"/>
      <c r="F3487" s="3"/>
      <c r="G3487" s="3"/>
      <c r="H3487" s="3"/>
      <c r="I3487" s="3"/>
      <c r="J3487" s="3"/>
    </row>
    <row r="3488" spans="5:10" ht="14.4" x14ac:dyDescent="0.3">
      <c r="E3488" s="3"/>
      <c r="F3488" s="3"/>
      <c r="G3488" s="3"/>
      <c r="H3488" s="3"/>
      <c r="I3488" s="3"/>
      <c r="J3488" s="3"/>
    </row>
    <row r="3489" spans="5:10" ht="14.4" x14ac:dyDescent="0.3">
      <c r="E3489" s="3"/>
      <c r="F3489" s="3"/>
      <c r="G3489" s="3"/>
      <c r="H3489" s="3"/>
      <c r="I3489" s="3"/>
      <c r="J3489" s="3"/>
    </row>
    <row r="3490" spans="5:10" ht="14.4" x14ac:dyDescent="0.3">
      <c r="E3490" s="3"/>
      <c r="F3490" s="3"/>
      <c r="G3490" s="3"/>
      <c r="H3490" s="3"/>
      <c r="I3490" s="3"/>
      <c r="J3490" s="3"/>
    </row>
    <row r="3491" spans="5:10" ht="14.4" x14ac:dyDescent="0.3">
      <c r="E3491" s="3"/>
      <c r="F3491" s="3"/>
      <c r="G3491" s="3"/>
      <c r="H3491" s="3"/>
      <c r="I3491" s="3"/>
      <c r="J3491" s="3"/>
    </row>
    <row r="3492" spans="5:10" ht="14.4" x14ac:dyDescent="0.3">
      <c r="E3492" s="3"/>
      <c r="F3492" s="3"/>
      <c r="G3492" s="3"/>
      <c r="H3492" s="3"/>
      <c r="I3492" s="3"/>
      <c r="J3492" s="3"/>
    </row>
    <row r="3493" spans="5:10" ht="14.4" x14ac:dyDescent="0.3">
      <c r="E3493" s="3"/>
      <c r="F3493" s="3"/>
      <c r="G3493" s="3"/>
      <c r="H3493" s="3"/>
      <c r="I3493" s="3"/>
      <c r="J3493" s="3"/>
    </row>
    <row r="3494" spans="5:10" ht="14.4" x14ac:dyDescent="0.3">
      <c r="E3494" s="3"/>
      <c r="F3494" s="3"/>
      <c r="G3494" s="3"/>
      <c r="H3494" s="3"/>
      <c r="I3494" s="3"/>
      <c r="J3494" s="3"/>
    </row>
    <row r="3495" spans="5:10" ht="14.4" x14ac:dyDescent="0.3">
      <c r="E3495" s="3"/>
      <c r="F3495" s="3"/>
      <c r="G3495" s="3"/>
      <c r="H3495" s="3"/>
      <c r="I3495" s="3"/>
      <c r="J3495" s="3"/>
    </row>
    <row r="3496" spans="5:10" ht="14.4" x14ac:dyDescent="0.3">
      <c r="E3496" s="3"/>
      <c r="F3496" s="3"/>
      <c r="G3496" s="3"/>
      <c r="H3496" s="3"/>
      <c r="I3496" s="3"/>
      <c r="J3496" s="3"/>
    </row>
    <row r="3497" spans="5:10" ht="14.4" x14ac:dyDescent="0.3">
      <c r="E3497" s="3"/>
      <c r="F3497" s="3"/>
      <c r="G3497" s="3"/>
      <c r="H3497" s="3"/>
      <c r="I3497" s="3"/>
      <c r="J3497" s="3"/>
    </row>
    <row r="3498" spans="5:10" ht="14.4" x14ac:dyDescent="0.3">
      <c r="E3498" s="3"/>
      <c r="F3498" s="3"/>
      <c r="G3498" s="3"/>
      <c r="H3498" s="3"/>
      <c r="I3498" s="3"/>
      <c r="J3498" s="3"/>
    </row>
    <row r="3499" spans="5:10" ht="14.4" x14ac:dyDescent="0.3">
      <c r="E3499" s="3"/>
      <c r="F3499" s="3"/>
      <c r="G3499" s="3"/>
      <c r="H3499" s="3"/>
      <c r="I3499" s="3"/>
      <c r="J3499" s="3"/>
    </row>
    <row r="3500" spans="5:10" ht="14.4" x14ac:dyDescent="0.3">
      <c r="E3500" s="3"/>
      <c r="F3500" s="3"/>
      <c r="G3500" s="3"/>
      <c r="H3500" s="3"/>
      <c r="I3500" s="3"/>
      <c r="J3500" s="3"/>
    </row>
    <row r="3501" spans="5:10" ht="14.4" x14ac:dyDescent="0.3">
      <c r="E3501" s="3"/>
      <c r="F3501" s="3"/>
      <c r="G3501" s="3"/>
      <c r="H3501" s="3"/>
      <c r="I3501" s="3"/>
      <c r="J3501" s="3"/>
    </row>
    <row r="3502" spans="5:10" ht="14.4" x14ac:dyDescent="0.3">
      <c r="E3502" s="3"/>
      <c r="F3502" s="3"/>
      <c r="G3502" s="3"/>
      <c r="H3502" s="3"/>
      <c r="I3502" s="3"/>
      <c r="J3502" s="3"/>
    </row>
    <row r="3503" spans="5:10" ht="14.4" x14ac:dyDescent="0.3">
      <c r="E3503" s="3"/>
      <c r="F3503" s="3"/>
      <c r="G3503" s="3"/>
      <c r="H3503" s="3"/>
      <c r="I3503" s="3"/>
      <c r="J3503" s="3"/>
    </row>
    <row r="3504" spans="5:10" ht="14.4" x14ac:dyDescent="0.3">
      <c r="E3504" s="3"/>
      <c r="F3504" s="3"/>
      <c r="G3504" s="3"/>
      <c r="H3504" s="3"/>
      <c r="I3504" s="3"/>
      <c r="J3504" s="3"/>
    </row>
    <row r="3505" spans="5:10" ht="14.4" x14ac:dyDescent="0.3">
      <c r="E3505" s="3"/>
      <c r="F3505" s="3"/>
      <c r="G3505" s="3"/>
      <c r="H3505" s="3"/>
      <c r="I3505" s="3"/>
      <c r="J3505" s="3"/>
    </row>
    <row r="3506" spans="5:10" ht="14.4" x14ac:dyDescent="0.3">
      <c r="E3506" s="3"/>
      <c r="F3506" s="3"/>
      <c r="G3506" s="3"/>
      <c r="H3506" s="3"/>
      <c r="I3506" s="3"/>
      <c r="J3506" s="3"/>
    </row>
    <row r="3507" spans="5:10" ht="14.4" x14ac:dyDescent="0.3">
      <c r="E3507" s="3"/>
      <c r="F3507" s="3"/>
      <c r="G3507" s="3"/>
      <c r="H3507" s="3"/>
      <c r="I3507" s="3"/>
      <c r="J3507" s="3"/>
    </row>
    <row r="3508" spans="5:10" ht="14.4" x14ac:dyDescent="0.3">
      <c r="E3508" s="3"/>
      <c r="F3508" s="3"/>
      <c r="G3508" s="3"/>
      <c r="H3508" s="3"/>
      <c r="I3508" s="3"/>
      <c r="J3508" s="3"/>
    </row>
    <row r="3509" spans="5:10" ht="14.4" x14ac:dyDescent="0.3">
      <c r="E3509" s="3"/>
      <c r="F3509" s="3"/>
      <c r="G3509" s="3"/>
      <c r="H3509" s="3"/>
      <c r="I3509" s="3"/>
      <c r="J3509" s="3"/>
    </row>
    <row r="3510" spans="5:10" ht="14.4" x14ac:dyDescent="0.3">
      <c r="E3510" s="3"/>
      <c r="F3510" s="3"/>
      <c r="G3510" s="3"/>
      <c r="H3510" s="3"/>
      <c r="I3510" s="3"/>
      <c r="J3510" s="3"/>
    </row>
    <row r="3511" spans="5:10" ht="14.4" x14ac:dyDescent="0.3">
      <c r="E3511" s="3"/>
      <c r="F3511" s="3"/>
      <c r="G3511" s="3"/>
      <c r="H3511" s="3"/>
      <c r="I3511" s="3"/>
      <c r="J3511" s="3"/>
    </row>
    <row r="3512" spans="5:10" ht="14.4" x14ac:dyDescent="0.3">
      <c r="E3512" s="3"/>
      <c r="F3512" s="3"/>
      <c r="G3512" s="3"/>
      <c r="H3512" s="3"/>
      <c r="I3512" s="3"/>
      <c r="J3512" s="3"/>
    </row>
    <row r="3513" spans="5:10" ht="14.4" x14ac:dyDescent="0.3">
      <c r="E3513" s="3"/>
      <c r="F3513" s="3"/>
      <c r="G3513" s="3"/>
      <c r="H3513" s="3"/>
      <c r="I3513" s="3"/>
      <c r="J3513" s="3"/>
    </row>
    <row r="3514" spans="5:10" ht="14.4" x14ac:dyDescent="0.3">
      <c r="E3514" s="3"/>
      <c r="F3514" s="3"/>
      <c r="G3514" s="3"/>
      <c r="H3514" s="3"/>
      <c r="I3514" s="3"/>
      <c r="J3514" s="3"/>
    </row>
    <row r="3515" spans="5:10" ht="14.4" x14ac:dyDescent="0.3">
      <c r="E3515" s="3"/>
      <c r="F3515" s="3"/>
      <c r="G3515" s="3"/>
      <c r="H3515" s="3"/>
      <c r="I3515" s="3"/>
      <c r="J3515" s="3"/>
    </row>
    <row r="3516" spans="5:10" ht="14.4" x14ac:dyDescent="0.3">
      <c r="E3516" s="3"/>
      <c r="F3516" s="3"/>
      <c r="G3516" s="3"/>
      <c r="H3516" s="3"/>
      <c r="I3516" s="3"/>
      <c r="J3516" s="3"/>
    </row>
    <row r="3517" spans="5:10" ht="14.4" x14ac:dyDescent="0.3">
      <c r="E3517" s="3"/>
      <c r="F3517" s="3"/>
      <c r="G3517" s="3"/>
      <c r="H3517" s="3"/>
      <c r="I3517" s="3"/>
      <c r="J3517" s="3"/>
    </row>
    <row r="3518" spans="5:10" ht="14.4" x14ac:dyDescent="0.3">
      <c r="E3518" s="3"/>
      <c r="F3518" s="3"/>
      <c r="G3518" s="3"/>
      <c r="H3518" s="3"/>
      <c r="I3518" s="3"/>
      <c r="J3518" s="3"/>
    </row>
    <row r="3519" spans="5:10" ht="14.4" x14ac:dyDescent="0.3">
      <c r="E3519" s="3"/>
      <c r="F3519" s="3"/>
      <c r="G3519" s="3"/>
      <c r="H3519" s="3"/>
      <c r="I3519" s="3"/>
      <c r="J3519" s="3"/>
    </row>
    <row r="3520" spans="5:10" ht="14.4" x14ac:dyDescent="0.3">
      <c r="E3520" s="3"/>
      <c r="F3520" s="3"/>
      <c r="G3520" s="3"/>
      <c r="H3520" s="3"/>
      <c r="I3520" s="3"/>
      <c r="J3520" s="3"/>
    </row>
    <row r="3521" spans="5:10" ht="14.4" x14ac:dyDescent="0.3">
      <c r="E3521" s="3"/>
      <c r="F3521" s="3"/>
      <c r="G3521" s="3"/>
      <c r="H3521" s="3"/>
      <c r="I3521" s="3"/>
      <c r="J3521" s="3"/>
    </row>
    <row r="3522" spans="5:10" ht="14.4" x14ac:dyDescent="0.3">
      <c r="E3522" s="3"/>
      <c r="F3522" s="3"/>
      <c r="G3522" s="3"/>
      <c r="H3522" s="3"/>
      <c r="I3522" s="3"/>
      <c r="J3522" s="3"/>
    </row>
    <row r="3523" spans="5:10" ht="14.4" x14ac:dyDescent="0.3">
      <c r="E3523" s="3"/>
      <c r="F3523" s="3"/>
      <c r="G3523" s="3"/>
      <c r="H3523" s="3"/>
      <c r="I3523" s="3"/>
      <c r="J3523" s="3"/>
    </row>
    <row r="3524" spans="5:10" ht="14.4" x14ac:dyDescent="0.3">
      <c r="E3524" s="3"/>
      <c r="F3524" s="3"/>
      <c r="G3524" s="3"/>
      <c r="H3524" s="3"/>
      <c r="I3524" s="3"/>
      <c r="J3524" s="3"/>
    </row>
    <row r="3525" spans="5:10" ht="14.4" x14ac:dyDescent="0.3">
      <c r="E3525" s="3"/>
      <c r="F3525" s="3"/>
      <c r="G3525" s="3"/>
      <c r="H3525" s="3"/>
      <c r="I3525" s="3"/>
      <c r="J3525" s="3"/>
    </row>
    <row r="3526" spans="5:10" ht="14.4" x14ac:dyDescent="0.3">
      <c r="E3526" s="3"/>
      <c r="F3526" s="3"/>
      <c r="G3526" s="3"/>
      <c r="H3526" s="3"/>
      <c r="I3526" s="3"/>
      <c r="J3526" s="3"/>
    </row>
    <row r="3527" spans="5:10" ht="14.4" x14ac:dyDescent="0.3">
      <c r="E3527" s="3"/>
      <c r="F3527" s="3"/>
      <c r="G3527" s="3"/>
      <c r="H3527" s="3"/>
      <c r="I3527" s="3"/>
      <c r="J3527" s="3"/>
    </row>
    <row r="3528" spans="5:10" ht="14.4" x14ac:dyDescent="0.3">
      <c r="E3528" s="3"/>
      <c r="F3528" s="3"/>
      <c r="G3528" s="3"/>
      <c r="H3528" s="3"/>
      <c r="I3528" s="3"/>
      <c r="J3528" s="3"/>
    </row>
    <row r="3529" spans="5:10" ht="14.4" x14ac:dyDescent="0.3">
      <c r="E3529" s="3"/>
      <c r="F3529" s="3"/>
      <c r="G3529" s="3"/>
      <c r="H3529" s="3"/>
      <c r="I3529" s="3"/>
      <c r="J3529" s="3"/>
    </row>
    <row r="3530" spans="5:10" ht="14.4" x14ac:dyDescent="0.3">
      <c r="E3530" s="3"/>
      <c r="F3530" s="3"/>
      <c r="G3530" s="3"/>
      <c r="H3530" s="3"/>
      <c r="I3530" s="3"/>
      <c r="J3530" s="3"/>
    </row>
    <row r="3531" spans="5:10" ht="14.4" x14ac:dyDescent="0.3">
      <c r="E3531" s="3"/>
      <c r="F3531" s="3"/>
      <c r="G3531" s="3"/>
      <c r="H3531" s="3"/>
      <c r="I3531" s="3"/>
      <c r="J3531" s="3"/>
    </row>
    <row r="3532" spans="5:10" ht="14.4" x14ac:dyDescent="0.3">
      <c r="E3532" s="3"/>
      <c r="F3532" s="3"/>
      <c r="G3532" s="3"/>
      <c r="H3532" s="3"/>
      <c r="I3532" s="3"/>
      <c r="J3532" s="3"/>
    </row>
    <row r="3533" spans="5:10" ht="14.4" x14ac:dyDescent="0.3">
      <c r="E3533" s="3"/>
      <c r="F3533" s="3"/>
      <c r="G3533" s="3"/>
      <c r="H3533" s="3"/>
      <c r="I3533" s="3"/>
      <c r="J3533" s="3"/>
    </row>
    <row r="3534" spans="5:10" ht="14.4" x14ac:dyDescent="0.3">
      <c r="E3534" s="3"/>
      <c r="F3534" s="3"/>
      <c r="G3534" s="3"/>
      <c r="H3534" s="3"/>
      <c r="I3534" s="3"/>
      <c r="J3534" s="3"/>
    </row>
    <row r="3535" spans="5:10" ht="14.4" x14ac:dyDescent="0.3">
      <c r="E3535" s="3"/>
      <c r="F3535" s="3"/>
      <c r="G3535" s="3"/>
      <c r="H3535" s="3"/>
      <c r="I3535" s="3"/>
      <c r="J3535" s="3"/>
    </row>
    <row r="3536" spans="5:10" ht="14.4" x14ac:dyDescent="0.3">
      <c r="E3536" s="3"/>
      <c r="F3536" s="3"/>
      <c r="G3536" s="3"/>
      <c r="H3536" s="3"/>
      <c r="I3536" s="3"/>
      <c r="J3536" s="3"/>
    </row>
    <row r="3537" spans="5:10" ht="14.4" x14ac:dyDescent="0.3">
      <c r="E3537" s="3"/>
      <c r="F3537" s="3"/>
      <c r="G3537" s="3"/>
      <c r="H3537" s="3"/>
      <c r="I3537" s="3"/>
      <c r="J3537" s="3"/>
    </row>
    <row r="3538" spans="5:10" ht="14.4" x14ac:dyDescent="0.3">
      <c r="E3538" s="3"/>
      <c r="F3538" s="3"/>
      <c r="G3538" s="3"/>
      <c r="H3538" s="3"/>
      <c r="I3538" s="3"/>
      <c r="J3538" s="3"/>
    </row>
    <row r="3539" spans="5:10" ht="14.4" x14ac:dyDescent="0.3">
      <c r="E3539" s="3"/>
      <c r="F3539" s="3"/>
      <c r="G3539" s="3"/>
      <c r="H3539" s="3"/>
      <c r="I3539" s="3"/>
      <c r="J3539" s="3"/>
    </row>
    <row r="3540" spans="5:10" ht="14.4" x14ac:dyDescent="0.3">
      <c r="E3540" s="3"/>
      <c r="F3540" s="3"/>
      <c r="G3540" s="3"/>
      <c r="H3540" s="3"/>
      <c r="I3540" s="3"/>
      <c r="J3540" s="3"/>
    </row>
    <row r="3541" spans="5:10" ht="14.4" x14ac:dyDescent="0.3">
      <c r="E3541" s="3"/>
      <c r="F3541" s="3"/>
      <c r="G3541" s="3"/>
      <c r="H3541" s="3"/>
      <c r="I3541" s="3"/>
      <c r="J3541" s="3"/>
    </row>
    <row r="3542" spans="5:10" ht="14.4" x14ac:dyDescent="0.3">
      <c r="E3542" s="3"/>
      <c r="F3542" s="3"/>
      <c r="G3542" s="3"/>
      <c r="H3542" s="3"/>
      <c r="I3542" s="3"/>
      <c r="J3542" s="3"/>
    </row>
    <row r="3543" spans="5:10" ht="14.4" x14ac:dyDescent="0.3">
      <c r="E3543" s="3"/>
      <c r="F3543" s="3"/>
      <c r="G3543" s="3"/>
      <c r="H3543" s="3"/>
      <c r="I3543" s="3"/>
      <c r="J3543" s="3"/>
    </row>
    <row r="3544" spans="5:10" ht="14.4" x14ac:dyDescent="0.3">
      <c r="E3544" s="3"/>
      <c r="F3544" s="3"/>
      <c r="G3544" s="3"/>
      <c r="H3544" s="3"/>
      <c r="I3544" s="3"/>
      <c r="J3544" s="3"/>
    </row>
    <row r="3545" spans="5:10" ht="14.4" x14ac:dyDescent="0.3">
      <c r="E3545" s="3"/>
      <c r="F3545" s="3"/>
      <c r="G3545" s="3"/>
      <c r="H3545" s="3"/>
      <c r="I3545" s="3"/>
      <c r="J3545" s="3"/>
    </row>
    <row r="3546" spans="5:10" ht="14.4" x14ac:dyDescent="0.3">
      <c r="E3546" s="3"/>
      <c r="F3546" s="3"/>
      <c r="G3546" s="3"/>
      <c r="H3546" s="3"/>
      <c r="I3546" s="3"/>
      <c r="J3546" s="3"/>
    </row>
    <row r="3547" spans="5:10" ht="14.4" x14ac:dyDescent="0.3">
      <c r="E3547" s="3"/>
      <c r="F3547" s="3"/>
      <c r="G3547" s="3"/>
      <c r="H3547" s="3"/>
      <c r="I3547" s="3"/>
      <c r="J3547" s="3"/>
    </row>
    <row r="3548" spans="5:10" ht="14.4" x14ac:dyDescent="0.3">
      <c r="E3548" s="3"/>
      <c r="F3548" s="3"/>
      <c r="G3548" s="3"/>
      <c r="H3548" s="3"/>
      <c r="I3548" s="3"/>
      <c r="J3548" s="3"/>
    </row>
    <row r="3549" spans="5:10" ht="14.4" x14ac:dyDescent="0.3">
      <c r="E3549" s="3"/>
      <c r="F3549" s="3"/>
      <c r="G3549" s="3"/>
      <c r="H3549" s="3"/>
      <c r="I3549" s="3"/>
      <c r="J3549" s="3"/>
    </row>
    <row r="3550" spans="5:10" ht="14.4" x14ac:dyDescent="0.3">
      <c r="E3550" s="3"/>
      <c r="F3550" s="3"/>
      <c r="G3550" s="3"/>
      <c r="H3550" s="3"/>
      <c r="I3550" s="3"/>
      <c r="J3550" s="3"/>
    </row>
    <row r="3551" spans="5:10" ht="14.4" x14ac:dyDescent="0.3">
      <c r="E3551" s="3"/>
      <c r="F3551" s="3"/>
      <c r="G3551" s="3"/>
      <c r="H3551" s="3"/>
      <c r="I3551" s="3"/>
      <c r="J3551" s="3"/>
    </row>
    <row r="3552" spans="5:10" ht="14.4" x14ac:dyDescent="0.3">
      <c r="E3552" s="3"/>
      <c r="F3552" s="3"/>
      <c r="G3552" s="3"/>
      <c r="H3552" s="3"/>
      <c r="I3552" s="3"/>
      <c r="J3552" s="3"/>
    </row>
    <row r="3553" spans="5:10" ht="14.4" x14ac:dyDescent="0.3">
      <c r="E3553" s="3"/>
      <c r="F3553" s="3"/>
      <c r="G3553" s="3"/>
      <c r="H3553" s="3"/>
      <c r="I3553" s="3"/>
      <c r="J3553" s="3"/>
    </row>
    <row r="3554" spans="5:10" ht="14.4" x14ac:dyDescent="0.3">
      <c r="E3554" s="3"/>
      <c r="F3554" s="3"/>
      <c r="G3554" s="3"/>
      <c r="H3554" s="3"/>
      <c r="I3554" s="3"/>
      <c r="J3554" s="3"/>
    </row>
    <row r="3555" spans="5:10" ht="14.4" x14ac:dyDescent="0.3">
      <c r="E3555" s="3"/>
      <c r="F3555" s="3"/>
      <c r="G3555" s="3"/>
      <c r="H3555" s="3"/>
      <c r="I3555" s="3"/>
      <c r="J3555" s="3"/>
    </row>
    <row r="3556" spans="5:10" ht="14.4" x14ac:dyDescent="0.3">
      <c r="E3556" s="3"/>
      <c r="F3556" s="3"/>
      <c r="G3556" s="3"/>
      <c r="H3556" s="3"/>
      <c r="I3556" s="3"/>
      <c r="J3556" s="3"/>
    </row>
    <row r="3557" spans="5:10" ht="14.4" x14ac:dyDescent="0.3">
      <c r="E3557" s="3"/>
      <c r="F3557" s="3"/>
      <c r="G3557" s="3"/>
      <c r="H3557" s="3"/>
      <c r="I3557" s="3"/>
      <c r="J3557" s="3"/>
    </row>
    <row r="3558" spans="5:10" ht="14.4" x14ac:dyDescent="0.3">
      <c r="E3558" s="3"/>
      <c r="F3558" s="3"/>
      <c r="G3558" s="3"/>
      <c r="H3558" s="3"/>
      <c r="I3558" s="3"/>
      <c r="J3558" s="3"/>
    </row>
    <row r="3559" spans="5:10" ht="14.4" x14ac:dyDescent="0.3">
      <c r="E3559" s="3"/>
      <c r="F3559" s="3"/>
      <c r="G3559" s="3"/>
      <c r="H3559" s="3"/>
      <c r="I3559" s="3"/>
      <c r="J3559" s="3"/>
    </row>
    <row r="3560" spans="5:10" ht="14.4" x14ac:dyDescent="0.3">
      <c r="E3560" s="3"/>
      <c r="F3560" s="3"/>
      <c r="G3560" s="3"/>
      <c r="H3560" s="3"/>
      <c r="I3560" s="3"/>
      <c r="J3560" s="3"/>
    </row>
    <row r="3561" spans="5:10" ht="14.4" x14ac:dyDescent="0.3">
      <c r="E3561" s="3"/>
      <c r="F3561" s="3"/>
      <c r="G3561" s="3"/>
      <c r="H3561" s="3"/>
      <c r="I3561" s="3"/>
      <c r="J3561" s="3"/>
    </row>
    <row r="3562" spans="5:10" ht="14.4" x14ac:dyDescent="0.3">
      <c r="E3562" s="3"/>
      <c r="F3562" s="3"/>
      <c r="G3562" s="3"/>
      <c r="H3562" s="3"/>
      <c r="I3562" s="3"/>
      <c r="J3562" s="3"/>
    </row>
    <row r="3563" spans="5:10" ht="14.4" x14ac:dyDescent="0.3">
      <c r="E3563" s="3"/>
      <c r="F3563" s="3"/>
      <c r="G3563" s="3"/>
      <c r="H3563" s="3"/>
      <c r="I3563" s="3"/>
      <c r="J3563" s="3"/>
    </row>
    <row r="3564" spans="5:10" ht="14.4" x14ac:dyDescent="0.3">
      <c r="E3564" s="3"/>
      <c r="F3564" s="3"/>
      <c r="G3564" s="3"/>
      <c r="H3564" s="3"/>
      <c r="I3564" s="3"/>
      <c r="J3564" s="3"/>
    </row>
    <row r="3565" spans="5:10" ht="14.4" x14ac:dyDescent="0.3">
      <c r="E3565" s="3"/>
      <c r="F3565" s="3"/>
      <c r="G3565" s="3"/>
      <c r="H3565" s="3"/>
      <c r="I3565" s="3"/>
      <c r="J3565" s="3"/>
    </row>
    <row r="3566" spans="5:10" ht="14.4" x14ac:dyDescent="0.3">
      <c r="E3566" s="3"/>
      <c r="F3566" s="3"/>
      <c r="G3566" s="3"/>
      <c r="H3566" s="3"/>
      <c r="I3566" s="3"/>
      <c r="J3566" s="3"/>
    </row>
    <row r="3567" spans="5:10" ht="14.4" x14ac:dyDescent="0.3">
      <c r="E3567" s="3"/>
      <c r="F3567" s="3"/>
      <c r="G3567" s="3"/>
      <c r="H3567" s="3"/>
      <c r="I3567" s="3"/>
      <c r="J3567" s="3"/>
    </row>
    <row r="3568" spans="5:10" ht="14.4" x14ac:dyDescent="0.3">
      <c r="E3568" s="3"/>
      <c r="F3568" s="3"/>
      <c r="G3568" s="3"/>
      <c r="H3568" s="3"/>
      <c r="I3568" s="3"/>
      <c r="J3568" s="3"/>
    </row>
    <row r="3569" spans="5:10" ht="14.4" x14ac:dyDescent="0.3">
      <c r="E3569" s="3"/>
      <c r="F3569" s="3"/>
      <c r="G3569" s="3"/>
      <c r="H3569" s="3"/>
      <c r="I3569" s="3"/>
      <c r="J3569" s="3"/>
    </row>
    <row r="3570" spans="5:10" ht="14.4" x14ac:dyDescent="0.3">
      <c r="E3570" s="3"/>
      <c r="F3570" s="3"/>
      <c r="G3570" s="3"/>
      <c r="H3570" s="3"/>
      <c r="I3570" s="3"/>
      <c r="J3570" s="3"/>
    </row>
    <row r="3571" spans="5:10" ht="14.4" x14ac:dyDescent="0.3">
      <c r="E3571" s="3"/>
      <c r="F3571" s="3"/>
      <c r="G3571" s="3"/>
      <c r="H3571" s="3"/>
      <c r="I3571" s="3"/>
      <c r="J3571" s="3"/>
    </row>
    <row r="3572" spans="5:10" ht="14.4" x14ac:dyDescent="0.3">
      <c r="E3572" s="3"/>
      <c r="F3572" s="3"/>
      <c r="G3572" s="3"/>
      <c r="H3572" s="3"/>
      <c r="I3572" s="3"/>
      <c r="J3572" s="3"/>
    </row>
    <row r="3573" spans="5:10" ht="14.4" x14ac:dyDescent="0.3">
      <c r="E3573" s="3"/>
      <c r="F3573" s="3"/>
      <c r="G3573" s="3"/>
      <c r="H3573" s="3"/>
      <c r="I3573" s="3"/>
      <c r="J3573" s="3"/>
    </row>
    <row r="3574" spans="5:10" ht="14.4" x14ac:dyDescent="0.3">
      <c r="E3574" s="3"/>
      <c r="F3574" s="3"/>
      <c r="G3574" s="3"/>
      <c r="H3574" s="3"/>
      <c r="I3574" s="3"/>
      <c r="J3574" s="3"/>
    </row>
    <row r="3575" spans="5:10" ht="14.4" x14ac:dyDescent="0.3">
      <c r="E3575" s="3"/>
      <c r="F3575" s="3"/>
      <c r="G3575" s="3"/>
      <c r="H3575" s="3"/>
      <c r="I3575" s="3"/>
      <c r="J3575" s="3"/>
    </row>
    <row r="3576" spans="5:10" ht="14.4" x14ac:dyDescent="0.3">
      <c r="E3576" s="3"/>
      <c r="F3576" s="3"/>
      <c r="G3576" s="3"/>
      <c r="H3576" s="3"/>
      <c r="I3576" s="3"/>
      <c r="J3576" s="3"/>
    </row>
    <row r="3577" spans="5:10" ht="14.4" x14ac:dyDescent="0.3">
      <c r="E3577" s="3"/>
      <c r="F3577" s="3"/>
      <c r="G3577" s="3"/>
      <c r="H3577" s="3"/>
      <c r="I3577" s="3"/>
      <c r="J3577" s="3"/>
    </row>
    <row r="3578" spans="5:10" ht="14.4" x14ac:dyDescent="0.3">
      <c r="E3578" s="3"/>
      <c r="F3578" s="3"/>
      <c r="G3578" s="3"/>
      <c r="H3578" s="3"/>
      <c r="I3578" s="3"/>
      <c r="J3578" s="3"/>
    </row>
    <row r="3579" spans="5:10" ht="14.4" x14ac:dyDescent="0.3">
      <c r="E3579" s="3"/>
      <c r="F3579" s="3"/>
      <c r="G3579" s="3"/>
      <c r="H3579" s="3"/>
      <c r="I3579" s="3"/>
      <c r="J3579" s="3"/>
    </row>
    <row r="3580" spans="5:10" ht="14.4" x14ac:dyDescent="0.3">
      <c r="E3580" s="3"/>
      <c r="F3580" s="3"/>
      <c r="G3580" s="3"/>
      <c r="H3580" s="3"/>
      <c r="I3580" s="3"/>
      <c r="J3580" s="3"/>
    </row>
    <row r="3581" spans="5:10" ht="14.4" x14ac:dyDescent="0.3">
      <c r="E3581" s="3"/>
      <c r="F3581" s="3"/>
      <c r="G3581" s="3"/>
      <c r="H3581" s="3"/>
      <c r="I3581" s="3"/>
      <c r="J3581" s="3"/>
    </row>
    <row r="3582" spans="5:10" ht="14.4" x14ac:dyDescent="0.3">
      <c r="E3582" s="3"/>
      <c r="F3582" s="3"/>
      <c r="G3582" s="3"/>
      <c r="H3582" s="3"/>
      <c r="I3582" s="3"/>
      <c r="J3582" s="3"/>
    </row>
    <row r="3583" spans="5:10" ht="14.4" x14ac:dyDescent="0.3">
      <c r="E3583" s="3"/>
      <c r="F3583" s="3"/>
      <c r="G3583" s="3"/>
      <c r="H3583" s="3"/>
      <c r="I3583" s="3"/>
      <c r="J3583" s="3"/>
    </row>
    <row r="3584" spans="5:10" ht="14.4" x14ac:dyDescent="0.3">
      <c r="E3584" s="3"/>
      <c r="F3584" s="3"/>
      <c r="G3584" s="3"/>
      <c r="H3584" s="3"/>
      <c r="I3584" s="3"/>
      <c r="J3584" s="3"/>
    </row>
    <row r="3585" spans="5:10" ht="14.4" x14ac:dyDescent="0.3">
      <c r="E3585" s="3"/>
      <c r="F3585" s="3"/>
      <c r="G3585" s="3"/>
      <c r="H3585" s="3"/>
      <c r="I3585" s="3"/>
      <c r="J3585" s="3"/>
    </row>
    <row r="3586" spans="5:10" ht="14.4" x14ac:dyDescent="0.3">
      <c r="E3586" s="3"/>
      <c r="F3586" s="3"/>
      <c r="G3586" s="3"/>
      <c r="H3586" s="3"/>
      <c r="I3586" s="3"/>
      <c r="J3586" s="3"/>
    </row>
    <row r="3587" spans="5:10" ht="14.4" x14ac:dyDescent="0.3">
      <c r="E3587" s="3"/>
      <c r="F3587" s="3"/>
      <c r="G3587" s="3"/>
      <c r="H3587" s="3"/>
      <c r="I3587" s="3"/>
      <c r="J3587" s="3"/>
    </row>
    <row r="3588" spans="5:10" ht="14.4" x14ac:dyDescent="0.3">
      <c r="E3588" s="3"/>
      <c r="F3588" s="3"/>
      <c r="G3588" s="3"/>
      <c r="H3588" s="3"/>
      <c r="I3588" s="3"/>
      <c r="J3588" s="3"/>
    </row>
    <row r="3589" spans="5:10" ht="14.4" x14ac:dyDescent="0.3">
      <c r="E3589" s="3"/>
      <c r="F3589" s="3"/>
      <c r="G3589" s="3"/>
      <c r="H3589" s="3"/>
      <c r="I3589" s="3"/>
      <c r="J3589" s="3"/>
    </row>
    <row r="3590" spans="5:10" ht="14.4" x14ac:dyDescent="0.3">
      <c r="E3590" s="3"/>
      <c r="F3590" s="3"/>
      <c r="G3590" s="3"/>
      <c r="H3590" s="3"/>
      <c r="I3590" s="3"/>
      <c r="J3590" s="3"/>
    </row>
    <row r="3591" spans="5:10" ht="14.4" x14ac:dyDescent="0.3">
      <c r="E3591" s="3"/>
      <c r="F3591" s="3"/>
      <c r="G3591" s="3"/>
      <c r="H3591" s="3"/>
      <c r="I3591" s="3"/>
      <c r="J3591" s="3"/>
    </row>
    <row r="3592" spans="5:10" ht="14.4" x14ac:dyDescent="0.3">
      <c r="E3592" s="3"/>
      <c r="F3592" s="3"/>
      <c r="G3592" s="3"/>
      <c r="H3592" s="3"/>
      <c r="I3592" s="3"/>
      <c r="J3592" s="3"/>
    </row>
    <row r="3593" spans="5:10" ht="14.4" x14ac:dyDescent="0.3">
      <c r="E3593" s="3"/>
      <c r="F3593" s="3"/>
      <c r="G3593" s="3"/>
      <c r="H3593" s="3"/>
      <c r="I3593" s="3"/>
      <c r="J3593" s="3"/>
    </row>
    <row r="3594" spans="5:10" ht="14.4" x14ac:dyDescent="0.3">
      <c r="E3594" s="3"/>
      <c r="F3594" s="3"/>
      <c r="G3594" s="3"/>
      <c r="H3594" s="3"/>
      <c r="I3594" s="3"/>
      <c r="J3594" s="3"/>
    </row>
    <row r="3595" spans="5:10" ht="14.4" x14ac:dyDescent="0.3">
      <c r="E3595" s="3"/>
      <c r="F3595" s="3"/>
      <c r="G3595" s="3"/>
      <c r="H3595" s="3"/>
      <c r="I3595" s="3"/>
      <c r="J3595" s="3"/>
    </row>
    <row r="3596" spans="5:10" ht="14.4" x14ac:dyDescent="0.3">
      <c r="E3596" s="3"/>
      <c r="F3596" s="3"/>
      <c r="G3596" s="3"/>
      <c r="H3596" s="3"/>
      <c r="I3596" s="3"/>
      <c r="J3596" s="3"/>
    </row>
    <row r="3597" spans="5:10" ht="14.4" x14ac:dyDescent="0.3">
      <c r="E3597" s="3"/>
      <c r="F3597" s="3"/>
      <c r="G3597" s="3"/>
      <c r="H3597" s="3"/>
      <c r="I3597" s="3"/>
      <c r="J3597" s="3"/>
    </row>
    <row r="3598" spans="5:10" ht="14.4" x14ac:dyDescent="0.3">
      <c r="E3598" s="3"/>
      <c r="F3598" s="3"/>
      <c r="G3598" s="3"/>
      <c r="H3598" s="3"/>
      <c r="I3598" s="3"/>
      <c r="J3598" s="3"/>
    </row>
    <row r="3599" spans="5:10" ht="14.4" x14ac:dyDescent="0.3">
      <c r="E3599" s="3"/>
      <c r="F3599" s="3"/>
      <c r="G3599" s="3"/>
      <c r="H3599" s="3"/>
      <c r="I3599" s="3"/>
      <c r="J3599" s="3"/>
    </row>
    <row r="3600" spans="5:10" ht="14.4" x14ac:dyDescent="0.3">
      <c r="E3600" s="3"/>
      <c r="F3600" s="3"/>
      <c r="G3600" s="3"/>
      <c r="H3600" s="3"/>
      <c r="I3600" s="3"/>
      <c r="J3600" s="3"/>
    </row>
    <row r="3601" spans="5:10" ht="14.4" x14ac:dyDescent="0.3">
      <c r="E3601" s="3"/>
      <c r="F3601" s="3"/>
      <c r="G3601" s="3"/>
      <c r="H3601" s="3"/>
      <c r="I3601" s="3"/>
      <c r="J3601" s="3"/>
    </row>
    <row r="3602" spans="5:10" ht="14.4" x14ac:dyDescent="0.3">
      <c r="E3602" s="3"/>
      <c r="F3602" s="3"/>
      <c r="G3602" s="3"/>
      <c r="H3602" s="3"/>
      <c r="I3602" s="3"/>
      <c r="J3602" s="3"/>
    </row>
    <row r="3603" spans="5:10" ht="14.4" x14ac:dyDescent="0.3">
      <c r="E3603" s="3"/>
      <c r="F3603" s="3"/>
      <c r="G3603" s="3"/>
      <c r="H3603" s="3"/>
      <c r="I3603" s="3"/>
      <c r="J3603" s="3"/>
    </row>
    <row r="3604" spans="5:10" ht="14.4" x14ac:dyDescent="0.3">
      <c r="E3604" s="3"/>
      <c r="F3604" s="3"/>
      <c r="G3604" s="3"/>
      <c r="H3604" s="3"/>
      <c r="I3604" s="3"/>
      <c r="J3604" s="3"/>
    </row>
    <row r="3605" spans="5:10" ht="14.4" x14ac:dyDescent="0.3">
      <c r="E3605" s="3"/>
      <c r="F3605" s="3"/>
      <c r="G3605" s="3"/>
      <c r="H3605" s="3"/>
      <c r="I3605" s="3"/>
      <c r="J3605" s="3"/>
    </row>
    <row r="3606" spans="5:10" ht="14.4" x14ac:dyDescent="0.3">
      <c r="E3606" s="3"/>
      <c r="F3606" s="3"/>
      <c r="G3606" s="3"/>
      <c r="H3606" s="3"/>
      <c r="I3606" s="3"/>
      <c r="J3606" s="3"/>
    </row>
    <row r="3607" spans="5:10" ht="14.4" x14ac:dyDescent="0.3">
      <c r="E3607" s="3"/>
      <c r="F3607" s="3"/>
      <c r="G3607" s="3"/>
      <c r="H3607" s="3"/>
      <c r="I3607" s="3"/>
      <c r="J3607" s="3"/>
    </row>
    <row r="3608" spans="5:10" ht="14.4" x14ac:dyDescent="0.3">
      <c r="E3608" s="3"/>
      <c r="F3608" s="3"/>
      <c r="G3608" s="3"/>
      <c r="H3608" s="3"/>
      <c r="I3608" s="3"/>
      <c r="J3608" s="3"/>
    </row>
    <row r="3609" spans="5:10" ht="14.4" x14ac:dyDescent="0.3">
      <c r="E3609" s="3"/>
      <c r="F3609" s="3"/>
      <c r="G3609" s="3"/>
      <c r="H3609" s="3"/>
      <c r="I3609" s="3"/>
      <c r="J3609" s="3"/>
    </row>
    <row r="3610" spans="5:10" ht="14.4" x14ac:dyDescent="0.3">
      <c r="E3610" s="3"/>
      <c r="F3610" s="3"/>
      <c r="G3610" s="3"/>
      <c r="H3610" s="3"/>
      <c r="I3610" s="3"/>
      <c r="J3610" s="3"/>
    </row>
    <row r="3611" spans="5:10" ht="14.4" x14ac:dyDescent="0.3">
      <c r="E3611" s="3"/>
      <c r="F3611" s="3"/>
      <c r="G3611" s="3"/>
      <c r="H3611" s="3"/>
      <c r="I3611" s="3"/>
      <c r="J3611" s="3"/>
    </row>
    <row r="3612" spans="5:10" ht="14.4" x14ac:dyDescent="0.3">
      <c r="E3612" s="3"/>
      <c r="F3612" s="3"/>
      <c r="G3612" s="3"/>
      <c r="H3612" s="3"/>
      <c r="I3612" s="3"/>
      <c r="J3612" s="3"/>
    </row>
    <row r="3613" spans="5:10" ht="14.4" x14ac:dyDescent="0.3">
      <c r="E3613" s="3"/>
      <c r="F3613" s="3"/>
      <c r="G3613" s="3"/>
      <c r="H3613" s="3"/>
      <c r="I3613" s="3"/>
      <c r="J3613" s="3"/>
    </row>
    <row r="3614" spans="5:10" ht="14.4" x14ac:dyDescent="0.3">
      <c r="E3614" s="3"/>
      <c r="F3614" s="3"/>
      <c r="G3614" s="3"/>
      <c r="H3614" s="3"/>
      <c r="I3614" s="3"/>
      <c r="J3614" s="3"/>
    </row>
    <row r="3615" spans="5:10" ht="14.4" x14ac:dyDescent="0.3">
      <c r="E3615" s="3"/>
      <c r="F3615" s="3"/>
      <c r="G3615" s="3"/>
      <c r="H3615" s="3"/>
      <c r="I3615" s="3"/>
      <c r="J3615" s="3"/>
    </row>
    <row r="3616" spans="5:10" ht="14.4" x14ac:dyDescent="0.3">
      <c r="E3616" s="3"/>
      <c r="F3616" s="3"/>
      <c r="G3616" s="3"/>
      <c r="H3616" s="3"/>
      <c r="I3616" s="3"/>
      <c r="J3616" s="3"/>
    </row>
    <row r="3617" spans="5:10" ht="14.4" x14ac:dyDescent="0.3">
      <c r="E3617" s="3"/>
      <c r="F3617" s="3"/>
      <c r="G3617" s="3"/>
      <c r="H3617" s="3"/>
      <c r="I3617" s="3"/>
      <c r="J3617" s="3"/>
    </row>
    <row r="3618" spans="5:10" ht="14.4" x14ac:dyDescent="0.3">
      <c r="E3618" s="3"/>
      <c r="F3618" s="3"/>
      <c r="G3618" s="3"/>
      <c r="H3618" s="3"/>
      <c r="I3618" s="3"/>
      <c r="J3618" s="3"/>
    </row>
    <row r="3619" spans="5:10" ht="14.4" x14ac:dyDescent="0.3">
      <c r="E3619" s="3"/>
      <c r="F3619" s="3"/>
      <c r="G3619" s="3"/>
      <c r="H3619" s="3"/>
      <c r="I3619" s="3"/>
      <c r="J3619" s="3"/>
    </row>
    <row r="3620" spans="5:10" ht="14.4" x14ac:dyDescent="0.3">
      <c r="E3620" s="3"/>
      <c r="F3620" s="3"/>
      <c r="G3620" s="3"/>
      <c r="H3620" s="3"/>
      <c r="I3620" s="3"/>
      <c r="J3620" s="3"/>
    </row>
    <row r="3621" spans="5:10" ht="14.4" x14ac:dyDescent="0.3">
      <c r="E3621" s="3"/>
      <c r="F3621" s="3"/>
      <c r="G3621" s="3"/>
      <c r="H3621" s="3"/>
      <c r="I3621" s="3"/>
      <c r="J3621" s="3"/>
    </row>
    <row r="3622" spans="5:10" ht="14.4" x14ac:dyDescent="0.3">
      <c r="E3622" s="3"/>
      <c r="F3622" s="3"/>
      <c r="G3622" s="3"/>
      <c r="H3622" s="3"/>
      <c r="I3622" s="3"/>
      <c r="J3622" s="3"/>
    </row>
    <row r="3623" spans="5:10" ht="14.4" x14ac:dyDescent="0.3">
      <c r="E3623" s="3"/>
      <c r="F3623" s="3"/>
      <c r="G3623" s="3"/>
      <c r="H3623" s="3"/>
      <c r="I3623" s="3"/>
      <c r="J3623" s="3"/>
    </row>
    <row r="3624" spans="5:10" ht="14.4" x14ac:dyDescent="0.3">
      <c r="E3624" s="3"/>
      <c r="F3624" s="3"/>
      <c r="G3624" s="3"/>
      <c r="H3624" s="3"/>
      <c r="I3624" s="3"/>
      <c r="J3624" s="3"/>
    </row>
    <row r="3625" spans="5:10" ht="14.4" x14ac:dyDescent="0.3">
      <c r="E3625" s="3"/>
      <c r="F3625" s="3"/>
      <c r="G3625" s="3"/>
      <c r="H3625" s="3"/>
      <c r="I3625" s="3"/>
      <c r="J3625" s="3"/>
    </row>
    <row r="3626" spans="5:10" ht="14.4" x14ac:dyDescent="0.3">
      <c r="E3626" s="3"/>
      <c r="F3626" s="3"/>
      <c r="G3626" s="3"/>
      <c r="H3626" s="3"/>
      <c r="I3626" s="3"/>
      <c r="J3626" s="3"/>
    </row>
    <row r="3627" spans="5:10" ht="14.4" x14ac:dyDescent="0.3">
      <c r="E3627" s="3"/>
      <c r="F3627" s="3"/>
      <c r="G3627" s="3"/>
      <c r="H3627" s="3"/>
      <c r="I3627" s="3"/>
      <c r="J3627" s="3"/>
    </row>
    <row r="3628" spans="5:10" ht="14.4" x14ac:dyDescent="0.3">
      <c r="E3628" s="3"/>
      <c r="F3628" s="3"/>
      <c r="G3628" s="3"/>
      <c r="H3628" s="3"/>
      <c r="I3628" s="3"/>
      <c r="J3628" s="3"/>
    </row>
    <row r="3629" spans="5:10" ht="14.4" x14ac:dyDescent="0.3">
      <c r="E3629" s="3"/>
      <c r="F3629" s="3"/>
      <c r="G3629" s="3"/>
      <c r="H3629" s="3"/>
      <c r="I3629" s="3"/>
      <c r="J3629" s="3"/>
    </row>
    <row r="3630" spans="5:10" ht="14.4" x14ac:dyDescent="0.3">
      <c r="E3630" s="3"/>
      <c r="F3630" s="3"/>
      <c r="G3630" s="3"/>
      <c r="H3630" s="3"/>
      <c r="I3630" s="3"/>
      <c r="J3630" s="3"/>
    </row>
    <row r="3631" spans="5:10" ht="14.4" x14ac:dyDescent="0.3">
      <c r="E3631" s="3"/>
      <c r="F3631" s="3"/>
      <c r="G3631" s="3"/>
      <c r="H3631" s="3"/>
      <c r="I3631" s="3"/>
      <c r="J3631" s="3"/>
    </row>
    <row r="3632" spans="5:10" ht="14.4" x14ac:dyDescent="0.3">
      <c r="E3632" s="3"/>
      <c r="F3632" s="3"/>
      <c r="G3632" s="3"/>
      <c r="H3632" s="3"/>
      <c r="I3632" s="3"/>
      <c r="J3632" s="3"/>
    </row>
    <row r="3633" spans="5:10" ht="14.4" x14ac:dyDescent="0.3">
      <c r="E3633" s="3"/>
      <c r="F3633" s="3"/>
      <c r="G3633" s="3"/>
      <c r="H3633" s="3"/>
      <c r="I3633" s="3"/>
      <c r="J3633" s="3"/>
    </row>
    <row r="3634" spans="5:10" ht="14.4" x14ac:dyDescent="0.3">
      <c r="E3634" s="3"/>
      <c r="F3634" s="3"/>
      <c r="G3634" s="3"/>
      <c r="H3634" s="3"/>
      <c r="I3634" s="3"/>
      <c r="J3634" s="3"/>
    </row>
    <row r="3635" spans="5:10" ht="14.4" x14ac:dyDescent="0.3">
      <c r="E3635" s="3"/>
      <c r="F3635" s="3"/>
      <c r="G3635" s="3"/>
      <c r="H3635" s="3"/>
      <c r="I3635" s="3"/>
      <c r="J3635" s="3"/>
    </row>
    <row r="3636" spans="5:10" ht="14.4" x14ac:dyDescent="0.3">
      <c r="E3636" s="3"/>
      <c r="F3636" s="3"/>
      <c r="G3636" s="3"/>
      <c r="H3636" s="3"/>
      <c r="I3636" s="3"/>
      <c r="J3636" s="3"/>
    </row>
    <row r="3637" spans="5:10" ht="14.4" x14ac:dyDescent="0.3">
      <c r="E3637" s="3"/>
      <c r="F3637" s="3"/>
      <c r="G3637" s="3"/>
      <c r="H3637" s="3"/>
      <c r="I3637" s="3"/>
      <c r="J3637" s="3"/>
    </row>
    <row r="3638" spans="5:10" ht="14.4" x14ac:dyDescent="0.3">
      <c r="E3638" s="3"/>
      <c r="F3638" s="3"/>
      <c r="G3638" s="3"/>
      <c r="H3638" s="3"/>
      <c r="I3638" s="3"/>
      <c r="J3638" s="3"/>
    </row>
    <row r="3639" spans="5:10" ht="14.4" x14ac:dyDescent="0.3">
      <c r="E3639" s="3"/>
      <c r="F3639" s="3"/>
      <c r="G3639" s="3"/>
      <c r="H3639" s="3"/>
      <c r="I3639" s="3"/>
      <c r="J3639" s="3"/>
    </row>
    <row r="3640" spans="5:10" ht="14.4" x14ac:dyDescent="0.3">
      <c r="E3640" s="3"/>
      <c r="F3640" s="3"/>
      <c r="G3640" s="3"/>
      <c r="H3640" s="3"/>
      <c r="I3640" s="3"/>
      <c r="J3640" s="3"/>
    </row>
    <row r="3641" spans="5:10" ht="14.4" x14ac:dyDescent="0.3">
      <c r="E3641" s="3"/>
      <c r="F3641" s="3"/>
      <c r="G3641" s="3"/>
      <c r="H3641" s="3"/>
      <c r="I3641" s="3"/>
      <c r="J3641" s="3"/>
    </row>
    <row r="3642" spans="5:10" ht="14.4" x14ac:dyDescent="0.3">
      <c r="E3642" s="3"/>
      <c r="F3642" s="3"/>
      <c r="G3642" s="3"/>
      <c r="H3642" s="3"/>
      <c r="I3642" s="3"/>
      <c r="J3642" s="3"/>
    </row>
    <row r="3643" spans="5:10" ht="14.4" x14ac:dyDescent="0.3">
      <c r="E3643" s="3"/>
      <c r="F3643" s="3"/>
      <c r="G3643" s="3"/>
      <c r="H3643" s="3"/>
      <c r="I3643" s="3"/>
      <c r="J3643" s="3"/>
    </row>
    <row r="3644" spans="5:10" ht="14.4" x14ac:dyDescent="0.3">
      <c r="E3644" s="3"/>
      <c r="F3644" s="3"/>
      <c r="G3644" s="3"/>
      <c r="H3644" s="3"/>
      <c r="I3644" s="3"/>
      <c r="J3644" s="3"/>
    </row>
    <row r="3645" spans="5:10" ht="14.4" x14ac:dyDescent="0.3">
      <c r="E3645" s="3"/>
      <c r="F3645" s="3"/>
      <c r="G3645" s="3"/>
      <c r="H3645" s="3"/>
      <c r="I3645" s="3"/>
      <c r="J3645" s="3"/>
    </row>
    <row r="3646" spans="5:10" ht="14.4" x14ac:dyDescent="0.3">
      <c r="E3646" s="3"/>
      <c r="F3646" s="3"/>
      <c r="G3646" s="3"/>
      <c r="H3646" s="3"/>
      <c r="I3646" s="3"/>
      <c r="J3646" s="3"/>
    </row>
    <row r="3647" spans="5:10" ht="14.4" x14ac:dyDescent="0.3">
      <c r="E3647" s="3"/>
      <c r="F3647" s="3"/>
      <c r="G3647" s="3"/>
      <c r="H3647" s="3"/>
      <c r="I3647" s="3"/>
      <c r="J3647" s="3"/>
    </row>
    <row r="3648" spans="5:10" ht="14.4" x14ac:dyDescent="0.3">
      <c r="E3648" s="3"/>
      <c r="F3648" s="3"/>
      <c r="G3648" s="3"/>
      <c r="H3648" s="3"/>
      <c r="I3648" s="3"/>
      <c r="J3648" s="3"/>
    </row>
    <row r="3649" spans="5:10" ht="14.4" x14ac:dyDescent="0.3">
      <c r="E3649" s="3"/>
      <c r="F3649" s="3"/>
      <c r="G3649" s="3"/>
      <c r="H3649" s="3"/>
      <c r="I3649" s="3"/>
      <c r="J3649" s="3"/>
    </row>
    <row r="3650" spans="5:10" ht="14.4" x14ac:dyDescent="0.3">
      <c r="E3650" s="3"/>
      <c r="F3650" s="3"/>
      <c r="G3650" s="3"/>
      <c r="H3650" s="3"/>
      <c r="I3650" s="3"/>
      <c r="J3650" s="3"/>
    </row>
    <row r="3651" spans="5:10" ht="14.4" x14ac:dyDescent="0.3">
      <c r="E3651" s="3"/>
      <c r="F3651" s="3"/>
      <c r="G3651" s="3"/>
      <c r="H3651" s="3"/>
      <c r="I3651" s="3"/>
      <c r="J3651" s="3"/>
    </row>
    <row r="3652" spans="5:10" ht="14.4" x14ac:dyDescent="0.3">
      <c r="E3652" s="3"/>
      <c r="F3652" s="3"/>
      <c r="G3652" s="3"/>
      <c r="H3652" s="3"/>
      <c r="I3652" s="3"/>
      <c r="J3652" s="3"/>
    </row>
    <row r="3653" spans="5:10" ht="14.4" x14ac:dyDescent="0.3">
      <c r="E3653" s="3"/>
      <c r="F3653" s="3"/>
      <c r="G3653" s="3"/>
      <c r="H3653" s="3"/>
      <c r="I3653" s="3"/>
      <c r="J3653" s="3"/>
    </row>
    <row r="3654" spans="5:10" ht="14.4" x14ac:dyDescent="0.3">
      <c r="E3654" s="3"/>
      <c r="F3654" s="3"/>
      <c r="G3654" s="3"/>
      <c r="H3654" s="3"/>
      <c r="I3654" s="3"/>
      <c r="J3654" s="3"/>
    </row>
    <row r="3655" spans="5:10" ht="14.4" x14ac:dyDescent="0.3">
      <c r="E3655" s="3"/>
      <c r="F3655" s="3"/>
      <c r="G3655" s="3"/>
      <c r="H3655" s="3"/>
      <c r="I3655" s="3"/>
      <c r="J3655" s="3"/>
    </row>
    <row r="3656" spans="5:10" ht="14.4" x14ac:dyDescent="0.3">
      <c r="E3656" s="3"/>
      <c r="F3656" s="3"/>
      <c r="G3656" s="3"/>
      <c r="H3656" s="3"/>
      <c r="I3656" s="3"/>
      <c r="J3656" s="3"/>
    </row>
    <row r="3657" spans="5:10" ht="14.4" x14ac:dyDescent="0.3">
      <c r="E3657" s="3"/>
      <c r="F3657" s="3"/>
      <c r="G3657" s="3"/>
      <c r="H3657" s="3"/>
      <c r="I3657" s="3"/>
      <c r="J3657" s="3"/>
    </row>
    <row r="3658" spans="5:10" ht="14.4" x14ac:dyDescent="0.3">
      <c r="E3658" s="3"/>
      <c r="F3658" s="3"/>
      <c r="G3658" s="3"/>
      <c r="H3658" s="3"/>
      <c r="I3658" s="3"/>
      <c r="J3658" s="3"/>
    </row>
    <row r="3659" spans="5:10" ht="14.4" x14ac:dyDescent="0.3">
      <c r="E3659" s="3"/>
      <c r="F3659" s="3"/>
      <c r="G3659" s="3"/>
      <c r="H3659" s="3"/>
      <c r="I3659" s="3"/>
      <c r="J3659" s="3"/>
    </row>
    <row r="3660" spans="5:10" ht="14.4" x14ac:dyDescent="0.3">
      <c r="E3660" s="3"/>
      <c r="F3660" s="3"/>
      <c r="G3660" s="3"/>
      <c r="H3660" s="3"/>
      <c r="I3660" s="3"/>
      <c r="J3660" s="3"/>
    </row>
    <row r="3661" spans="5:10" ht="14.4" x14ac:dyDescent="0.3">
      <c r="E3661" s="3"/>
      <c r="F3661" s="3"/>
      <c r="G3661" s="3"/>
      <c r="H3661" s="3"/>
      <c r="I3661" s="3"/>
      <c r="J3661" s="3"/>
    </row>
    <row r="3662" spans="5:10" ht="14.4" x14ac:dyDescent="0.3">
      <c r="E3662" s="3"/>
      <c r="F3662" s="3"/>
      <c r="G3662" s="3"/>
      <c r="H3662" s="3"/>
      <c r="I3662" s="3"/>
      <c r="J3662" s="3"/>
    </row>
    <row r="3663" spans="5:10" ht="14.4" x14ac:dyDescent="0.3">
      <c r="E3663" s="3"/>
      <c r="F3663" s="3"/>
      <c r="G3663" s="3"/>
      <c r="H3663" s="3"/>
      <c r="I3663" s="3"/>
      <c r="J3663" s="3"/>
    </row>
    <row r="3664" spans="5:10" ht="14.4" x14ac:dyDescent="0.3">
      <c r="E3664" s="3"/>
      <c r="F3664" s="3"/>
      <c r="G3664" s="3"/>
      <c r="H3664" s="3"/>
      <c r="I3664" s="3"/>
      <c r="J3664" s="3"/>
    </row>
    <row r="3665" spans="5:10" ht="14.4" x14ac:dyDescent="0.3">
      <c r="E3665" s="3"/>
      <c r="F3665" s="3"/>
      <c r="G3665" s="3"/>
      <c r="H3665" s="3"/>
      <c r="I3665" s="3"/>
      <c r="J3665" s="3"/>
    </row>
    <row r="3666" spans="5:10" ht="14.4" x14ac:dyDescent="0.3">
      <c r="E3666" s="3"/>
      <c r="F3666" s="3"/>
      <c r="G3666" s="3"/>
      <c r="H3666" s="3"/>
      <c r="I3666" s="3"/>
      <c r="J3666" s="3"/>
    </row>
    <row r="3667" spans="5:10" ht="14.4" x14ac:dyDescent="0.3">
      <c r="E3667" s="3"/>
      <c r="F3667" s="3"/>
      <c r="G3667" s="3"/>
      <c r="H3667" s="3"/>
      <c r="I3667" s="3"/>
      <c r="J3667" s="3"/>
    </row>
    <row r="3668" spans="5:10" ht="14.4" x14ac:dyDescent="0.3">
      <c r="E3668" s="3"/>
      <c r="F3668" s="3"/>
      <c r="G3668" s="3"/>
      <c r="H3668" s="3"/>
      <c r="I3668" s="3"/>
      <c r="J3668" s="3"/>
    </row>
    <row r="3669" spans="5:10" ht="14.4" x14ac:dyDescent="0.3">
      <c r="E3669" s="3"/>
      <c r="F3669" s="3"/>
      <c r="G3669" s="3"/>
      <c r="H3669" s="3"/>
      <c r="I3669" s="3"/>
      <c r="J3669" s="3"/>
    </row>
    <row r="3670" spans="5:10" ht="14.4" x14ac:dyDescent="0.3">
      <c r="E3670" s="3"/>
      <c r="F3670" s="3"/>
      <c r="G3670" s="3"/>
      <c r="H3670" s="3"/>
      <c r="I3670" s="3"/>
      <c r="J3670" s="3"/>
    </row>
    <row r="3671" spans="5:10" ht="14.4" x14ac:dyDescent="0.3">
      <c r="E3671" s="3"/>
      <c r="F3671" s="3"/>
      <c r="G3671" s="3"/>
      <c r="H3671" s="3"/>
      <c r="I3671" s="3"/>
      <c r="J3671" s="3"/>
    </row>
    <row r="3672" spans="5:10" ht="14.4" x14ac:dyDescent="0.3">
      <c r="E3672" s="3"/>
      <c r="F3672" s="3"/>
      <c r="G3672" s="3"/>
      <c r="H3672" s="3"/>
      <c r="I3672" s="3"/>
      <c r="J3672" s="3"/>
    </row>
    <row r="3673" spans="5:10" ht="14.4" x14ac:dyDescent="0.3">
      <c r="E3673" s="3"/>
      <c r="F3673" s="3"/>
      <c r="G3673" s="3"/>
      <c r="H3673" s="3"/>
      <c r="I3673" s="3"/>
      <c r="J3673" s="3"/>
    </row>
    <row r="3674" spans="5:10" ht="14.4" x14ac:dyDescent="0.3">
      <c r="E3674" s="3"/>
      <c r="F3674" s="3"/>
      <c r="G3674" s="3"/>
      <c r="H3674" s="3"/>
      <c r="I3674" s="3"/>
      <c r="J3674" s="3"/>
    </row>
    <row r="3675" spans="5:10" ht="14.4" x14ac:dyDescent="0.3">
      <c r="E3675" s="3"/>
      <c r="F3675" s="3"/>
      <c r="G3675" s="3"/>
      <c r="H3675" s="3"/>
      <c r="I3675" s="3"/>
      <c r="J3675" s="3"/>
    </row>
    <row r="3676" spans="5:10" ht="14.4" x14ac:dyDescent="0.3">
      <c r="E3676" s="3"/>
      <c r="F3676" s="3"/>
      <c r="G3676" s="3"/>
      <c r="H3676" s="3"/>
      <c r="I3676" s="3"/>
      <c r="J3676" s="3"/>
    </row>
    <row r="3677" spans="5:10" ht="14.4" x14ac:dyDescent="0.3">
      <c r="E3677" s="3"/>
      <c r="F3677" s="3"/>
      <c r="G3677" s="3"/>
      <c r="H3677" s="3"/>
      <c r="I3677" s="3"/>
      <c r="J3677" s="3"/>
    </row>
    <row r="3678" spans="5:10" ht="14.4" x14ac:dyDescent="0.3">
      <c r="E3678" s="3"/>
      <c r="F3678" s="3"/>
      <c r="G3678" s="3"/>
      <c r="H3678" s="3"/>
      <c r="I3678" s="3"/>
      <c r="J3678" s="3"/>
    </row>
    <row r="3679" spans="5:10" ht="14.4" x14ac:dyDescent="0.3">
      <c r="E3679" s="3"/>
      <c r="F3679" s="3"/>
      <c r="G3679" s="3"/>
      <c r="H3679" s="3"/>
      <c r="I3679" s="3"/>
      <c r="J3679" s="3"/>
    </row>
    <row r="3680" spans="5:10" ht="14.4" x14ac:dyDescent="0.3">
      <c r="E3680" s="3"/>
      <c r="F3680" s="3"/>
      <c r="G3680" s="3"/>
      <c r="H3680" s="3"/>
      <c r="I3680" s="3"/>
      <c r="J3680" s="3"/>
    </row>
    <row r="3681" spans="5:10" ht="14.4" x14ac:dyDescent="0.3">
      <c r="E3681" s="3"/>
      <c r="F3681" s="3"/>
      <c r="G3681" s="3"/>
      <c r="H3681" s="3"/>
      <c r="I3681" s="3"/>
      <c r="J3681" s="3"/>
    </row>
    <row r="3682" spans="5:10" ht="14.4" x14ac:dyDescent="0.3">
      <c r="E3682" s="3"/>
      <c r="F3682" s="3"/>
      <c r="G3682" s="3"/>
      <c r="H3682" s="3"/>
      <c r="I3682" s="3"/>
      <c r="J3682" s="3"/>
    </row>
    <row r="3683" spans="5:10" ht="14.4" x14ac:dyDescent="0.3">
      <c r="E3683" s="3"/>
      <c r="F3683" s="3"/>
      <c r="G3683" s="3"/>
      <c r="H3683" s="3"/>
      <c r="I3683" s="3"/>
      <c r="J3683" s="3"/>
    </row>
    <row r="3684" spans="5:10" ht="14.4" x14ac:dyDescent="0.3">
      <c r="E3684" s="3"/>
      <c r="F3684" s="3"/>
      <c r="G3684" s="3"/>
      <c r="H3684" s="3"/>
      <c r="I3684" s="3"/>
      <c r="J3684" s="3"/>
    </row>
    <row r="3685" spans="5:10" ht="14.4" x14ac:dyDescent="0.3">
      <c r="E3685" s="3"/>
      <c r="F3685" s="3"/>
      <c r="G3685" s="3"/>
      <c r="H3685" s="3"/>
      <c r="I3685" s="3"/>
      <c r="J3685" s="3"/>
    </row>
    <row r="3686" spans="5:10" ht="14.4" x14ac:dyDescent="0.3">
      <c r="E3686" s="3"/>
      <c r="F3686" s="3"/>
      <c r="G3686" s="3"/>
      <c r="H3686" s="3"/>
      <c r="I3686" s="3"/>
      <c r="J3686" s="3"/>
    </row>
    <row r="3687" spans="5:10" ht="14.4" x14ac:dyDescent="0.3">
      <c r="E3687" s="3"/>
      <c r="F3687" s="3"/>
      <c r="G3687" s="3"/>
      <c r="H3687" s="3"/>
      <c r="I3687" s="3"/>
      <c r="J3687" s="3"/>
    </row>
    <row r="3688" spans="5:10" ht="14.4" x14ac:dyDescent="0.3">
      <c r="E3688" s="3"/>
      <c r="F3688" s="3"/>
      <c r="G3688" s="3"/>
      <c r="H3688" s="3"/>
      <c r="I3688" s="3"/>
      <c r="J3688" s="3"/>
    </row>
    <row r="3689" spans="5:10" ht="14.4" x14ac:dyDescent="0.3">
      <c r="E3689" s="3"/>
      <c r="F3689" s="3"/>
      <c r="G3689" s="3"/>
      <c r="H3689" s="3"/>
      <c r="I3689" s="3"/>
      <c r="J3689" s="3"/>
    </row>
    <row r="3690" spans="5:10" ht="14.4" x14ac:dyDescent="0.3">
      <c r="E3690" s="3"/>
      <c r="F3690" s="3"/>
      <c r="G3690" s="3"/>
      <c r="H3690" s="3"/>
      <c r="I3690" s="3"/>
      <c r="J3690" s="3"/>
    </row>
    <row r="3691" spans="5:10" ht="14.4" x14ac:dyDescent="0.3">
      <c r="E3691" s="3"/>
      <c r="F3691" s="3"/>
      <c r="G3691" s="3"/>
      <c r="H3691" s="3"/>
      <c r="I3691" s="3"/>
      <c r="J3691" s="3"/>
    </row>
    <row r="3692" spans="5:10" ht="14.4" x14ac:dyDescent="0.3">
      <c r="E3692" s="3"/>
      <c r="F3692" s="3"/>
      <c r="G3692" s="3"/>
      <c r="H3692" s="3"/>
      <c r="I3692" s="3"/>
      <c r="J3692" s="3"/>
    </row>
    <row r="3693" spans="5:10" ht="14.4" x14ac:dyDescent="0.3">
      <c r="E3693" s="3"/>
      <c r="F3693" s="3"/>
      <c r="G3693" s="3"/>
      <c r="H3693" s="3"/>
      <c r="I3693" s="3"/>
      <c r="J3693" s="3"/>
    </row>
    <row r="3694" spans="5:10" ht="14.4" x14ac:dyDescent="0.3">
      <c r="E3694" s="3"/>
      <c r="F3694" s="3"/>
      <c r="G3694" s="3"/>
      <c r="H3694" s="3"/>
      <c r="I3694" s="3"/>
      <c r="J3694" s="3"/>
    </row>
    <row r="3695" spans="5:10" ht="14.4" x14ac:dyDescent="0.3">
      <c r="E3695" s="3"/>
      <c r="F3695" s="3"/>
      <c r="G3695" s="3"/>
      <c r="H3695" s="3"/>
      <c r="I3695" s="3"/>
      <c r="J3695" s="3"/>
    </row>
    <row r="3696" spans="5:10" ht="14.4" x14ac:dyDescent="0.3">
      <c r="E3696" s="3"/>
      <c r="F3696" s="3"/>
      <c r="G3696" s="3"/>
      <c r="H3696" s="3"/>
      <c r="I3696" s="3"/>
      <c r="J3696" s="3"/>
    </row>
    <row r="3697" spans="5:10" ht="14.4" x14ac:dyDescent="0.3">
      <c r="E3697" s="3"/>
      <c r="F3697" s="3"/>
      <c r="G3697" s="3"/>
      <c r="H3697" s="3"/>
      <c r="I3697" s="3"/>
      <c r="J3697" s="3"/>
    </row>
    <row r="3698" spans="5:10" ht="14.4" x14ac:dyDescent="0.3">
      <c r="E3698" s="3"/>
      <c r="F3698" s="3"/>
      <c r="G3698" s="3"/>
      <c r="H3698" s="3"/>
      <c r="I3698" s="3"/>
      <c r="J3698" s="3"/>
    </row>
    <row r="3699" spans="5:10" ht="14.4" x14ac:dyDescent="0.3">
      <c r="E3699" s="3"/>
      <c r="F3699" s="3"/>
      <c r="G3699" s="3"/>
      <c r="H3699" s="3"/>
      <c r="I3699" s="3"/>
      <c r="J3699" s="3"/>
    </row>
    <row r="3700" spans="5:10" ht="14.4" x14ac:dyDescent="0.3">
      <c r="E3700" s="3"/>
      <c r="F3700" s="3"/>
      <c r="G3700" s="3"/>
      <c r="H3700" s="3"/>
      <c r="I3700" s="3"/>
      <c r="J3700" s="3"/>
    </row>
    <row r="3701" spans="5:10" ht="14.4" x14ac:dyDescent="0.3">
      <c r="E3701" s="3"/>
      <c r="F3701" s="3"/>
      <c r="G3701" s="3"/>
      <c r="H3701" s="3"/>
      <c r="I3701" s="3"/>
      <c r="J3701" s="3"/>
    </row>
    <row r="3702" spans="5:10" ht="14.4" x14ac:dyDescent="0.3">
      <c r="E3702" s="3"/>
      <c r="F3702" s="3"/>
      <c r="G3702" s="3"/>
      <c r="H3702" s="3"/>
      <c r="I3702" s="3"/>
      <c r="J3702" s="3"/>
    </row>
    <row r="3703" spans="5:10" ht="14.4" x14ac:dyDescent="0.3">
      <c r="E3703" s="3"/>
      <c r="F3703" s="3"/>
      <c r="G3703" s="3"/>
      <c r="H3703" s="3"/>
      <c r="I3703" s="3"/>
      <c r="J3703" s="3"/>
    </row>
    <row r="3704" spans="5:10" ht="14.4" x14ac:dyDescent="0.3">
      <c r="E3704" s="3"/>
      <c r="F3704" s="3"/>
      <c r="G3704" s="3"/>
      <c r="H3704" s="3"/>
      <c r="I3704" s="3"/>
      <c r="J3704" s="3"/>
    </row>
    <row r="3705" spans="5:10" ht="14.4" x14ac:dyDescent="0.3">
      <c r="E3705" s="3"/>
      <c r="F3705" s="3"/>
      <c r="G3705" s="3"/>
      <c r="H3705" s="3"/>
      <c r="I3705" s="3"/>
      <c r="J3705" s="3"/>
    </row>
    <row r="3706" spans="5:10" ht="14.4" x14ac:dyDescent="0.3">
      <c r="E3706" s="3"/>
      <c r="F3706" s="3"/>
      <c r="G3706" s="3"/>
      <c r="H3706" s="3"/>
      <c r="I3706" s="3"/>
      <c r="J3706" s="3"/>
    </row>
    <row r="3707" spans="5:10" ht="14.4" x14ac:dyDescent="0.3">
      <c r="E3707" s="3"/>
      <c r="F3707" s="3"/>
      <c r="G3707" s="3"/>
      <c r="H3707" s="3"/>
      <c r="I3707" s="3"/>
      <c r="J3707" s="3"/>
    </row>
    <row r="3708" spans="5:10" ht="14.4" x14ac:dyDescent="0.3">
      <c r="E3708" s="3"/>
      <c r="F3708" s="3"/>
      <c r="G3708" s="3"/>
      <c r="H3708" s="3"/>
      <c r="I3708" s="3"/>
      <c r="J3708" s="3"/>
    </row>
    <row r="3709" spans="5:10" ht="14.4" x14ac:dyDescent="0.3">
      <c r="E3709" s="3"/>
      <c r="F3709" s="3"/>
      <c r="G3709" s="3"/>
      <c r="H3709" s="3"/>
      <c r="I3709" s="3"/>
      <c r="J3709" s="3"/>
    </row>
    <row r="3710" spans="5:10" ht="14.4" x14ac:dyDescent="0.3">
      <c r="E3710" s="3"/>
      <c r="F3710" s="3"/>
      <c r="G3710" s="3"/>
      <c r="H3710" s="3"/>
      <c r="I3710" s="3"/>
      <c r="J3710" s="3"/>
    </row>
    <row r="3711" spans="5:10" ht="14.4" x14ac:dyDescent="0.3">
      <c r="E3711" s="3"/>
      <c r="F3711" s="3"/>
      <c r="G3711" s="3"/>
      <c r="H3711" s="3"/>
      <c r="I3711" s="3"/>
      <c r="J3711" s="3"/>
    </row>
    <row r="3712" spans="5:10" ht="14.4" x14ac:dyDescent="0.3">
      <c r="E3712" s="3"/>
      <c r="F3712" s="3"/>
      <c r="G3712" s="3"/>
      <c r="H3712" s="3"/>
      <c r="I3712" s="3"/>
      <c r="J3712" s="3"/>
    </row>
    <row r="3713" spans="5:10" ht="14.4" x14ac:dyDescent="0.3">
      <c r="E3713" s="3"/>
      <c r="F3713" s="3"/>
      <c r="G3713" s="3"/>
      <c r="H3713" s="3"/>
      <c r="I3713" s="3"/>
      <c r="J3713" s="3"/>
    </row>
    <row r="3714" spans="5:10" ht="14.4" x14ac:dyDescent="0.3">
      <c r="E3714" s="3"/>
      <c r="F3714" s="3"/>
      <c r="G3714" s="3"/>
      <c r="H3714" s="3"/>
      <c r="I3714" s="3"/>
      <c r="J3714" s="3"/>
    </row>
    <row r="3715" spans="5:10" ht="14.4" x14ac:dyDescent="0.3">
      <c r="E3715" s="3"/>
      <c r="F3715" s="3"/>
      <c r="G3715" s="3"/>
      <c r="H3715" s="3"/>
      <c r="I3715" s="3"/>
      <c r="J3715" s="3"/>
    </row>
    <row r="3716" spans="5:10" ht="14.4" x14ac:dyDescent="0.3">
      <c r="E3716" s="3"/>
      <c r="F3716" s="3"/>
      <c r="G3716" s="3"/>
      <c r="H3716" s="3"/>
      <c r="I3716" s="3"/>
      <c r="J3716" s="3"/>
    </row>
    <row r="3717" spans="5:10" ht="14.4" x14ac:dyDescent="0.3">
      <c r="E3717" s="3"/>
      <c r="F3717" s="3"/>
      <c r="G3717" s="3"/>
      <c r="H3717" s="3"/>
      <c r="I3717" s="3"/>
      <c r="J3717" s="3"/>
    </row>
    <row r="3718" spans="5:10" ht="14.4" x14ac:dyDescent="0.3">
      <c r="E3718" s="3"/>
      <c r="F3718" s="3"/>
      <c r="G3718" s="3"/>
      <c r="H3718" s="3"/>
      <c r="I3718" s="3"/>
      <c r="J3718" s="3"/>
    </row>
    <row r="3719" spans="5:10" ht="14.4" x14ac:dyDescent="0.3">
      <c r="E3719" s="3"/>
      <c r="F3719" s="3"/>
      <c r="G3719" s="3"/>
      <c r="H3719" s="3"/>
      <c r="I3719" s="3"/>
      <c r="J3719" s="3"/>
    </row>
    <row r="3720" spans="5:10" ht="14.4" x14ac:dyDescent="0.3">
      <c r="E3720" s="3"/>
      <c r="F3720" s="3"/>
      <c r="G3720" s="3"/>
      <c r="H3720" s="3"/>
      <c r="I3720" s="3"/>
      <c r="J3720" s="3"/>
    </row>
    <row r="3721" spans="5:10" ht="14.4" x14ac:dyDescent="0.3">
      <c r="E3721" s="3"/>
      <c r="F3721" s="3"/>
      <c r="G3721" s="3"/>
      <c r="H3721" s="3"/>
      <c r="I3721" s="3"/>
      <c r="J3721" s="3"/>
    </row>
    <row r="3722" spans="5:10" ht="14.4" x14ac:dyDescent="0.3">
      <c r="E3722" s="3"/>
      <c r="F3722" s="3"/>
      <c r="G3722" s="3"/>
      <c r="H3722" s="3"/>
      <c r="I3722" s="3"/>
      <c r="J3722" s="3"/>
    </row>
    <row r="3723" spans="5:10" ht="14.4" x14ac:dyDescent="0.3">
      <c r="E3723" s="3"/>
      <c r="F3723" s="3"/>
      <c r="G3723" s="3"/>
      <c r="H3723" s="3"/>
      <c r="I3723" s="3"/>
      <c r="J3723" s="3"/>
    </row>
    <row r="3724" spans="5:10" ht="14.4" x14ac:dyDescent="0.3">
      <c r="E3724" s="3"/>
      <c r="F3724" s="3"/>
      <c r="G3724" s="3"/>
      <c r="H3724" s="3"/>
      <c r="I3724" s="3"/>
      <c r="J3724" s="3"/>
    </row>
    <row r="3725" spans="5:10" ht="14.4" x14ac:dyDescent="0.3">
      <c r="E3725" s="3"/>
      <c r="F3725" s="3"/>
      <c r="G3725" s="3"/>
      <c r="H3725" s="3"/>
      <c r="I3725" s="3"/>
      <c r="J3725" s="3"/>
    </row>
    <row r="3726" spans="5:10" ht="14.4" x14ac:dyDescent="0.3">
      <c r="E3726" s="3"/>
      <c r="F3726" s="3"/>
      <c r="G3726" s="3"/>
      <c r="H3726" s="3"/>
      <c r="I3726" s="3"/>
      <c r="J3726" s="3"/>
    </row>
    <row r="3727" spans="5:10" ht="14.4" x14ac:dyDescent="0.3">
      <c r="E3727" s="3"/>
      <c r="F3727" s="3"/>
      <c r="G3727" s="3"/>
      <c r="H3727" s="3"/>
      <c r="I3727" s="3"/>
      <c r="J3727" s="3"/>
    </row>
    <row r="3728" spans="5:10" ht="14.4" x14ac:dyDescent="0.3">
      <c r="E3728" s="3"/>
      <c r="F3728" s="3"/>
      <c r="G3728" s="3"/>
      <c r="H3728" s="3"/>
      <c r="I3728" s="3"/>
      <c r="J3728" s="3"/>
    </row>
    <row r="3729" spans="5:10" ht="14.4" x14ac:dyDescent="0.3">
      <c r="E3729" s="3"/>
      <c r="F3729" s="3"/>
      <c r="G3729" s="3"/>
      <c r="H3729" s="3"/>
      <c r="I3729" s="3"/>
      <c r="J3729" s="3"/>
    </row>
    <row r="3730" spans="5:10" ht="14.4" x14ac:dyDescent="0.3">
      <c r="E3730" s="3"/>
      <c r="F3730" s="3"/>
      <c r="G3730" s="3"/>
      <c r="H3730" s="3"/>
      <c r="I3730" s="3"/>
      <c r="J3730" s="3"/>
    </row>
    <row r="3731" spans="5:10" ht="14.4" x14ac:dyDescent="0.3">
      <c r="E3731" s="3"/>
      <c r="F3731" s="3"/>
      <c r="G3731" s="3"/>
      <c r="H3731" s="3"/>
      <c r="I3731" s="3"/>
      <c r="J3731" s="3"/>
    </row>
    <row r="3732" spans="5:10" ht="14.4" x14ac:dyDescent="0.3">
      <c r="E3732" s="3"/>
      <c r="F3732" s="3"/>
      <c r="G3732" s="3"/>
      <c r="H3732" s="3"/>
      <c r="I3732" s="3"/>
      <c r="J3732" s="3"/>
    </row>
    <row r="3733" spans="5:10" ht="14.4" x14ac:dyDescent="0.3">
      <c r="E3733" s="3"/>
      <c r="F3733" s="3"/>
      <c r="G3733" s="3"/>
      <c r="H3733" s="3"/>
      <c r="I3733" s="3"/>
      <c r="J3733" s="3"/>
    </row>
    <row r="3734" spans="5:10" ht="14.4" x14ac:dyDescent="0.3">
      <c r="E3734" s="3"/>
      <c r="F3734" s="3"/>
      <c r="G3734" s="3"/>
      <c r="H3734" s="3"/>
      <c r="I3734" s="3"/>
      <c r="J3734" s="3"/>
    </row>
    <row r="3735" spans="5:10" ht="14.4" x14ac:dyDescent="0.3">
      <c r="E3735" s="3"/>
      <c r="F3735" s="3"/>
      <c r="G3735" s="3"/>
      <c r="H3735" s="3"/>
      <c r="I3735" s="3"/>
      <c r="J3735" s="3"/>
    </row>
    <row r="3736" spans="5:10" ht="14.4" x14ac:dyDescent="0.3">
      <c r="E3736" s="3"/>
      <c r="F3736" s="3"/>
      <c r="G3736" s="3"/>
      <c r="H3736" s="3"/>
      <c r="I3736" s="3"/>
      <c r="J3736" s="3"/>
    </row>
    <row r="3737" spans="5:10" ht="14.4" x14ac:dyDescent="0.3">
      <c r="E3737" s="3"/>
      <c r="F3737" s="3"/>
      <c r="G3737" s="3"/>
      <c r="H3737" s="3"/>
      <c r="I3737" s="3"/>
      <c r="J3737" s="3"/>
    </row>
    <row r="3738" spans="5:10" ht="14.4" x14ac:dyDescent="0.3">
      <c r="E3738" s="3"/>
      <c r="F3738" s="3"/>
      <c r="G3738" s="3"/>
      <c r="H3738" s="3"/>
      <c r="I3738" s="3"/>
      <c r="J3738" s="3"/>
    </row>
    <row r="3739" spans="5:10" ht="14.4" x14ac:dyDescent="0.3">
      <c r="E3739" s="3"/>
      <c r="F3739" s="3"/>
      <c r="G3739" s="3"/>
      <c r="H3739" s="3"/>
      <c r="I3739" s="3"/>
      <c r="J3739" s="3"/>
    </row>
    <row r="3740" spans="5:10" ht="14.4" x14ac:dyDescent="0.3">
      <c r="E3740" s="3"/>
      <c r="F3740" s="3"/>
      <c r="G3740" s="3"/>
      <c r="H3740" s="3"/>
      <c r="I3740" s="3"/>
      <c r="J3740" s="3"/>
    </row>
    <row r="3741" spans="5:10" ht="14.4" x14ac:dyDescent="0.3">
      <c r="E3741" s="3"/>
      <c r="F3741" s="3"/>
      <c r="G3741" s="3"/>
      <c r="H3741" s="3"/>
      <c r="I3741" s="3"/>
      <c r="J3741" s="3"/>
    </row>
    <row r="3742" spans="5:10" ht="14.4" x14ac:dyDescent="0.3">
      <c r="E3742" s="3"/>
      <c r="F3742" s="3"/>
      <c r="G3742" s="3"/>
      <c r="H3742" s="3"/>
      <c r="I3742" s="3"/>
      <c r="J3742" s="3"/>
    </row>
    <row r="3743" spans="5:10" ht="14.4" x14ac:dyDescent="0.3">
      <c r="E3743" s="3"/>
      <c r="F3743" s="3"/>
      <c r="G3743" s="3"/>
      <c r="H3743" s="3"/>
      <c r="I3743" s="3"/>
      <c r="J3743" s="3"/>
    </row>
    <row r="3744" spans="5:10" ht="14.4" x14ac:dyDescent="0.3">
      <c r="E3744" s="3"/>
      <c r="F3744" s="3"/>
      <c r="G3744" s="3"/>
      <c r="H3744" s="3"/>
      <c r="I3744" s="3"/>
      <c r="J3744" s="3"/>
    </row>
    <row r="3745" spans="5:10" ht="14.4" x14ac:dyDescent="0.3">
      <c r="E3745" s="3"/>
      <c r="F3745" s="3"/>
      <c r="G3745" s="3"/>
      <c r="H3745" s="3"/>
      <c r="I3745" s="3"/>
      <c r="J3745" s="3"/>
    </row>
    <row r="3746" spans="5:10" ht="14.4" x14ac:dyDescent="0.3">
      <c r="E3746" s="3"/>
      <c r="F3746" s="3"/>
      <c r="G3746" s="3"/>
      <c r="H3746" s="3"/>
      <c r="I3746" s="3"/>
      <c r="J3746" s="3"/>
    </row>
    <row r="3747" spans="5:10" ht="14.4" x14ac:dyDescent="0.3">
      <c r="E3747" s="3"/>
      <c r="F3747" s="3"/>
      <c r="G3747" s="3"/>
      <c r="H3747" s="3"/>
      <c r="I3747" s="3"/>
      <c r="J3747" s="3"/>
    </row>
    <row r="3748" spans="5:10" ht="14.4" x14ac:dyDescent="0.3">
      <c r="E3748" s="3"/>
      <c r="F3748" s="3"/>
      <c r="G3748" s="3"/>
      <c r="H3748" s="3"/>
      <c r="I3748" s="3"/>
      <c r="J3748" s="3"/>
    </row>
    <row r="3749" spans="5:10" ht="14.4" x14ac:dyDescent="0.3">
      <c r="E3749" s="3"/>
      <c r="F3749" s="3"/>
      <c r="G3749" s="3"/>
      <c r="H3749" s="3"/>
      <c r="I3749" s="3"/>
      <c r="J3749" s="3"/>
    </row>
    <row r="3750" spans="5:10" ht="14.4" x14ac:dyDescent="0.3">
      <c r="E3750" s="3"/>
      <c r="F3750" s="3"/>
      <c r="G3750" s="3"/>
      <c r="H3750" s="3"/>
      <c r="I3750" s="3"/>
      <c r="J3750" s="3"/>
    </row>
    <row r="3751" spans="5:10" ht="14.4" x14ac:dyDescent="0.3">
      <c r="E3751" s="3"/>
      <c r="F3751" s="3"/>
      <c r="G3751" s="3"/>
      <c r="H3751" s="3"/>
      <c r="I3751" s="3"/>
      <c r="J3751" s="3"/>
    </row>
    <row r="3752" spans="5:10" ht="14.4" x14ac:dyDescent="0.3">
      <c r="E3752" s="3"/>
      <c r="F3752" s="3"/>
      <c r="G3752" s="3"/>
      <c r="H3752" s="3"/>
      <c r="I3752" s="3"/>
      <c r="J3752" s="3"/>
    </row>
    <row r="3753" spans="5:10" ht="14.4" x14ac:dyDescent="0.3">
      <c r="E3753" s="3"/>
      <c r="F3753" s="3"/>
      <c r="G3753" s="3"/>
      <c r="H3753" s="3"/>
      <c r="I3753" s="3"/>
      <c r="J3753" s="3"/>
    </row>
    <row r="3754" spans="5:10" ht="14.4" x14ac:dyDescent="0.3">
      <c r="E3754" s="3"/>
      <c r="F3754" s="3"/>
      <c r="G3754" s="3"/>
      <c r="H3754" s="3"/>
      <c r="I3754" s="3"/>
      <c r="J3754" s="3"/>
    </row>
    <row r="3755" spans="5:10" ht="14.4" x14ac:dyDescent="0.3">
      <c r="E3755" s="3"/>
      <c r="F3755" s="3"/>
      <c r="G3755" s="3"/>
      <c r="H3755" s="3"/>
      <c r="I3755" s="3"/>
      <c r="J3755" s="3"/>
    </row>
    <row r="3756" spans="5:10" ht="14.4" x14ac:dyDescent="0.3">
      <c r="E3756" s="3"/>
      <c r="F3756" s="3"/>
      <c r="G3756" s="3"/>
      <c r="H3756" s="3"/>
      <c r="I3756" s="3"/>
      <c r="J3756" s="3"/>
    </row>
    <row r="3757" spans="5:10" ht="14.4" x14ac:dyDescent="0.3">
      <c r="E3757" s="3"/>
      <c r="F3757" s="3"/>
      <c r="G3757" s="3"/>
      <c r="H3757" s="3"/>
      <c r="I3757" s="3"/>
      <c r="J3757" s="3"/>
    </row>
    <row r="3758" spans="5:10" ht="14.4" x14ac:dyDescent="0.3">
      <c r="E3758" s="3"/>
      <c r="F3758" s="3"/>
      <c r="G3758" s="3"/>
      <c r="H3758" s="3"/>
      <c r="I3758" s="3"/>
      <c r="J3758" s="3"/>
    </row>
    <row r="3759" spans="5:10" ht="14.4" x14ac:dyDescent="0.3">
      <c r="E3759" s="3"/>
      <c r="F3759" s="3"/>
      <c r="G3759" s="3"/>
      <c r="H3759" s="3"/>
      <c r="I3759" s="3"/>
      <c r="J3759" s="3"/>
    </row>
    <row r="3760" spans="5:10" ht="14.4" x14ac:dyDescent="0.3">
      <c r="E3760" s="3"/>
      <c r="F3760" s="3"/>
      <c r="G3760" s="3"/>
      <c r="H3760" s="3"/>
      <c r="I3760" s="3"/>
      <c r="J3760" s="3"/>
    </row>
    <row r="3761" spans="5:10" ht="14.4" x14ac:dyDescent="0.3">
      <c r="E3761" s="3"/>
      <c r="F3761" s="3"/>
      <c r="G3761" s="3"/>
      <c r="H3761" s="3"/>
      <c r="I3761" s="3"/>
      <c r="J3761" s="3"/>
    </row>
    <row r="3762" spans="5:10" ht="14.4" x14ac:dyDescent="0.3">
      <c r="E3762" s="3"/>
      <c r="F3762" s="3"/>
      <c r="G3762" s="3"/>
      <c r="H3762" s="3"/>
      <c r="I3762" s="3"/>
      <c r="J3762" s="3"/>
    </row>
    <row r="3763" spans="5:10" ht="14.4" x14ac:dyDescent="0.3">
      <c r="E3763" s="3"/>
      <c r="F3763" s="3"/>
      <c r="G3763" s="3"/>
      <c r="H3763" s="3"/>
      <c r="I3763" s="3"/>
      <c r="J3763" s="3"/>
    </row>
    <row r="3764" spans="5:10" ht="14.4" x14ac:dyDescent="0.3">
      <c r="E3764" s="3"/>
      <c r="F3764" s="3"/>
      <c r="G3764" s="3"/>
      <c r="H3764" s="3"/>
      <c r="I3764" s="3"/>
      <c r="J3764" s="3"/>
    </row>
    <row r="3765" spans="5:10" ht="14.4" x14ac:dyDescent="0.3">
      <c r="E3765" s="3"/>
      <c r="F3765" s="3"/>
      <c r="G3765" s="3"/>
      <c r="H3765" s="3"/>
      <c r="I3765" s="3"/>
      <c r="J3765" s="3"/>
    </row>
    <row r="3766" spans="5:10" ht="14.4" x14ac:dyDescent="0.3">
      <c r="E3766" s="3"/>
      <c r="F3766" s="3"/>
      <c r="G3766" s="3"/>
      <c r="H3766" s="3"/>
      <c r="I3766" s="3"/>
      <c r="J3766" s="3"/>
    </row>
    <row r="3767" spans="5:10" ht="14.4" x14ac:dyDescent="0.3">
      <c r="E3767" s="3"/>
      <c r="F3767" s="3"/>
      <c r="G3767" s="3"/>
      <c r="H3767" s="3"/>
      <c r="I3767" s="3"/>
      <c r="J3767" s="3"/>
    </row>
    <row r="3768" spans="5:10" ht="14.4" x14ac:dyDescent="0.3">
      <c r="E3768" s="3"/>
      <c r="F3768" s="3"/>
      <c r="G3768" s="3"/>
      <c r="H3768" s="3"/>
      <c r="I3768" s="3"/>
      <c r="J3768" s="3"/>
    </row>
    <row r="3769" spans="5:10" ht="14.4" x14ac:dyDescent="0.3">
      <c r="E3769" s="3"/>
      <c r="F3769" s="3"/>
      <c r="G3769" s="3"/>
      <c r="H3769" s="3"/>
      <c r="I3769" s="3"/>
      <c r="J3769" s="3"/>
    </row>
    <row r="3770" spans="5:10" ht="14.4" x14ac:dyDescent="0.3">
      <c r="E3770" s="3"/>
      <c r="F3770" s="3"/>
      <c r="G3770" s="3"/>
      <c r="H3770" s="3"/>
      <c r="I3770" s="3"/>
      <c r="J3770" s="3"/>
    </row>
    <row r="3771" spans="5:10" ht="14.4" x14ac:dyDescent="0.3">
      <c r="E3771" s="3"/>
      <c r="F3771" s="3"/>
      <c r="G3771" s="3"/>
      <c r="H3771" s="3"/>
      <c r="I3771" s="3"/>
      <c r="J3771" s="3"/>
    </row>
    <row r="3772" spans="5:10" ht="14.4" x14ac:dyDescent="0.3">
      <c r="E3772" s="3"/>
      <c r="F3772" s="3"/>
      <c r="G3772" s="3"/>
      <c r="H3772" s="3"/>
      <c r="I3772" s="3"/>
      <c r="J3772" s="3"/>
    </row>
    <row r="3773" spans="5:10" ht="14.4" x14ac:dyDescent="0.3">
      <c r="E3773" s="3"/>
      <c r="F3773" s="3"/>
      <c r="G3773" s="3"/>
      <c r="H3773" s="3"/>
      <c r="I3773" s="3"/>
      <c r="J3773" s="3"/>
    </row>
    <row r="3774" spans="5:10" ht="14.4" x14ac:dyDescent="0.3">
      <c r="E3774" s="3"/>
      <c r="F3774" s="3"/>
      <c r="G3774" s="3"/>
      <c r="H3774" s="3"/>
      <c r="I3774" s="3"/>
      <c r="J3774" s="3"/>
    </row>
    <row r="3775" spans="5:10" ht="14.4" x14ac:dyDescent="0.3">
      <c r="E3775" s="3"/>
      <c r="F3775" s="3"/>
      <c r="G3775" s="3"/>
      <c r="H3775" s="3"/>
      <c r="I3775" s="3"/>
      <c r="J3775" s="3"/>
    </row>
    <row r="3776" spans="5:10" ht="14.4" x14ac:dyDescent="0.3">
      <c r="E3776" s="3"/>
      <c r="F3776" s="3"/>
      <c r="G3776" s="3"/>
      <c r="H3776" s="3"/>
      <c r="I3776" s="3"/>
      <c r="J3776" s="3"/>
    </row>
    <row r="3777" spans="5:10" ht="14.4" x14ac:dyDescent="0.3">
      <c r="E3777" s="3"/>
      <c r="F3777" s="3"/>
      <c r="G3777" s="3"/>
      <c r="H3777" s="3"/>
      <c r="I3777" s="3"/>
      <c r="J3777" s="3"/>
    </row>
    <row r="3778" spans="5:10" ht="14.4" x14ac:dyDescent="0.3">
      <c r="E3778" s="3"/>
      <c r="F3778" s="3"/>
      <c r="G3778" s="3"/>
      <c r="H3778" s="3"/>
      <c r="I3778" s="3"/>
      <c r="J3778" s="3"/>
    </row>
    <row r="3779" spans="5:10" ht="14.4" x14ac:dyDescent="0.3">
      <c r="E3779" s="3"/>
      <c r="F3779" s="3"/>
      <c r="G3779" s="3"/>
      <c r="H3779" s="3"/>
      <c r="I3779" s="3"/>
      <c r="J3779" s="3"/>
    </row>
    <row r="3780" spans="5:10" ht="14.4" x14ac:dyDescent="0.3">
      <c r="E3780" s="3"/>
      <c r="F3780" s="3"/>
      <c r="G3780" s="3"/>
      <c r="H3780" s="3"/>
      <c r="I3780" s="3"/>
      <c r="J3780" s="3"/>
    </row>
    <row r="3781" spans="5:10" ht="14.4" x14ac:dyDescent="0.3">
      <c r="E3781" s="3"/>
      <c r="F3781" s="3"/>
      <c r="G3781" s="3"/>
      <c r="H3781" s="3"/>
      <c r="I3781" s="3"/>
      <c r="J3781" s="3"/>
    </row>
    <row r="3782" spans="5:10" ht="14.4" x14ac:dyDescent="0.3">
      <c r="E3782" s="3"/>
      <c r="F3782" s="3"/>
      <c r="G3782" s="3"/>
      <c r="H3782" s="3"/>
      <c r="I3782" s="3"/>
      <c r="J3782" s="3"/>
    </row>
    <row r="3783" spans="5:10" ht="14.4" x14ac:dyDescent="0.3">
      <c r="E3783" s="3"/>
      <c r="F3783" s="3"/>
      <c r="G3783" s="3"/>
      <c r="H3783" s="3"/>
      <c r="I3783" s="3"/>
      <c r="J3783" s="3"/>
    </row>
    <row r="3784" spans="5:10" ht="14.4" x14ac:dyDescent="0.3">
      <c r="E3784" s="3"/>
      <c r="F3784" s="3"/>
      <c r="G3784" s="3"/>
      <c r="H3784" s="3"/>
      <c r="I3784" s="3"/>
      <c r="J3784" s="3"/>
    </row>
    <row r="3785" spans="5:10" ht="14.4" x14ac:dyDescent="0.3">
      <c r="E3785" s="3"/>
      <c r="F3785" s="3"/>
      <c r="G3785" s="3"/>
      <c r="H3785" s="3"/>
      <c r="I3785" s="3"/>
      <c r="J3785" s="3"/>
    </row>
    <row r="3786" spans="5:10" ht="14.4" x14ac:dyDescent="0.3">
      <c r="E3786" s="3"/>
      <c r="F3786" s="3"/>
      <c r="G3786" s="3"/>
      <c r="H3786" s="3"/>
      <c r="I3786" s="3"/>
      <c r="J3786" s="3"/>
    </row>
    <row r="3787" spans="5:10" ht="14.4" x14ac:dyDescent="0.3">
      <c r="E3787" s="3"/>
      <c r="F3787" s="3"/>
      <c r="G3787" s="3"/>
      <c r="H3787" s="3"/>
      <c r="I3787" s="3"/>
      <c r="J3787" s="3"/>
    </row>
    <row r="3788" spans="5:10" ht="14.4" x14ac:dyDescent="0.3">
      <c r="E3788" s="3"/>
      <c r="F3788" s="3"/>
      <c r="G3788" s="3"/>
      <c r="H3788" s="3"/>
      <c r="I3788" s="3"/>
      <c r="J3788" s="3"/>
    </row>
    <row r="3789" spans="5:10" ht="14.4" x14ac:dyDescent="0.3">
      <c r="E3789" s="3"/>
      <c r="F3789" s="3"/>
      <c r="G3789" s="3"/>
      <c r="H3789" s="3"/>
      <c r="I3789" s="3"/>
      <c r="J3789" s="3"/>
    </row>
    <row r="3790" spans="5:10" ht="14.4" x14ac:dyDescent="0.3">
      <c r="E3790" s="3"/>
      <c r="F3790" s="3"/>
      <c r="G3790" s="3"/>
      <c r="H3790" s="3"/>
      <c r="I3790" s="3"/>
      <c r="J3790" s="3"/>
    </row>
    <row r="3791" spans="5:10" ht="14.4" x14ac:dyDescent="0.3">
      <c r="E3791" s="3"/>
      <c r="F3791" s="3"/>
      <c r="G3791" s="3"/>
      <c r="H3791" s="3"/>
      <c r="I3791" s="3"/>
      <c r="J3791" s="3"/>
    </row>
    <row r="3792" spans="5:10" ht="14.4" x14ac:dyDescent="0.3">
      <c r="E3792" s="3"/>
      <c r="F3792" s="3"/>
      <c r="G3792" s="3"/>
      <c r="H3792" s="3"/>
      <c r="I3792" s="3"/>
      <c r="J3792" s="3"/>
    </row>
    <row r="3793" spans="5:10" ht="14.4" x14ac:dyDescent="0.3">
      <c r="E3793" s="3"/>
      <c r="F3793" s="3"/>
      <c r="G3793" s="3"/>
      <c r="H3793" s="3"/>
      <c r="I3793" s="3"/>
      <c r="J3793" s="3"/>
    </row>
    <row r="3794" spans="5:10" ht="14.4" x14ac:dyDescent="0.3">
      <c r="E3794" s="3"/>
      <c r="F3794" s="3"/>
      <c r="G3794" s="3"/>
      <c r="H3794" s="3"/>
      <c r="I3794" s="3"/>
      <c r="J3794" s="3"/>
    </row>
    <row r="3795" spans="5:10" ht="14.4" x14ac:dyDescent="0.3">
      <c r="E3795" s="3"/>
      <c r="F3795" s="3"/>
      <c r="G3795" s="3"/>
      <c r="H3795" s="3"/>
      <c r="I3795" s="3"/>
      <c r="J3795" s="3"/>
    </row>
    <row r="3796" spans="5:10" ht="14.4" x14ac:dyDescent="0.3">
      <c r="E3796" s="3"/>
      <c r="F3796" s="3"/>
      <c r="G3796" s="3"/>
      <c r="H3796" s="3"/>
      <c r="I3796" s="3"/>
      <c r="J3796" s="3"/>
    </row>
    <row r="3797" spans="5:10" ht="14.4" x14ac:dyDescent="0.3">
      <c r="E3797" s="3"/>
      <c r="F3797" s="3"/>
      <c r="G3797" s="3"/>
      <c r="H3797" s="3"/>
      <c r="I3797" s="3"/>
      <c r="J3797" s="3"/>
    </row>
    <row r="3798" spans="5:10" ht="14.4" x14ac:dyDescent="0.3">
      <c r="E3798" s="3"/>
      <c r="F3798" s="3"/>
      <c r="G3798" s="3"/>
      <c r="H3798" s="3"/>
      <c r="I3798" s="3"/>
      <c r="J3798" s="3"/>
    </row>
    <row r="3799" spans="5:10" ht="14.4" x14ac:dyDescent="0.3">
      <c r="E3799" s="3"/>
      <c r="F3799" s="3"/>
      <c r="G3799" s="3"/>
      <c r="H3799" s="3"/>
      <c r="I3799" s="3"/>
      <c r="J3799" s="3"/>
    </row>
    <row r="3800" spans="5:10" ht="14.4" x14ac:dyDescent="0.3">
      <c r="E3800" s="3"/>
      <c r="F3800" s="3"/>
      <c r="G3800" s="3"/>
      <c r="H3800" s="3"/>
      <c r="I3800" s="3"/>
      <c r="J3800" s="3"/>
    </row>
    <row r="3801" spans="5:10" ht="14.4" x14ac:dyDescent="0.3">
      <c r="E3801" s="3"/>
      <c r="F3801" s="3"/>
      <c r="G3801" s="3"/>
      <c r="H3801" s="3"/>
      <c r="I3801" s="3"/>
      <c r="J3801" s="3"/>
    </row>
    <row r="3802" spans="5:10" ht="14.4" x14ac:dyDescent="0.3">
      <c r="E3802" s="3"/>
      <c r="F3802" s="3"/>
      <c r="G3802" s="3"/>
      <c r="H3802" s="3"/>
      <c r="I3802" s="3"/>
      <c r="J3802" s="3"/>
    </row>
    <row r="3803" spans="5:10" ht="14.4" x14ac:dyDescent="0.3">
      <c r="E3803" s="3"/>
      <c r="F3803" s="3"/>
      <c r="G3803" s="3"/>
      <c r="H3803" s="3"/>
      <c r="I3803" s="3"/>
      <c r="J3803" s="3"/>
    </row>
    <row r="3804" spans="5:10" ht="14.4" x14ac:dyDescent="0.3">
      <c r="E3804" s="3"/>
      <c r="F3804" s="3"/>
      <c r="G3804" s="3"/>
      <c r="H3804" s="3"/>
      <c r="I3804" s="3"/>
      <c r="J3804" s="3"/>
    </row>
    <row r="3805" spans="5:10" ht="14.4" x14ac:dyDescent="0.3">
      <c r="E3805" s="3"/>
      <c r="F3805" s="3"/>
      <c r="G3805" s="3"/>
      <c r="H3805" s="3"/>
      <c r="I3805" s="3"/>
      <c r="J3805" s="3"/>
    </row>
    <row r="3806" spans="5:10" ht="14.4" x14ac:dyDescent="0.3">
      <c r="E3806" s="3"/>
      <c r="F3806" s="3"/>
      <c r="G3806" s="3"/>
      <c r="H3806" s="3"/>
      <c r="I3806" s="3"/>
      <c r="J3806" s="3"/>
    </row>
    <row r="3807" spans="5:10" ht="14.4" x14ac:dyDescent="0.3">
      <c r="E3807" s="3"/>
      <c r="F3807" s="3"/>
      <c r="G3807" s="3"/>
      <c r="H3807" s="3"/>
      <c r="I3807" s="3"/>
      <c r="J3807" s="3"/>
    </row>
    <row r="3808" spans="5:10" ht="14.4" x14ac:dyDescent="0.3">
      <c r="E3808" s="3"/>
      <c r="F3808" s="3"/>
      <c r="G3808" s="3"/>
      <c r="H3808" s="3"/>
      <c r="I3808" s="3"/>
      <c r="J3808" s="3"/>
    </row>
    <row r="3809" spans="5:10" ht="14.4" x14ac:dyDescent="0.3">
      <c r="E3809" s="3"/>
      <c r="F3809" s="3"/>
      <c r="G3809" s="3"/>
      <c r="H3809" s="3"/>
      <c r="I3809" s="3"/>
      <c r="J3809" s="3"/>
    </row>
    <row r="3810" spans="5:10" ht="14.4" x14ac:dyDescent="0.3">
      <c r="E3810" s="3"/>
      <c r="F3810" s="3"/>
      <c r="G3810" s="3"/>
      <c r="H3810" s="3"/>
      <c r="I3810" s="3"/>
      <c r="J3810" s="3"/>
    </row>
    <row r="3811" spans="5:10" ht="14.4" x14ac:dyDescent="0.3">
      <c r="E3811" s="3"/>
      <c r="F3811" s="3"/>
      <c r="G3811" s="3"/>
      <c r="H3811" s="3"/>
      <c r="I3811" s="3"/>
      <c r="J3811" s="3"/>
    </row>
    <row r="3812" spans="5:10" ht="14.4" x14ac:dyDescent="0.3">
      <c r="E3812" s="3"/>
      <c r="F3812" s="3"/>
      <c r="G3812" s="3"/>
      <c r="H3812" s="3"/>
      <c r="I3812" s="3"/>
      <c r="J3812" s="3"/>
    </row>
    <row r="3813" spans="5:10" ht="14.4" x14ac:dyDescent="0.3">
      <c r="E3813" s="3"/>
      <c r="F3813" s="3"/>
      <c r="G3813" s="3"/>
      <c r="H3813" s="3"/>
      <c r="I3813" s="3"/>
      <c r="J3813" s="3"/>
    </row>
    <row r="3814" spans="5:10" ht="14.4" x14ac:dyDescent="0.3">
      <c r="E3814" s="3"/>
      <c r="F3814" s="3"/>
      <c r="G3814" s="3"/>
      <c r="H3814" s="3"/>
      <c r="I3814" s="3"/>
      <c r="J3814" s="3"/>
    </row>
    <row r="3815" spans="5:10" ht="14.4" x14ac:dyDescent="0.3">
      <c r="E3815" s="3"/>
      <c r="F3815" s="3"/>
      <c r="G3815" s="3"/>
      <c r="H3815" s="3"/>
      <c r="I3815" s="3"/>
      <c r="J3815" s="3"/>
    </row>
    <row r="3816" spans="5:10" ht="14.4" x14ac:dyDescent="0.3">
      <c r="E3816" s="3"/>
      <c r="F3816" s="3"/>
      <c r="G3816" s="3"/>
      <c r="H3816" s="3"/>
      <c r="I3816" s="3"/>
      <c r="J3816" s="3"/>
    </row>
    <row r="3817" spans="5:10" ht="14.4" x14ac:dyDescent="0.3">
      <c r="E3817" s="3"/>
      <c r="F3817" s="3"/>
      <c r="G3817" s="3"/>
      <c r="H3817" s="3"/>
      <c r="I3817" s="3"/>
      <c r="J3817" s="3"/>
    </row>
    <row r="3818" spans="5:10" ht="14.4" x14ac:dyDescent="0.3">
      <c r="E3818" s="3"/>
      <c r="F3818" s="3"/>
      <c r="G3818" s="3"/>
      <c r="H3818" s="3"/>
      <c r="I3818" s="3"/>
      <c r="J3818" s="3"/>
    </row>
    <row r="3819" spans="5:10" ht="14.4" x14ac:dyDescent="0.3">
      <c r="E3819" s="3"/>
      <c r="F3819" s="3"/>
      <c r="G3819" s="3"/>
      <c r="H3819" s="3"/>
      <c r="I3819" s="3"/>
      <c r="J3819" s="3"/>
    </row>
    <row r="3820" spans="5:10" ht="14.4" x14ac:dyDescent="0.3">
      <c r="E3820" s="3"/>
      <c r="F3820" s="3"/>
      <c r="G3820" s="3"/>
      <c r="H3820" s="3"/>
      <c r="I3820" s="3"/>
      <c r="J3820" s="3"/>
    </row>
    <row r="3821" spans="5:10" ht="14.4" x14ac:dyDescent="0.3">
      <c r="E3821" s="3"/>
      <c r="F3821" s="3"/>
      <c r="G3821" s="3"/>
      <c r="H3821" s="3"/>
      <c r="I3821" s="3"/>
      <c r="J3821" s="3"/>
    </row>
    <row r="3822" spans="5:10" ht="14.4" x14ac:dyDescent="0.3">
      <c r="E3822" s="3"/>
      <c r="F3822" s="3"/>
      <c r="G3822" s="3"/>
      <c r="H3822" s="3"/>
      <c r="I3822" s="3"/>
      <c r="J3822" s="3"/>
    </row>
    <row r="3823" spans="5:10" ht="14.4" x14ac:dyDescent="0.3">
      <c r="E3823" s="3"/>
      <c r="F3823" s="3"/>
      <c r="G3823" s="3"/>
      <c r="H3823" s="3"/>
      <c r="I3823" s="3"/>
      <c r="J3823" s="3"/>
    </row>
    <row r="3824" spans="5:10" ht="14.4" x14ac:dyDescent="0.3">
      <c r="E3824" s="3"/>
      <c r="F3824" s="3"/>
      <c r="G3824" s="3"/>
      <c r="H3824" s="3"/>
      <c r="I3824" s="3"/>
      <c r="J3824" s="3"/>
    </row>
    <row r="3825" spans="5:10" ht="14.4" x14ac:dyDescent="0.3">
      <c r="E3825" s="3"/>
      <c r="F3825" s="3"/>
      <c r="G3825" s="3"/>
      <c r="H3825" s="3"/>
      <c r="I3825" s="3"/>
      <c r="J3825" s="3"/>
    </row>
    <row r="3826" spans="5:10" ht="14.4" x14ac:dyDescent="0.3">
      <c r="E3826" s="3"/>
      <c r="F3826" s="3"/>
      <c r="G3826" s="3"/>
      <c r="H3826" s="3"/>
      <c r="I3826" s="3"/>
      <c r="J3826" s="3"/>
    </row>
    <row r="3827" spans="5:10" ht="14.4" x14ac:dyDescent="0.3">
      <c r="E3827" s="3"/>
      <c r="F3827" s="3"/>
      <c r="G3827" s="3"/>
      <c r="H3827" s="3"/>
      <c r="I3827" s="3"/>
      <c r="J3827" s="3"/>
    </row>
    <row r="3828" spans="5:10" ht="14.4" x14ac:dyDescent="0.3">
      <c r="E3828" s="3"/>
      <c r="F3828" s="3"/>
      <c r="G3828" s="3"/>
      <c r="H3828" s="3"/>
      <c r="I3828" s="3"/>
      <c r="J3828" s="3"/>
    </row>
    <row r="3829" spans="5:10" ht="14.4" x14ac:dyDescent="0.3">
      <c r="E3829" s="3"/>
      <c r="F3829" s="3"/>
      <c r="G3829" s="3"/>
      <c r="H3829" s="3"/>
      <c r="I3829" s="3"/>
      <c r="J3829" s="3"/>
    </row>
    <row r="3830" spans="5:10" ht="14.4" x14ac:dyDescent="0.3">
      <c r="E3830" s="3"/>
      <c r="F3830" s="3"/>
      <c r="G3830" s="3"/>
      <c r="H3830" s="3"/>
      <c r="I3830" s="3"/>
      <c r="J3830" s="3"/>
    </row>
    <row r="3831" spans="5:10" ht="14.4" x14ac:dyDescent="0.3">
      <c r="E3831" s="3"/>
      <c r="F3831" s="3"/>
      <c r="G3831" s="3"/>
      <c r="H3831" s="3"/>
      <c r="I3831" s="3"/>
      <c r="J3831" s="3"/>
    </row>
    <row r="3832" spans="5:10" ht="14.4" x14ac:dyDescent="0.3">
      <c r="E3832" s="3"/>
      <c r="F3832" s="3"/>
      <c r="G3832" s="3"/>
      <c r="H3832" s="3"/>
      <c r="I3832" s="3"/>
      <c r="J3832" s="3"/>
    </row>
    <row r="3833" spans="5:10" ht="14.4" x14ac:dyDescent="0.3">
      <c r="E3833" s="3"/>
      <c r="F3833" s="3"/>
      <c r="G3833" s="3"/>
      <c r="H3833" s="3"/>
      <c r="I3833" s="3"/>
      <c r="J3833" s="3"/>
    </row>
    <row r="3834" spans="5:10" ht="14.4" x14ac:dyDescent="0.3">
      <c r="E3834" s="3"/>
      <c r="F3834" s="3"/>
      <c r="G3834" s="3"/>
      <c r="H3834" s="3"/>
      <c r="I3834" s="3"/>
      <c r="J3834" s="3"/>
    </row>
    <row r="3835" spans="5:10" ht="14.4" x14ac:dyDescent="0.3">
      <c r="E3835" s="3"/>
      <c r="F3835" s="3"/>
      <c r="G3835" s="3"/>
      <c r="H3835" s="3"/>
      <c r="I3835" s="3"/>
      <c r="J3835" s="3"/>
    </row>
    <row r="3836" spans="5:10" ht="14.4" x14ac:dyDescent="0.3">
      <c r="E3836" s="3"/>
      <c r="F3836" s="3"/>
      <c r="G3836" s="3"/>
      <c r="H3836" s="3"/>
      <c r="I3836" s="3"/>
      <c r="J3836" s="3"/>
    </row>
    <row r="3837" spans="5:10" ht="14.4" x14ac:dyDescent="0.3">
      <c r="E3837" s="3"/>
      <c r="F3837" s="3"/>
      <c r="G3837" s="3"/>
      <c r="H3837" s="3"/>
      <c r="I3837" s="3"/>
      <c r="J3837" s="3"/>
    </row>
    <row r="3838" spans="5:10" ht="14.4" x14ac:dyDescent="0.3">
      <c r="E3838" s="3"/>
      <c r="F3838" s="3"/>
      <c r="G3838" s="3"/>
      <c r="H3838" s="3"/>
      <c r="I3838" s="3"/>
      <c r="J3838" s="3"/>
    </row>
    <row r="3839" spans="5:10" ht="14.4" x14ac:dyDescent="0.3">
      <c r="E3839" s="3"/>
      <c r="F3839" s="3"/>
      <c r="G3839" s="3"/>
      <c r="H3839" s="3"/>
      <c r="I3839" s="3"/>
      <c r="J3839" s="3"/>
    </row>
    <row r="3840" spans="5:10" ht="14.4" x14ac:dyDescent="0.3">
      <c r="E3840" s="3"/>
      <c r="F3840" s="3"/>
      <c r="G3840" s="3"/>
      <c r="H3840" s="3"/>
      <c r="I3840" s="3"/>
      <c r="J3840" s="3"/>
    </row>
    <row r="3841" spans="5:10" ht="14.4" x14ac:dyDescent="0.3">
      <c r="E3841" s="3"/>
      <c r="F3841" s="3"/>
      <c r="G3841" s="3"/>
      <c r="H3841" s="3"/>
      <c r="I3841" s="3"/>
      <c r="J3841" s="3"/>
    </row>
    <row r="3842" spans="5:10" ht="14.4" x14ac:dyDescent="0.3">
      <c r="E3842" s="3"/>
      <c r="F3842" s="3"/>
      <c r="G3842" s="3"/>
      <c r="H3842" s="3"/>
      <c r="I3842" s="3"/>
      <c r="J3842" s="3"/>
    </row>
    <row r="3843" spans="5:10" ht="14.4" x14ac:dyDescent="0.3">
      <c r="E3843" s="3"/>
      <c r="F3843" s="3"/>
      <c r="G3843" s="3"/>
      <c r="H3843" s="3"/>
      <c r="I3843" s="3"/>
      <c r="J3843" s="3"/>
    </row>
    <row r="3844" spans="5:10" ht="14.4" x14ac:dyDescent="0.3">
      <c r="E3844" s="3"/>
      <c r="F3844" s="3"/>
      <c r="G3844" s="3"/>
      <c r="H3844" s="3"/>
      <c r="I3844" s="3"/>
      <c r="J3844" s="3"/>
    </row>
    <row r="3845" spans="5:10" ht="14.4" x14ac:dyDescent="0.3">
      <c r="E3845" s="3"/>
      <c r="F3845" s="3"/>
      <c r="G3845" s="3"/>
      <c r="H3845" s="3"/>
      <c r="I3845" s="3"/>
      <c r="J3845" s="3"/>
    </row>
    <row r="3846" spans="5:10" ht="14.4" x14ac:dyDescent="0.3">
      <c r="E3846" s="3"/>
      <c r="F3846" s="3"/>
      <c r="G3846" s="3"/>
      <c r="H3846" s="3"/>
      <c r="I3846" s="3"/>
      <c r="J3846" s="3"/>
    </row>
    <row r="3847" spans="5:10" ht="14.4" x14ac:dyDescent="0.3">
      <c r="E3847" s="3"/>
      <c r="F3847" s="3"/>
      <c r="G3847" s="3"/>
      <c r="H3847" s="3"/>
      <c r="I3847" s="3"/>
      <c r="J3847" s="3"/>
    </row>
    <row r="3848" spans="5:10" ht="14.4" x14ac:dyDescent="0.3">
      <c r="E3848" s="3"/>
      <c r="F3848" s="3"/>
      <c r="G3848" s="3"/>
      <c r="H3848" s="3"/>
      <c r="I3848" s="3"/>
      <c r="J3848" s="3"/>
    </row>
    <row r="3849" spans="5:10" ht="14.4" x14ac:dyDescent="0.3">
      <c r="E3849" s="3"/>
      <c r="F3849" s="3"/>
      <c r="G3849" s="3"/>
      <c r="H3849" s="3"/>
      <c r="I3849" s="3"/>
      <c r="J3849" s="3"/>
    </row>
    <row r="3850" spans="5:10" ht="14.4" x14ac:dyDescent="0.3">
      <c r="E3850" s="3"/>
      <c r="F3850" s="3"/>
      <c r="G3850" s="3"/>
      <c r="H3850" s="3"/>
      <c r="I3850" s="3"/>
      <c r="J3850" s="3"/>
    </row>
    <row r="3851" spans="5:10" ht="14.4" x14ac:dyDescent="0.3">
      <c r="E3851" s="3"/>
      <c r="F3851" s="3"/>
      <c r="G3851" s="3"/>
      <c r="H3851" s="3"/>
      <c r="I3851" s="3"/>
      <c r="J3851" s="3"/>
    </row>
    <row r="3852" spans="5:10" ht="14.4" x14ac:dyDescent="0.3">
      <c r="E3852" s="3"/>
      <c r="F3852" s="3"/>
      <c r="G3852" s="3"/>
      <c r="H3852" s="3"/>
      <c r="I3852" s="3"/>
      <c r="J3852" s="3"/>
    </row>
    <row r="3853" spans="5:10" ht="14.4" x14ac:dyDescent="0.3">
      <c r="E3853" s="3"/>
      <c r="F3853" s="3"/>
      <c r="G3853" s="3"/>
      <c r="H3853" s="3"/>
      <c r="I3853" s="3"/>
      <c r="J3853" s="3"/>
    </row>
    <row r="3854" spans="5:10" ht="14.4" x14ac:dyDescent="0.3">
      <c r="E3854" s="3"/>
      <c r="F3854" s="3"/>
      <c r="G3854" s="3"/>
      <c r="H3854" s="3"/>
      <c r="I3854" s="3"/>
      <c r="J3854" s="3"/>
    </row>
    <row r="3855" spans="5:10" ht="14.4" x14ac:dyDescent="0.3">
      <c r="E3855" s="3"/>
      <c r="F3855" s="3"/>
      <c r="G3855" s="3"/>
      <c r="H3855" s="3"/>
      <c r="I3855" s="3"/>
      <c r="J3855" s="3"/>
    </row>
    <row r="3856" spans="5:10" ht="14.4" x14ac:dyDescent="0.3">
      <c r="E3856" s="3"/>
      <c r="F3856" s="3"/>
      <c r="G3856" s="3"/>
      <c r="H3856" s="3"/>
      <c r="I3856" s="3"/>
      <c r="J3856" s="3"/>
    </row>
    <row r="3857" spans="5:10" ht="14.4" x14ac:dyDescent="0.3">
      <c r="E3857" s="3"/>
      <c r="F3857" s="3"/>
      <c r="G3857" s="3"/>
      <c r="H3857" s="3"/>
      <c r="I3857" s="3"/>
      <c r="J3857" s="3"/>
    </row>
    <row r="3858" spans="5:10" ht="14.4" x14ac:dyDescent="0.3">
      <c r="E3858" s="3"/>
      <c r="F3858" s="3"/>
      <c r="G3858" s="3"/>
      <c r="H3858" s="3"/>
      <c r="I3858" s="3"/>
      <c r="J3858" s="3"/>
    </row>
    <row r="3859" spans="5:10" ht="14.4" x14ac:dyDescent="0.3">
      <c r="E3859" s="3"/>
      <c r="F3859" s="3"/>
      <c r="G3859" s="3"/>
      <c r="H3859" s="3"/>
      <c r="I3859" s="3"/>
      <c r="J3859" s="3"/>
    </row>
    <row r="3860" spans="5:10" ht="14.4" x14ac:dyDescent="0.3">
      <c r="E3860" s="3"/>
      <c r="F3860" s="3"/>
      <c r="G3860" s="3"/>
      <c r="H3860" s="3"/>
      <c r="I3860" s="3"/>
      <c r="J3860" s="3"/>
    </row>
    <row r="3861" spans="5:10" ht="14.4" x14ac:dyDescent="0.3">
      <c r="E3861" s="3"/>
      <c r="F3861" s="3"/>
      <c r="G3861" s="3"/>
      <c r="H3861" s="3"/>
      <c r="I3861" s="3"/>
      <c r="J3861" s="3"/>
    </row>
    <row r="3862" spans="5:10" ht="14.4" x14ac:dyDescent="0.3">
      <c r="E3862" s="3"/>
      <c r="F3862" s="3"/>
      <c r="G3862" s="3"/>
      <c r="H3862" s="3"/>
      <c r="I3862" s="3"/>
      <c r="J3862" s="3"/>
    </row>
    <row r="3863" spans="5:10" ht="14.4" x14ac:dyDescent="0.3">
      <c r="E3863" s="3"/>
      <c r="F3863" s="3"/>
      <c r="G3863" s="3"/>
      <c r="H3863" s="3"/>
      <c r="I3863" s="3"/>
      <c r="J3863" s="3"/>
    </row>
    <row r="3864" spans="5:10" ht="14.4" x14ac:dyDescent="0.3">
      <c r="E3864" s="3"/>
      <c r="F3864" s="3"/>
      <c r="G3864" s="3"/>
      <c r="H3864" s="3"/>
      <c r="I3864" s="3"/>
      <c r="J3864" s="3"/>
    </row>
    <row r="3865" spans="5:10" ht="14.4" x14ac:dyDescent="0.3">
      <c r="E3865" s="3"/>
      <c r="F3865" s="3"/>
      <c r="G3865" s="3"/>
      <c r="H3865" s="3"/>
      <c r="I3865" s="3"/>
      <c r="J3865" s="3"/>
    </row>
    <row r="3866" spans="5:10" ht="14.4" x14ac:dyDescent="0.3">
      <c r="E3866" s="3"/>
      <c r="F3866" s="3"/>
      <c r="G3866" s="3"/>
      <c r="H3866" s="3"/>
      <c r="I3866" s="3"/>
      <c r="J3866" s="3"/>
    </row>
    <row r="3867" spans="5:10" ht="14.4" x14ac:dyDescent="0.3">
      <c r="E3867" s="3"/>
      <c r="F3867" s="3"/>
      <c r="G3867" s="3"/>
      <c r="H3867" s="3"/>
      <c r="I3867" s="3"/>
      <c r="J3867" s="3"/>
    </row>
    <row r="3868" spans="5:10" ht="14.4" x14ac:dyDescent="0.3">
      <c r="E3868" s="3"/>
      <c r="F3868" s="3"/>
      <c r="G3868" s="3"/>
      <c r="H3868" s="3"/>
      <c r="I3868" s="3"/>
      <c r="J3868" s="3"/>
    </row>
    <row r="3869" spans="5:10" ht="14.4" x14ac:dyDescent="0.3">
      <c r="E3869" s="3"/>
      <c r="F3869" s="3"/>
      <c r="G3869" s="3"/>
      <c r="H3869" s="3"/>
      <c r="I3869" s="3"/>
      <c r="J3869" s="3"/>
    </row>
    <row r="3870" spans="5:10" ht="14.4" x14ac:dyDescent="0.3">
      <c r="E3870" s="3"/>
      <c r="F3870" s="3"/>
      <c r="G3870" s="3"/>
      <c r="H3870" s="3"/>
      <c r="I3870" s="3"/>
      <c r="J3870" s="3"/>
    </row>
    <row r="3871" spans="5:10" ht="14.4" x14ac:dyDescent="0.3">
      <c r="E3871" s="3"/>
      <c r="F3871" s="3"/>
      <c r="G3871" s="3"/>
      <c r="H3871" s="3"/>
      <c r="I3871" s="3"/>
      <c r="J3871" s="3"/>
    </row>
    <row r="3872" spans="5:10" ht="14.4" x14ac:dyDescent="0.3">
      <c r="E3872" s="3"/>
      <c r="F3872" s="3"/>
      <c r="G3872" s="3"/>
      <c r="H3872" s="3"/>
      <c r="I3872" s="3"/>
      <c r="J3872" s="3"/>
    </row>
    <row r="3873" spans="5:10" ht="14.4" x14ac:dyDescent="0.3">
      <c r="E3873" s="3"/>
      <c r="F3873" s="3"/>
      <c r="G3873" s="3"/>
      <c r="H3873" s="3"/>
      <c r="I3873" s="3"/>
      <c r="J3873" s="3"/>
    </row>
    <row r="3874" spans="5:10" ht="14.4" x14ac:dyDescent="0.3">
      <c r="E3874" s="3"/>
      <c r="F3874" s="3"/>
      <c r="G3874" s="3"/>
      <c r="H3874" s="3"/>
      <c r="I3874" s="3"/>
      <c r="J3874" s="3"/>
    </row>
    <row r="3875" spans="5:10" ht="14.4" x14ac:dyDescent="0.3">
      <c r="E3875" s="3"/>
      <c r="F3875" s="3"/>
      <c r="G3875" s="3"/>
      <c r="H3875" s="3"/>
      <c r="I3875" s="3"/>
      <c r="J3875" s="3"/>
    </row>
    <row r="3876" spans="5:10" ht="14.4" x14ac:dyDescent="0.3">
      <c r="E3876" s="3"/>
      <c r="F3876" s="3"/>
      <c r="G3876" s="3"/>
      <c r="H3876" s="3"/>
      <c r="I3876" s="3"/>
      <c r="J3876" s="3"/>
    </row>
    <row r="3877" spans="5:10" ht="14.4" x14ac:dyDescent="0.3">
      <c r="E3877" s="3"/>
      <c r="F3877" s="3"/>
      <c r="G3877" s="3"/>
      <c r="H3877" s="3"/>
      <c r="I3877" s="3"/>
      <c r="J3877" s="3"/>
    </row>
    <row r="3878" spans="5:10" ht="14.4" x14ac:dyDescent="0.3">
      <c r="E3878" s="3"/>
      <c r="F3878" s="3"/>
      <c r="G3878" s="3"/>
      <c r="H3878" s="3"/>
      <c r="I3878" s="3"/>
      <c r="J3878" s="3"/>
    </row>
    <row r="3879" spans="5:10" ht="14.4" x14ac:dyDescent="0.3">
      <c r="E3879" s="3"/>
      <c r="F3879" s="3"/>
      <c r="G3879" s="3"/>
      <c r="H3879" s="3"/>
      <c r="I3879" s="3"/>
      <c r="J3879" s="3"/>
    </row>
    <row r="3880" spans="5:10" ht="14.4" x14ac:dyDescent="0.3">
      <c r="E3880" s="3"/>
      <c r="F3880" s="3"/>
      <c r="G3880" s="3"/>
      <c r="H3880" s="3"/>
      <c r="I3880" s="3"/>
      <c r="J3880" s="3"/>
    </row>
    <row r="3881" spans="5:10" ht="14.4" x14ac:dyDescent="0.3">
      <c r="E3881" s="3"/>
      <c r="F3881" s="3"/>
      <c r="G3881" s="3"/>
      <c r="H3881" s="3"/>
      <c r="I3881" s="3"/>
      <c r="J3881" s="3"/>
    </row>
    <row r="3882" spans="5:10" ht="14.4" x14ac:dyDescent="0.3">
      <c r="E3882" s="3"/>
      <c r="F3882" s="3"/>
      <c r="G3882" s="3"/>
      <c r="H3882" s="3"/>
      <c r="I3882" s="3"/>
      <c r="J3882" s="3"/>
    </row>
    <row r="3883" spans="5:10" ht="14.4" x14ac:dyDescent="0.3">
      <c r="E3883" s="3"/>
      <c r="F3883" s="3"/>
      <c r="G3883" s="3"/>
      <c r="H3883" s="3"/>
      <c r="I3883" s="3"/>
      <c r="J3883" s="3"/>
    </row>
    <row r="3884" spans="5:10" ht="14.4" x14ac:dyDescent="0.3">
      <c r="E3884" s="3"/>
      <c r="F3884" s="3"/>
      <c r="G3884" s="3"/>
      <c r="H3884" s="3"/>
      <c r="I3884" s="3"/>
      <c r="J3884" s="3"/>
    </row>
    <row r="3885" spans="5:10" ht="14.4" x14ac:dyDescent="0.3">
      <c r="E3885" s="3"/>
      <c r="F3885" s="3"/>
      <c r="G3885" s="3"/>
      <c r="H3885" s="3"/>
      <c r="I3885" s="3"/>
      <c r="J3885" s="3"/>
    </row>
    <row r="3886" spans="5:10" ht="14.4" x14ac:dyDescent="0.3">
      <c r="E3886" s="3"/>
      <c r="F3886" s="3"/>
      <c r="G3886" s="3"/>
      <c r="H3886" s="3"/>
      <c r="I3886" s="3"/>
      <c r="J3886" s="3"/>
    </row>
    <row r="3887" spans="5:10" ht="14.4" x14ac:dyDescent="0.3">
      <c r="E3887" s="3"/>
      <c r="F3887" s="3"/>
      <c r="G3887" s="3"/>
      <c r="H3887" s="3"/>
      <c r="I3887" s="3"/>
      <c r="J3887" s="3"/>
    </row>
    <row r="3888" spans="5:10" ht="14.4" x14ac:dyDescent="0.3">
      <c r="E3888" s="3"/>
      <c r="F3888" s="3"/>
      <c r="G3888" s="3"/>
      <c r="H3888" s="3"/>
      <c r="I3888" s="3"/>
      <c r="J3888" s="3"/>
    </row>
    <row r="3889" spans="5:10" ht="14.4" x14ac:dyDescent="0.3">
      <c r="E3889" s="3"/>
      <c r="F3889" s="3"/>
      <c r="G3889" s="3"/>
      <c r="H3889" s="3"/>
      <c r="I3889" s="3"/>
      <c r="J3889" s="3"/>
    </row>
    <row r="3890" spans="5:10" ht="14.4" x14ac:dyDescent="0.3">
      <c r="E3890" s="3"/>
      <c r="F3890" s="3"/>
      <c r="G3890" s="3"/>
      <c r="H3890" s="3"/>
      <c r="I3890" s="3"/>
      <c r="J3890" s="3"/>
    </row>
    <row r="3891" spans="5:10" ht="14.4" x14ac:dyDescent="0.3">
      <c r="E3891" s="3"/>
      <c r="F3891" s="3"/>
      <c r="G3891" s="3"/>
      <c r="H3891" s="3"/>
      <c r="I3891" s="3"/>
      <c r="J3891" s="3"/>
    </row>
    <row r="3892" spans="5:10" ht="14.4" x14ac:dyDescent="0.3">
      <c r="E3892" s="3"/>
      <c r="F3892" s="3"/>
      <c r="G3892" s="3"/>
      <c r="H3892" s="3"/>
      <c r="I3892" s="3"/>
      <c r="J3892" s="3"/>
    </row>
    <row r="3893" spans="5:10" ht="14.4" x14ac:dyDescent="0.3">
      <c r="E3893" s="3"/>
      <c r="F3893" s="3"/>
      <c r="G3893" s="3"/>
      <c r="H3893" s="3"/>
      <c r="I3893" s="3"/>
      <c r="J3893" s="3"/>
    </row>
    <row r="3894" spans="5:10" ht="14.4" x14ac:dyDescent="0.3">
      <c r="E3894" s="3"/>
      <c r="F3894" s="3"/>
      <c r="G3894" s="3"/>
      <c r="H3894" s="3"/>
      <c r="I3894" s="3"/>
      <c r="J3894" s="3"/>
    </row>
    <row r="3895" spans="5:10" ht="14.4" x14ac:dyDescent="0.3">
      <c r="E3895" s="3"/>
      <c r="F3895" s="3"/>
      <c r="G3895" s="3"/>
      <c r="H3895" s="3"/>
      <c r="I3895" s="3"/>
      <c r="J3895" s="3"/>
    </row>
    <row r="3896" spans="5:10" ht="14.4" x14ac:dyDescent="0.3">
      <c r="E3896" s="3"/>
      <c r="F3896" s="3"/>
      <c r="G3896" s="3"/>
      <c r="H3896" s="3"/>
      <c r="I3896" s="3"/>
      <c r="J3896" s="3"/>
    </row>
    <row r="3897" spans="5:10" ht="14.4" x14ac:dyDescent="0.3">
      <c r="E3897" s="3"/>
      <c r="F3897" s="3"/>
      <c r="G3897" s="3"/>
      <c r="H3897" s="3"/>
      <c r="I3897" s="3"/>
      <c r="J3897" s="3"/>
    </row>
    <row r="3898" spans="5:10" ht="14.4" x14ac:dyDescent="0.3">
      <c r="E3898" s="3"/>
      <c r="F3898" s="3"/>
      <c r="G3898" s="3"/>
      <c r="H3898" s="3"/>
      <c r="I3898" s="3"/>
      <c r="J3898" s="3"/>
    </row>
    <row r="3899" spans="5:10" ht="14.4" x14ac:dyDescent="0.3">
      <c r="E3899" s="3"/>
      <c r="F3899" s="3"/>
      <c r="G3899" s="3"/>
      <c r="H3899" s="3"/>
      <c r="I3899" s="3"/>
      <c r="J3899" s="3"/>
    </row>
    <row r="3900" spans="5:10" ht="14.4" x14ac:dyDescent="0.3">
      <c r="E3900" s="3"/>
      <c r="F3900" s="3"/>
      <c r="G3900" s="3"/>
      <c r="H3900" s="3"/>
      <c r="I3900" s="3"/>
      <c r="J3900" s="3"/>
    </row>
    <row r="3901" spans="5:10" ht="14.4" x14ac:dyDescent="0.3">
      <c r="E3901" s="3"/>
      <c r="F3901" s="3"/>
      <c r="G3901" s="3"/>
      <c r="H3901" s="3"/>
      <c r="I3901" s="3"/>
      <c r="J3901" s="3"/>
    </row>
    <row r="3902" spans="5:10" ht="14.4" x14ac:dyDescent="0.3">
      <c r="E3902" s="3"/>
      <c r="F3902" s="3"/>
      <c r="G3902" s="3"/>
      <c r="H3902" s="3"/>
      <c r="I3902" s="3"/>
      <c r="J3902" s="3"/>
    </row>
    <row r="3903" spans="5:10" ht="14.4" x14ac:dyDescent="0.3">
      <c r="E3903" s="3"/>
      <c r="F3903" s="3"/>
      <c r="G3903" s="3"/>
      <c r="H3903" s="3"/>
      <c r="I3903" s="3"/>
      <c r="J3903" s="3"/>
    </row>
    <row r="3904" spans="5:10" ht="14.4" x14ac:dyDescent="0.3">
      <c r="E3904" s="3"/>
      <c r="F3904" s="3"/>
      <c r="G3904" s="3"/>
      <c r="H3904" s="3"/>
      <c r="I3904" s="3"/>
      <c r="J3904" s="3"/>
    </row>
    <row r="3905" spans="5:10" ht="14.4" x14ac:dyDescent="0.3">
      <c r="E3905" s="3"/>
      <c r="F3905" s="3"/>
      <c r="G3905" s="3"/>
      <c r="H3905" s="3"/>
      <c r="I3905" s="3"/>
      <c r="J3905" s="3"/>
    </row>
    <row r="3906" spans="5:10" ht="14.4" x14ac:dyDescent="0.3">
      <c r="E3906" s="3"/>
      <c r="F3906" s="3"/>
      <c r="G3906" s="3"/>
      <c r="H3906" s="3"/>
      <c r="I3906" s="3"/>
      <c r="J3906" s="3"/>
    </row>
    <row r="3907" spans="5:10" ht="14.4" x14ac:dyDescent="0.3">
      <c r="E3907" s="3"/>
      <c r="F3907" s="3"/>
      <c r="G3907" s="3"/>
      <c r="H3907" s="3"/>
      <c r="I3907" s="3"/>
      <c r="J3907" s="3"/>
    </row>
    <row r="3908" spans="5:10" ht="14.4" x14ac:dyDescent="0.3">
      <c r="E3908" s="3"/>
      <c r="F3908" s="3"/>
      <c r="G3908" s="3"/>
      <c r="H3908" s="3"/>
      <c r="I3908" s="3"/>
      <c r="J3908" s="3"/>
    </row>
    <row r="3909" spans="5:10" ht="14.4" x14ac:dyDescent="0.3">
      <c r="E3909" s="3"/>
      <c r="F3909" s="3"/>
      <c r="G3909" s="3"/>
      <c r="H3909" s="3"/>
      <c r="I3909" s="3"/>
      <c r="J3909" s="3"/>
    </row>
    <row r="3910" spans="5:10" ht="14.4" x14ac:dyDescent="0.3">
      <c r="E3910" s="3"/>
      <c r="F3910" s="3"/>
      <c r="G3910" s="3"/>
      <c r="H3910" s="3"/>
      <c r="I3910" s="3"/>
      <c r="J3910" s="3"/>
    </row>
    <row r="3911" spans="5:10" ht="14.4" x14ac:dyDescent="0.3">
      <c r="E3911" s="3"/>
      <c r="F3911" s="3"/>
      <c r="G3911" s="3"/>
      <c r="H3911" s="3"/>
      <c r="I3911" s="3"/>
      <c r="J3911" s="3"/>
    </row>
    <row r="3912" spans="5:10" ht="14.4" x14ac:dyDescent="0.3">
      <c r="E3912" s="3"/>
      <c r="F3912" s="3"/>
      <c r="G3912" s="3"/>
      <c r="H3912" s="3"/>
      <c r="I3912" s="3"/>
      <c r="J3912" s="3"/>
    </row>
    <row r="3913" spans="5:10" ht="14.4" x14ac:dyDescent="0.3">
      <c r="E3913" s="3"/>
      <c r="F3913" s="3"/>
      <c r="G3913" s="3"/>
      <c r="H3913" s="3"/>
      <c r="I3913" s="3"/>
      <c r="J3913" s="3"/>
    </row>
    <row r="3914" spans="5:10" ht="14.4" x14ac:dyDescent="0.3">
      <c r="E3914" s="3"/>
      <c r="F3914" s="3"/>
      <c r="G3914" s="3"/>
      <c r="H3914" s="3"/>
      <c r="I3914" s="3"/>
      <c r="J3914" s="3"/>
    </row>
    <row r="3915" spans="5:10" ht="14.4" x14ac:dyDescent="0.3">
      <c r="E3915" s="3"/>
      <c r="F3915" s="3"/>
      <c r="G3915" s="3"/>
      <c r="H3915" s="3"/>
      <c r="I3915" s="3"/>
      <c r="J3915" s="3"/>
    </row>
    <row r="3916" spans="5:10" ht="14.4" x14ac:dyDescent="0.3">
      <c r="E3916" s="3"/>
      <c r="F3916" s="3"/>
      <c r="G3916" s="3"/>
      <c r="H3916" s="3"/>
      <c r="I3916" s="3"/>
      <c r="J3916" s="3"/>
    </row>
    <row r="3917" spans="5:10" ht="14.4" x14ac:dyDescent="0.3">
      <c r="E3917" s="3"/>
      <c r="F3917" s="3"/>
      <c r="G3917" s="3"/>
      <c r="H3917" s="3"/>
      <c r="I3917" s="3"/>
      <c r="J3917" s="3"/>
    </row>
    <row r="3918" spans="5:10" ht="14.4" x14ac:dyDescent="0.3">
      <c r="E3918" s="3"/>
      <c r="F3918" s="3"/>
      <c r="G3918" s="3"/>
      <c r="H3918" s="3"/>
      <c r="I3918" s="3"/>
      <c r="J3918" s="3"/>
    </row>
    <row r="3919" spans="5:10" ht="14.4" x14ac:dyDescent="0.3">
      <c r="E3919" s="3"/>
      <c r="F3919" s="3"/>
      <c r="G3919" s="3"/>
      <c r="H3919" s="3"/>
      <c r="I3919" s="3"/>
      <c r="J3919" s="3"/>
    </row>
    <row r="3920" spans="5:10" ht="14.4" x14ac:dyDescent="0.3">
      <c r="E3920" s="3"/>
      <c r="F3920" s="3"/>
      <c r="G3920" s="3"/>
      <c r="H3920" s="3"/>
      <c r="I3920" s="3"/>
      <c r="J3920" s="3"/>
    </row>
    <row r="3921" spans="5:10" ht="14.4" x14ac:dyDescent="0.3">
      <c r="E3921" s="3"/>
      <c r="F3921" s="3"/>
      <c r="G3921" s="3"/>
      <c r="H3921" s="3"/>
      <c r="I3921" s="3"/>
      <c r="J3921" s="3"/>
    </row>
    <row r="3922" spans="5:10" ht="14.4" x14ac:dyDescent="0.3">
      <c r="E3922" s="3"/>
      <c r="F3922" s="3"/>
      <c r="G3922" s="3"/>
      <c r="H3922" s="3"/>
      <c r="I3922" s="3"/>
      <c r="J3922" s="3"/>
    </row>
    <row r="3923" spans="5:10" ht="14.4" x14ac:dyDescent="0.3">
      <c r="E3923" s="3"/>
      <c r="F3923" s="3"/>
      <c r="G3923" s="3"/>
      <c r="H3923" s="3"/>
      <c r="I3923" s="3"/>
      <c r="J3923" s="3"/>
    </row>
    <row r="3924" spans="5:10" ht="14.4" x14ac:dyDescent="0.3">
      <c r="E3924" s="3"/>
      <c r="F3924" s="3"/>
      <c r="G3924" s="3"/>
      <c r="H3924" s="3"/>
      <c r="I3924" s="3"/>
      <c r="J3924" s="3"/>
    </row>
    <row r="3925" spans="5:10" ht="14.4" x14ac:dyDescent="0.3">
      <c r="E3925" s="3"/>
      <c r="F3925" s="3"/>
      <c r="G3925" s="3"/>
      <c r="H3925" s="3"/>
      <c r="I3925" s="3"/>
      <c r="J3925" s="3"/>
    </row>
    <row r="3926" spans="5:10" ht="14.4" x14ac:dyDescent="0.3">
      <c r="E3926" s="3"/>
      <c r="F3926" s="3"/>
      <c r="G3926" s="3"/>
      <c r="H3926" s="3"/>
      <c r="I3926" s="3"/>
      <c r="J3926" s="3"/>
    </row>
    <row r="3927" spans="5:10" ht="14.4" x14ac:dyDescent="0.3">
      <c r="E3927" s="3"/>
      <c r="F3927" s="3"/>
      <c r="G3927" s="3"/>
      <c r="H3927" s="3"/>
      <c r="I3927" s="3"/>
      <c r="J3927" s="3"/>
    </row>
    <row r="3928" spans="5:10" ht="14.4" x14ac:dyDescent="0.3">
      <c r="E3928" s="3"/>
      <c r="F3928" s="3"/>
      <c r="G3928" s="3"/>
      <c r="H3928" s="3"/>
      <c r="I3928" s="3"/>
      <c r="J3928" s="3"/>
    </row>
    <row r="3929" spans="5:10" ht="14.4" x14ac:dyDescent="0.3">
      <c r="E3929" s="3"/>
      <c r="F3929" s="3"/>
      <c r="G3929" s="3"/>
      <c r="H3929" s="3"/>
      <c r="I3929" s="3"/>
      <c r="J3929" s="3"/>
    </row>
    <row r="3930" spans="5:10" ht="14.4" x14ac:dyDescent="0.3">
      <c r="E3930" s="3"/>
      <c r="F3930" s="3"/>
      <c r="G3930" s="3"/>
      <c r="H3930" s="3"/>
      <c r="I3930" s="3"/>
      <c r="J3930" s="3"/>
    </row>
    <row r="3931" spans="5:10" ht="14.4" x14ac:dyDescent="0.3">
      <c r="E3931" s="3"/>
      <c r="F3931" s="3"/>
      <c r="G3931" s="3"/>
      <c r="H3931" s="3"/>
      <c r="I3931" s="3"/>
      <c r="J3931" s="3"/>
    </row>
    <row r="3932" spans="5:10" ht="14.4" x14ac:dyDescent="0.3">
      <c r="E3932" s="3"/>
      <c r="F3932" s="3"/>
      <c r="G3932" s="3"/>
      <c r="H3932" s="3"/>
      <c r="I3932" s="3"/>
      <c r="J3932" s="3"/>
    </row>
    <row r="3933" spans="5:10" ht="14.4" x14ac:dyDescent="0.3">
      <c r="E3933" s="3"/>
      <c r="F3933" s="3"/>
      <c r="G3933" s="3"/>
      <c r="H3933" s="3"/>
      <c r="I3933" s="3"/>
      <c r="J3933" s="3"/>
    </row>
    <row r="3934" spans="5:10" ht="14.4" x14ac:dyDescent="0.3">
      <c r="E3934" s="3"/>
      <c r="F3934" s="3"/>
      <c r="G3934" s="3"/>
      <c r="H3934" s="3"/>
      <c r="I3934" s="3"/>
      <c r="J3934" s="3"/>
    </row>
    <row r="3935" spans="5:10" ht="14.4" x14ac:dyDescent="0.3">
      <c r="E3935" s="3"/>
      <c r="F3935" s="3"/>
      <c r="G3935" s="3"/>
      <c r="H3935" s="3"/>
      <c r="I3935" s="3"/>
      <c r="J3935" s="3"/>
    </row>
    <row r="3936" spans="5:10" ht="14.4" x14ac:dyDescent="0.3">
      <c r="E3936" s="3"/>
      <c r="F3936" s="3"/>
      <c r="G3936" s="3"/>
      <c r="H3936" s="3"/>
      <c r="I3936" s="3"/>
      <c r="J3936" s="3"/>
    </row>
    <row r="3937" spans="5:10" ht="14.4" x14ac:dyDescent="0.3">
      <c r="E3937" s="3"/>
      <c r="F3937" s="3"/>
      <c r="G3937" s="3"/>
      <c r="H3937" s="3"/>
      <c r="I3937" s="3"/>
      <c r="J3937" s="3"/>
    </row>
    <row r="3938" spans="5:10" ht="14.4" x14ac:dyDescent="0.3">
      <c r="E3938" s="3"/>
      <c r="F3938" s="3"/>
      <c r="G3938" s="3"/>
      <c r="H3938" s="3"/>
      <c r="I3938" s="3"/>
      <c r="J3938" s="3"/>
    </row>
    <row r="3939" spans="5:10" ht="14.4" x14ac:dyDescent="0.3">
      <c r="E3939" s="3"/>
      <c r="F3939" s="3"/>
      <c r="G3939" s="3"/>
      <c r="H3939" s="3"/>
      <c r="I3939" s="3"/>
      <c r="J3939" s="3"/>
    </row>
    <row r="3940" spans="5:10" ht="14.4" x14ac:dyDescent="0.3">
      <c r="E3940" s="3"/>
      <c r="F3940" s="3"/>
      <c r="G3940" s="3"/>
      <c r="H3940" s="3"/>
      <c r="I3940" s="3"/>
      <c r="J3940" s="3"/>
    </row>
    <row r="3941" spans="5:10" ht="14.4" x14ac:dyDescent="0.3">
      <c r="E3941" s="3"/>
      <c r="F3941" s="3"/>
      <c r="G3941" s="3"/>
      <c r="H3941" s="3"/>
      <c r="I3941" s="3"/>
      <c r="J3941" s="3"/>
    </row>
    <row r="3942" spans="5:10" ht="14.4" x14ac:dyDescent="0.3">
      <c r="E3942" s="3"/>
      <c r="F3942" s="3"/>
      <c r="G3942" s="3"/>
      <c r="H3942" s="3"/>
      <c r="I3942" s="3"/>
      <c r="J3942" s="3"/>
    </row>
    <row r="3943" spans="5:10" ht="14.4" x14ac:dyDescent="0.3">
      <c r="E3943" s="3"/>
      <c r="F3943" s="3"/>
      <c r="G3943" s="3"/>
      <c r="H3943" s="3"/>
      <c r="I3943" s="3"/>
      <c r="J3943" s="3"/>
    </row>
    <row r="3944" spans="5:10" ht="14.4" x14ac:dyDescent="0.3">
      <c r="E3944" s="3"/>
      <c r="F3944" s="3"/>
      <c r="G3944" s="3"/>
      <c r="H3944" s="3"/>
      <c r="I3944" s="3"/>
      <c r="J3944" s="3"/>
    </row>
    <row r="3945" spans="5:10" ht="14.4" x14ac:dyDescent="0.3">
      <c r="E3945" s="3"/>
      <c r="F3945" s="3"/>
      <c r="G3945" s="3"/>
      <c r="H3945" s="3"/>
      <c r="I3945" s="3"/>
      <c r="J3945" s="3"/>
    </row>
    <row r="3946" spans="5:10" ht="14.4" x14ac:dyDescent="0.3">
      <c r="E3946" s="3"/>
      <c r="F3946" s="3"/>
      <c r="G3946" s="3"/>
      <c r="H3946" s="3"/>
      <c r="I3946" s="3"/>
      <c r="J3946" s="3"/>
    </row>
    <row r="3947" spans="5:10" ht="14.4" x14ac:dyDescent="0.3">
      <c r="E3947" s="3"/>
      <c r="F3947" s="3"/>
      <c r="G3947" s="3"/>
      <c r="H3947" s="3"/>
      <c r="I3947" s="3"/>
      <c r="J3947" s="3"/>
    </row>
    <row r="3948" spans="5:10" ht="14.4" x14ac:dyDescent="0.3">
      <c r="E3948" s="3"/>
      <c r="F3948" s="3"/>
      <c r="G3948" s="3"/>
      <c r="H3948" s="3"/>
      <c r="I3948" s="3"/>
      <c r="J3948" s="3"/>
    </row>
    <row r="3949" spans="5:10" ht="14.4" x14ac:dyDescent="0.3">
      <c r="E3949" s="3"/>
      <c r="F3949" s="3"/>
      <c r="G3949" s="3"/>
      <c r="H3949" s="3"/>
      <c r="I3949" s="3"/>
      <c r="J3949" s="3"/>
    </row>
    <row r="3950" spans="5:10" ht="14.4" x14ac:dyDescent="0.3">
      <c r="E3950" s="3"/>
      <c r="F3950" s="3"/>
      <c r="G3950" s="3"/>
      <c r="H3950" s="3"/>
      <c r="I3950" s="3"/>
      <c r="J3950" s="3"/>
    </row>
    <row r="3951" spans="5:10" ht="14.4" x14ac:dyDescent="0.3">
      <c r="E3951" s="3"/>
      <c r="F3951" s="3"/>
      <c r="G3951" s="3"/>
      <c r="H3951" s="3"/>
      <c r="I3951" s="3"/>
      <c r="J3951" s="3"/>
    </row>
    <row r="3952" spans="5:10" ht="14.4" x14ac:dyDescent="0.3">
      <c r="E3952" s="3"/>
      <c r="F3952" s="3"/>
      <c r="G3952" s="3"/>
      <c r="H3952" s="3"/>
      <c r="I3952" s="3"/>
      <c r="J3952" s="3"/>
    </row>
    <row r="3953" spans="5:10" ht="14.4" x14ac:dyDescent="0.3">
      <c r="E3953" s="3"/>
      <c r="F3953" s="3"/>
      <c r="G3953" s="3"/>
      <c r="H3953" s="3"/>
      <c r="I3953" s="3"/>
      <c r="J3953" s="3"/>
    </row>
    <row r="3954" spans="5:10" ht="14.4" x14ac:dyDescent="0.3">
      <c r="E3954" s="3"/>
      <c r="F3954" s="3"/>
      <c r="G3954" s="3"/>
      <c r="H3954" s="3"/>
      <c r="I3954" s="3"/>
      <c r="J3954" s="3"/>
    </row>
    <row r="3955" spans="5:10" ht="14.4" x14ac:dyDescent="0.3">
      <c r="E3955" s="3"/>
      <c r="F3955" s="3"/>
      <c r="G3955" s="3"/>
      <c r="H3955" s="3"/>
      <c r="I3955" s="3"/>
      <c r="J3955" s="3"/>
    </row>
    <row r="3956" spans="5:10" ht="14.4" x14ac:dyDescent="0.3">
      <c r="E3956" s="3"/>
      <c r="F3956" s="3"/>
      <c r="G3956" s="3"/>
      <c r="H3956" s="3"/>
      <c r="I3956" s="3"/>
      <c r="J3956" s="3"/>
    </row>
    <row r="3957" spans="5:10" ht="14.4" x14ac:dyDescent="0.3">
      <c r="E3957" s="3"/>
      <c r="F3957" s="3"/>
      <c r="G3957" s="3"/>
      <c r="H3957" s="3"/>
      <c r="I3957" s="3"/>
      <c r="J3957" s="3"/>
    </row>
    <row r="3958" spans="5:10" ht="14.4" x14ac:dyDescent="0.3">
      <c r="E3958" s="3"/>
      <c r="F3958" s="3"/>
      <c r="G3958" s="3"/>
      <c r="H3958" s="3"/>
      <c r="I3958" s="3"/>
      <c r="J3958" s="3"/>
    </row>
    <row r="3959" spans="5:10" ht="14.4" x14ac:dyDescent="0.3">
      <c r="E3959" s="3"/>
      <c r="F3959" s="3"/>
      <c r="G3959" s="3"/>
      <c r="H3959" s="3"/>
      <c r="I3959" s="3"/>
      <c r="J3959" s="3"/>
    </row>
    <row r="3960" spans="5:10" ht="14.4" x14ac:dyDescent="0.3">
      <c r="E3960" s="3"/>
      <c r="F3960" s="3"/>
      <c r="G3960" s="3"/>
      <c r="H3960" s="3"/>
      <c r="I3960" s="3"/>
      <c r="J3960" s="3"/>
    </row>
    <row r="3961" spans="5:10" ht="14.4" x14ac:dyDescent="0.3">
      <c r="E3961" s="3"/>
      <c r="F3961" s="3"/>
      <c r="G3961" s="3"/>
      <c r="H3961" s="3"/>
      <c r="I3961" s="3"/>
      <c r="J3961" s="3"/>
    </row>
    <row r="3962" spans="5:10" ht="14.4" x14ac:dyDescent="0.3">
      <c r="E3962" s="3"/>
      <c r="F3962" s="3"/>
      <c r="G3962" s="3"/>
      <c r="H3962" s="3"/>
      <c r="I3962" s="3"/>
      <c r="J3962" s="3"/>
    </row>
    <row r="3963" spans="5:10" ht="14.4" x14ac:dyDescent="0.3">
      <c r="E3963" s="3"/>
      <c r="F3963" s="3"/>
      <c r="G3963" s="3"/>
      <c r="H3963" s="3"/>
      <c r="I3963" s="3"/>
      <c r="J3963" s="3"/>
    </row>
    <row r="3964" spans="5:10" ht="14.4" x14ac:dyDescent="0.3">
      <c r="E3964" s="3"/>
      <c r="F3964" s="3"/>
      <c r="G3964" s="3"/>
      <c r="H3964" s="3"/>
      <c r="I3964" s="3"/>
      <c r="J3964" s="3"/>
    </row>
    <row r="3965" spans="5:10" ht="14.4" x14ac:dyDescent="0.3">
      <c r="E3965" s="3"/>
      <c r="F3965" s="3"/>
      <c r="G3965" s="3"/>
      <c r="H3965" s="3"/>
      <c r="I3965" s="3"/>
      <c r="J3965" s="3"/>
    </row>
    <row r="3966" spans="5:10" ht="14.4" x14ac:dyDescent="0.3">
      <c r="E3966" s="3"/>
      <c r="F3966" s="3"/>
      <c r="G3966" s="3"/>
      <c r="H3966" s="3"/>
      <c r="I3966" s="3"/>
      <c r="J3966" s="3"/>
    </row>
    <row r="3967" spans="5:10" ht="14.4" x14ac:dyDescent="0.3">
      <c r="E3967" s="3"/>
      <c r="F3967" s="3"/>
      <c r="G3967" s="3"/>
      <c r="H3967" s="3"/>
      <c r="I3967" s="3"/>
      <c r="J3967" s="3"/>
    </row>
    <row r="3968" spans="5:10" ht="14.4" x14ac:dyDescent="0.3">
      <c r="E3968" s="3"/>
      <c r="F3968" s="3"/>
      <c r="G3968" s="3"/>
      <c r="H3968" s="3"/>
      <c r="I3968" s="3"/>
      <c r="J3968" s="3"/>
    </row>
    <row r="3969" spans="5:10" ht="14.4" x14ac:dyDescent="0.3">
      <c r="E3969" s="3"/>
      <c r="F3969" s="3"/>
      <c r="G3969" s="3"/>
      <c r="H3969" s="3"/>
      <c r="I3969" s="3"/>
      <c r="J3969" s="3"/>
    </row>
    <row r="3970" spans="5:10" ht="14.4" x14ac:dyDescent="0.3">
      <c r="E3970" s="3"/>
      <c r="F3970" s="3"/>
      <c r="G3970" s="3"/>
      <c r="H3970" s="3"/>
      <c r="I3970" s="3"/>
      <c r="J3970" s="3"/>
    </row>
    <row r="3971" spans="5:10" ht="14.4" x14ac:dyDescent="0.3">
      <c r="E3971" s="3"/>
      <c r="F3971" s="3"/>
      <c r="G3971" s="3"/>
      <c r="H3971" s="3"/>
      <c r="I3971" s="3"/>
      <c r="J3971" s="3"/>
    </row>
    <row r="3972" spans="5:10" ht="14.4" x14ac:dyDescent="0.3">
      <c r="E3972" s="3"/>
      <c r="F3972" s="3"/>
      <c r="G3972" s="3"/>
      <c r="H3972" s="3"/>
      <c r="I3972" s="3"/>
      <c r="J3972" s="3"/>
    </row>
    <row r="3973" spans="5:10" ht="14.4" x14ac:dyDescent="0.3">
      <c r="E3973" s="3"/>
      <c r="F3973" s="3"/>
      <c r="G3973" s="3"/>
      <c r="H3973" s="3"/>
      <c r="I3973" s="3"/>
      <c r="J3973" s="3"/>
    </row>
    <row r="3974" spans="5:10" ht="14.4" x14ac:dyDescent="0.3">
      <c r="E3974" s="3"/>
      <c r="F3974" s="3"/>
      <c r="G3974" s="3"/>
      <c r="H3974" s="3"/>
      <c r="I3974" s="3"/>
      <c r="J3974" s="3"/>
    </row>
    <row r="3975" spans="5:10" ht="14.4" x14ac:dyDescent="0.3">
      <c r="E3975" s="3"/>
      <c r="F3975" s="3"/>
      <c r="G3975" s="3"/>
      <c r="H3975" s="3"/>
      <c r="I3975" s="3"/>
      <c r="J3975" s="3"/>
    </row>
    <row r="3976" spans="5:10" ht="14.4" x14ac:dyDescent="0.3">
      <c r="E3976" s="3"/>
      <c r="F3976" s="3"/>
      <c r="G3976" s="3"/>
      <c r="H3976" s="3"/>
      <c r="I3976" s="3"/>
      <c r="J3976" s="3"/>
    </row>
    <row r="3977" spans="5:10" ht="14.4" x14ac:dyDescent="0.3">
      <c r="E3977" s="3"/>
      <c r="F3977" s="3"/>
      <c r="G3977" s="3"/>
      <c r="H3977" s="3"/>
      <c r="I3977" s="3"/>
      <c r="J3977" s="3"/>
    </row>
    <row r="3978" spans="5:10" ht="14.4" x14ac:dyDescent="0.3">
      <c r="E3978" s="3"/>
      <c r="F3978" s="3"/>
      <c r="G3978" s="3"/>
      <c r="H3978" s="3"/>
      <c r="I3978" s="3"/>
      <c r="J3978" s="3"/>
    </row>
    <row r="3979" spans="5:10" ht="14.4" x14ac:dyDescent="0.3">
      <c r="E3979" s="3"/>
      <c r="F3979" s="3"/>
      <c r="G3979" s="3"/>
      <c r="H3979" s="3"/>
      <c r="I3979" s="3"/>
      <c r="J3979" s="3"/>
    </row>
    <row r="3980" spans="5:10" ht="14.4" x14ac:dyDescent="0.3">
      <c r="E3980" s="3"/>
      <c r="F3980" s="3"/>
      <c r="G3980" s="3"/>
      <c r="H3980" s="3"/>
      <c r="I3980" s="3"/>
      <c r="J3980" s="3"/>
    </row>
    <row r="3981" spans="5:10" ht="14.4" x14ac:dyDescent="0.3">
      <c r="E3981" s="3"/>
      <c r="F3981" s="3"/>
      <c r="G3981" s="3"/>
      <c r="H3981" s="3"/>
      <c r="I3981" s="3"/>
      <c r="J3981" s="3"/>
    </row>
    <row r="3982" spans="5:10" ht="14.4" x14ac:dyDescent="0.3">
      <c r="E3982" s="3"/>
      <c r="F3982" s="3"/>
      <c r="G3982" s="3"/>
      <c r="H3982" s="3"/>
      <c r="I3982" s="3"/>
      <c r="J3982" s="3"/>
    </row>
    <row r="3983" spans="5:10" ht="14.4" x14ac:dyDescent="0.3">
      <c r="E3983" s="3"/>
      <c r="F3983" s="3"/>
      <c r="G3983" s="3"/>
      <c r="H3983" s="3"/>
      <c r="I3983" s="3"/>
      <c r="J3983" s="3"/>
    </row>
    <row r="3984" spans="5:10" ht="14.4" x14ac:dyDescent="0.3">
      <c r="E3984" s="3"/>
      <c r="F3984" s="3"/>
      <c r="G3984" s="3"/>
      <c r="H3984" s="3"/>
      <c r="I3984" s="3"/>
      <c r="J3984" s="3"/>
    </row>
    <row r="3985" spans="5:10" ht="14.4" x14ac:dyDescent="0.3">
      <c r="E3985" s="3"/>
      <c r="F3985" s="3"/>
      <c r="G3985" s="3"/>
      <c r="H3985" s="3"/>
      <c r="I3985" s="3"/>
      <c r="J3985" s="3"/>
    </row>
    <row r="3986" spans="5:10" ht="14.4" x14ac:dyDescent="0.3">
      <c r="E3986" s="3"/>
      <c r="F3986" s="3"/>
      <c r="G3986" s="3"/>
      <c r="H3986" s="3"/>
      <c r="I3986" s="3"/>
      <c r="J3986" s="3"/>
    </row>
    <row r="3987" spans="5:10" ht="14.4" x14ac:dyDescent="0.3">
      <c r="E3987" s="3"/>
      <c r="F3987" s="3"/>
      <c r="G3987" s="3"/>
      <c r="H3987" s="3"/>
      <c r="I3987" s="3"/>
      <c r="J3987" s="3"/>
    </row>
    <row r="3988" spans="5:10" ht="14.4" x14ac:dyDescent="0.3">
      <c r="E3988" s="3"/>
      <c r="F3988" s="3"/>
      <c r="G3988" s="3"/>
      <c r="H3988" s="3"/>
      <c r="I3988" s="3"/>
      <c r="J3988" s="3"/>
    </row>
    <row r="3989" spans="5:10" ht="14.4" x14ac:dyDescent="0.3">
      <c r="E3989" s="3"/>
      <c r="F3989" s="3"/>
      <c r="G3989" s="3"/>
      <c r="H3989" s="3"/>
      <c r="I3989" s="3"/>
      <c r="J3989" s="3"/>
    </row>
    <row r="3990" spans="5:10" ht="14.4" x14ac:dyDescent="0.3">
      <c r="E3990" s="3"/>
      <c r="F3990" s="3"/>
      <c r="G3990" s="3"/>
      <c r="H3990" s="3"/>
      <c r="I3990" s="3"/>
      <c r="J3990" s="3"/>
    </row>
    <row r="3991" spans="5:10" ht="14.4" x14ac:dyDescent="0.3">
      <c r="E3991" s="3"/>
      <c r="F3991" s="3"/>
      <c r="G3991" s="3"/>
      <c r="H3991" s="3"/>
      <c r="I3991" s="3"/>
      <c r="J3991" s="3"/>
    </row>
    <row r="3992" spans="5:10" ht="14.4" x14ac:dyDescent="0.3">
      <c r="E3992" s="3"/>
      <c r="F3992" s="3"/>
      <c r="G3992" s="3"/>
      <c r="H3992" s="3"/>
      <c r="I3992" s="3"/>
      <c r="J3992" s="3"/>
    </row>
    <row r="3993" spans="5:10" ht="14.4" x14ac:dyDescent="0.3">
      <c r="E3993" s="3"/>
      <c r="F3993" s="3"/>
      <c r="G3993" s="3"/>
      <c r="H3993" s="3"/>
      <c r="I3993" s="3"/>
      <c r="J3993" s="3"/>
    </row>
    <row r="3994" spans="5:10" ht="14.4" x14ac:dyDescent="0.3">
      <c r="E3994" s="3"/>
      <c r="F3994" s="3"/>
      <c r="G3994" s="3"/>
      <c r="H3994" s="3"/>
      <c r="I3994" s="3"/>
      <c r="J3994" s="3"/>
    </row>
    <row r="3995" spans="5:10" ht="14.4" x14ac:dyDescent="0.3">
      <c r="E3995" s="3"/>
      <c r="F3995" s="3"/>
      <c r="G3995" s="3"/>
      <c r="H3995" s="3"/>
      <c r="I3995" s="3"/>
      <c r="J3995" s="3"/>
    </row>
    <row r="3996" spans="5:10" ht="14.4" x14ac:dyDescent="0.3">
      <c r="E3996" s="3"/>
      <c r="F3996" s="3"/>
      <c r="G3996" s="3"/>
      <c r="H3996" s="3"/>
      <c r="I3996" s="3"/>
      <c r="J3996" s="3"/>
    </row>
    <row r="3997" spans="5:10" ht="14.4" x14ac:dyDescent="0.3">
      <c r="E3997" s="3"/>
      <c r="F3997" s="3"/>
      <c r="G3997" s="3"/>
      <c r="H3997" s="3"/>
      <c r="I3997" s="3"/>
      <c r="J3997" s="3"/>
    </row>
    <row r="3998" spans="5:10" ht="14.4" x14ac:dyDescent="0.3">
      <c r="E3998" s="3"/>
      <c r="F3998" s="3"/>
      <c r="G3998" s="3"/>
      <c r="H3998" s="3"/>
      <c r="I3998" s="3"/>
      <c r="J3998" s="3"/>
    </row>
    <row r="3999" spans="5:10" ht="14.4" x14ac:dyDescent="0.3">
      <c r="E3999" s="3"/>
      <c r="F3999" s="3"/>
      <c r="G3999" s="3"/>
      <c r="H3999" s="3"/>
      <c r="I3999" s="3"/>
      <c r="J3999" s="3"/>
    </row>
    <row r="4000" spans="5:10" ht="14.4" x14ac:dyDescent="0.3">
      <c r="E4000" s="3"/>
      <c r="F4000" s="3"/>
      <c r="G4000" s="3"/>
      <c r="H4000" s="3"/>
      <c r="I4000" s="3"/>
      <c r="J4000" s="3"/>
    </row>
    <row r="4001" spans="5:10" ht="14.4" x14ac:dyDescent="0.3">
      <c r="E4001" s="3"/>
      <c r="F4001" s="3"/>
      <c r="G4001" s="3"/>
      <c r="H4001" s="3"/>
      <c r="I4001" s="3"/>
      <c r="J4001" s="3"/>
    </row>
    <row r="4002" spans="5:10" ht="14.4" x14ac:dyDescent="0.3">
      <c r="E4002" s="3"/>
      <c r="F4002" s="3"/>
      <c r="G4002" s="3"/>
      <c r="H4002" s="3"/>
      <c r="I4002" s="3"/>
      <c r="J4002" s="3"/>
    </row>
    <row r="4003" spans="5:10" ht="14.4" x14ac:dyDescent="0.3">
      <c r="E4003" s="3"/>
      <c r="F4003" s="3"/>
      <c r="G4003" s="3"/>
      <c r="H4003" s="3"/>
      <c r="I4003" s="3"/>
      <c r="J4003" s="3"/>
    </row>
    <row r="4004" spans="5:10" ht="14.4" x14ac:dyDescent="0.3">
      <c r="E4004" s="3"/>
      <c r="F4004" s="3"/>
      <c r="G4004" s="3"/>
      <c r="H4004" s="3"/>
      <c r="I4004" s="3"/>
      <c r="J4004" s="3"/>
    </row>
    <row r="4005" spans="5:10" ht="14.4" x14ac:dyDescent="0.3">
      <c r="E4005" s="3"/>
      <c r="F4005" s="3"/>
      <c r="G4005" s="3"/>
      <c r="H4005" s="3"/>
      <c r="I4005" s="3"/>
      <c r="J4005" s="3"/>
    </row>
    <row r="4006" spans="5:10" ht="14.4" x14ac:dyDescent="0.3">
      <c r="E4006" s="3"/>
      <c r="F4006" s="3"/>
      <c r="G4006" s="3"/>
      <c r="H4006" s="3"/>
      <c r="I4006" s="3"/>
      <c r="J4006" s="3"/>
    </row>
    <row r="4007" spans="5:10" ht="14.4" x14ac:dyDescent="0.3">
      <c r="E4007" s="3"/>
      <c r="F4007" s="3"/>
      <c r="G4007" s="3"/>
      <c r="H4007" s="3"/>
      <c r="I4007" s="3"/>
      <c r="J4007" s="3"/>
    </row>
    <row r="4008" spans="5:10" ht="14.4" x14ac:dyDescent="0.3">
      <c r="E4008" s="3"/>
      <c r="F4008" s="3"/>
      <c r="G4008" s="3"/>
      <c r="H4008" s="3"/>
      <c r="I4008" s="3"/>
      <c r="J4008" s="3"/>
    </row>
    <row r="4009" spans="5:10" ht="14.4" x14ac:dyDescent="0.3">
      <c r="E4009" s="3"/>
      <c r="F4009" s="3"/>
      <c r="G4009" s="3"/>
      <c r="H4009" s="3"/>
      <c r="I4009" s="3"/>
      <c r="J4009" s="3"/>
    </row>
    <row r="4010" spans="5:10" ht="14.4" x14ac:dyDescent="0.3">
      <c r="E4010" s="3"/>
      <c r="F4010" s="3"/>
      <c r="G4010" s="3"/>
      <c r="H4010" s="3"/>
      <c r="I4010" s="3"/>
      <c r="J4010" s="3"/>
    </row>
    <row r="4011" spans="5:10" ht="14.4" x14ac:dyDescent="0.3">
      <c r="E4011" s="3"/>
      <c r="F4011" s="3"/>
      <c r="G4011" s="3"/>
      <c r="H4011" s="3"/>
      <c r="I4011" s="3"/>
      <c r="J4011" s="3"/>
    </row>
    <row r="4012" spans="5:10" ht="14.4" x14ac:dyDescent="0.3">
      <c r="E4012" s="3"/>
      <c r="F4012" s="3"/>
      <c r="G4012" s="3"/>
      <c r="H4012" s="3"/>
      <c r="I4012" s="3"/>
      <c r="J4012" s="3"/>
    </row>
    <row r="4013" spans="5:10" ht="14.4" x14ac:dyDescent="0.3">
      <c r="E4013" s="3"/>
      <c r="F4013" s="3"/>
      <c r="G4013" s="3"/>
      <c r="H4013" s="3"/>
      <c r="I4013" s="3"/>
      <c r="J4013" s="3"/>
    </row>
    <row r="4014" spans="5:10" ht="14.4" x14ac:dyDescent="0.3">
      <c r="E4014" s="3"/>
      <c r="F4014" s="3"/>
      <c r="G4014" s="3"/>
      <c r="H4014" s="3"/>
      <c r="I4014" s="3"/>
      <c r="J4014" s="3"/>
    </row>
    <row r="4015" spans="5:10" ht="14.4" x14ac:dyDescent="0.3">
      <c r="E4015" s="3"/>
      <c r="F4015" s="3"/>
      <c r="G4015" s="3"/>
      <c r="H4015" s="3"/>
      <c r="I4015" s="3"/>
      <c r="J4015" s="3"/>
    </row>
    <row r="4016" spans="5:10" ht="14.4" x14ac:dyDescent="0.3">
      <c r="E4016" s="3"/>
      <c r="F4016" s="3"/>
      <c r="G4016" s="3"/>
      <c r="H4016" s="3"/>
      <c r="I4016" s="3"/>
      <c r="J4016" s="3"/>
    </row>
    <row r="4017" spans="5:10" ht="14.4" x14ac:dyDescent="0.3">
      <c r="E4017" s="3"/>
      <c r="F4017" s="3"/>
      <c r="G4017" s="3"/>
      <c r="H4017" s="3"/>
      <c r="I4017" s="3"/>
      <c r="J4017" s="3"/>
    </row>
    <row r="4018" spans="5:10" ht="14.4" x14ac:dyDescent="0.3">
      <c r="E4018" s="3"/>
      <c r="F4018" s="3"/>
      <c r="G4018" s="3"/>
      <c r="H4018" s="3"/>
      <c r="I4018" s="3"/>
      <c r="J4018" s="3"/>
    </row>
    <row r="4019" spans="5:10" ht="14.4" x14ac:dyDescent="0.3">
      <c r="E4019" s="3"/>
      <c r="F4019" s="3"/>
      <c r="G4019" s="3"/>
      <c r="H4019" s="3"/>
      <c r="I4019" s="3"/>
      <c r="J4019" s="3"/>
    </row>
    <row r="4020" spans="5:10" ht="14.4" x14ac:dyDescent="0.3">
      <c r="E4020" s="3"/>
      <c r="F4020" s="3"/>
      <c r="G4020" s="3"/>
      <c r="H4020" s="3"/>
      <c r="I4020" s="3"/>
      <c r="J4020" s="3"/>
    </row>
    <row r="4021" spans="5:10" ht="14.4" x14ac:dyDescent="0.3">
      <c r="E4021" s="3"/>
      <c r="F4021" s="3"/>
      <c r="G4021" s="3"/>
      <c r="H4021" s="3"/>
      <c r="I4021" s="3"/>
      <c r="J4021" s="3"/>
    </row>
    <row r="4022" spans="5:10" ht="14.4" x14ac:dyDescent="0.3">
      <c r="E4022" s="3"/>
      <c r="F4022" s="3"/>
      <c r="G4022" s="3"/>
      <c r="H4022" s="3"/>
      <c r="I4022" s="3"/>
      <c r="J4022" s="3"/>
    </row>
    <row r="4023" spans="5:10" ht="14.4" x14ac:dyDescent="0.3">
      <c r="E4023" s="3"/>
      <c r="F4023" s="3"/>
      <c r="G4023" s="3"/>
      <c r="H4023" s="3"/>
      <c r="I4023" s="3"/>
      <c r="J4023" s="3"/>
    </row>
    <row r="4024" spans="5:10" ht="14.4" x14ac:dyDescent="0.3">
      <c r="E4024" s="3"/>
      <c r="F4024" s="3"/>
      <c r="G4024" s="3"/>
      <c r="H4024" s="3"/>
      <c r="I4024" s="3"/>
      <c r="J4024" s="3"/>
    </row>
    <row r="4025" spans="5:10" ht="14.4" x14ac:dyDescent="0.3">
      <c r="E4025" s="3"/>
      <c r="F4025" s="3"/>
      <c r="G4025" s="3"/>
      <c r="H4025" s="3"/>
      <c r="I4025" s="3"/>
      <c r="J4025" s="3"/>
    </row>
    <row r="4026" spans="5:10" ht="14.4" x14ac:dyDescent="0.3">
      <c r="E4026" s="3"/>
      <c r="F4026" s="3"/>
      <c r="G4026" s="3"/>
      <c r="H4026" s="3"/>
      <c r="I4026" s="3"/>
      <c r="J4026" s="3"/>
    </row>
    <row r="4027" spans="5:10" ht="14.4" x14ac:dyDescent="0.3">
      <c r="E4027" s="3"/>
      <c r="F4027" s="3"/>
      <c r="G4027" s="3"/>
      <c r="H4027" s="3"/>
      <c r="I4027" s="3"/>
      <c r="J4027" s="3"/>
    </row>
    <row r="4028" spans="5:10" ht="14.4" x14ac:dyDescent="0.3">
      <c r="E4028" s="3"/>
      <c r="F4028" s="3"/>
      <c r="G4028" s="3"/>
      <c r="H4028" s="3"/>
      <c r="I4028" s="3"/>
      <c r="J4028" s="3"/>
    </row>
    <row r="4029" spans="5:10" ht="14.4" x14ac:dyDescent="0.3">
      <c r="E4029" s="3"/>
      <c r="F4029" s="3"/>
      <c r="G4029" s="3"/>
      <c r="H4029" s="3"/>
      <c r="I4029" s="3"/>
      <c r="J4029" s="3"/>
    </row>
    <row r="4030" spans="5:10" ht="14.4" x14ac:dyDescent="0.3">
      <c r="E4030" s="3"/>
      <c r="F4030" s="3"/>
      <c r="G4030" s="3"/>
      <c r="H4030" s="3"/>
      <c r="I4030" s="3"/>
      <c r="J4030" s="3"/>
    </row>
    <row r="4031" spans="5:10" ht="14.4" x14ac:dyDescent="0.3">
      <c r="E4031" s="3"/>
      <c r="F4031" s="3"/>
      <c r="G4031" s="3"/>
      <c r="H4031" s="3"/>
      <c r="I4031" s="3"/>
      <c r="J4031" s="3"/>
    </row>
    <row r="4032" spans="5:10" ht="14.4" x14ac:dyDescent="0.3">
      <c r="E4032" s="3"/>
      <c r="F4032" s="3"/>
      <c r="G4032" s="3"/>
      <c r="H4032" s="3"/>
      <c r="I4032" s="3"/>
      <c r="J4032" s="3"/>
    </row>
    <row r="4033" spans="5:10" ht="14.4" x14ac:dyDescent="0.3">
      <c r="E4033" s="3"/>
      <c r="F4033" s="3"/>
      <c r="G4033" s="3"/>
      <c r="H4033" s="3"/>
      <c r="I4033" s="3"/>
      <c r="J4033" s="3"/>
    </row>
    <row r="4034" spans="5:10" ht="14.4" x14ac:dyDescent="0.3">
      <c r="E4034" s="3"/>
      <c r="F4034" s="3"/>
      <c r="G4034" s="3"/>
      <c r="H4034" s="3"/>
      <c r="I4034" s="3"/>
      <c r="J4034" s="3"/>
    </row>
    <row r="4035" spans="5:10" ht="14.4" x14ac:dyDescent="0.3">
      <c r="E4035" s="3"/>
      <c r="F4035" s="3"/>
      <c r="G4035" s="3"/>
      <c r="H4035" s="3"/>
      <c r="I4035" s="3"/>
      <c r="J4035" s="3"/>
    </row>
    <row r="4036" spans="5:10" ht="14.4" x14ac:dyDescent="0.3">
      <c r="E4036" s="3"/>
      <c r="F4036" s="3"/>
      <c r="G4036" s="3"/>
      <c r="H4036" s="3"/>
      <c r="I4036" s="3"/>
      <c r="J4036" s="3"/>
    </row>
    <row r="4037" spans="5:10" ht="14.4" x14ac:dyDescent="0.3">
      <c r="E4037" s="3"/>
      <c r="F4037" s="3"/>
      <c r="G4037" s="3"/>
      <c r="H4037" s="3"/>
      <c r="I4037" s="3"/>
      <c r="J4037" s="3"/>
    </row>
    <row r="4038" spans="5:10" ht="14.4" x14ac:dyDescent="0.3">
      <c r="E4038" s="3"/>
      <c r="F4038" s="3"/>
      <c r="G4038" s="3"/>
      <c r="H4038" s="3"/>
      <c r="I4038" s="3"/>
      <c r="J4038" s="3"/>
    </row>
    <row r="4039" spans="5:10" ht="14.4" x14ac:dyDescent="0.3">
      <c r="E4039" s="3"/>
      <c r="F4039" s="3"/>
      <c r="G4039" s="3"/>
      <c r="H4039" s="3"/>
      <c r="I4039" s="3"/>
      <c r="J4039" s="3"/>
    </row>
    <row r="4040" spans="5:10" ht="14.4" x14ac:dyDescent="0.3">
      <c r="E4040" s="3"/>
      <c r="F4040" s="3"/>
      <c r="G4040" s="3"/>
      <c r="H4040" s="3"/>
      <c r="I4040" s="3"/>
      <c r="J4040" s="3"/>
    </row>
    <row r="4041" spans="5:10" ht="14.4" x14ac:dyDescent="0.3">
      <c r="E4041" s="3"/>
      <c r="F4041" s="3"/>
      <c r="G4041" s="3"/>
      <c r="H4041" s="3"/>
      <c r="I4041" s="3"/>
      <c r="J4041" s="3"/>
    </row>
    <row r="4042" spans="5:10" ht="14.4" x14ac:dyDescent="0.3">
      <c r="E4042" s="3"/>
      <c r="F4042" s="3"/>
      <c r="G4042" s="3"/>
      <c r="H4042" s="3"/>
      <c r="I4042" s="3"/>
      <c r="J4042" s="3"/>
    </row>
    <row r="4043" spans="5:10" ht="14.4" x14ac:dyDescent="0.3">
      <c r="E4043" s="3"/>
      <c r="F4043" s="3"/>
      <c r="G4043" s="3"/>
      <c r="H4043" s="3"/>
      <c r="I4043" s="3"/>
      <c r="J4043" s="3"/>
    </row>
    <row r="4044" spans="5:10" ht="14.4" x14ac:dyDescent="0.3">
      <c r="E4044" s="3"/>
      <c r="F4044" s="3"/>
      <c r="G4044" s="3"/>
      <c r="H4044" s="3"/>
      <c r="I4044" s="3"/>
      <c r="J4044" s="3"/>
    </row>
    <row r="4045" spans="5:10" ht="14.4" x14ac:dyDescent="0.3">
      <c r="E4045" s="3"/>
      <c r="F4045" s="3"/>
      <c r="G4045" s="3"/>
      <c r="H4045" s="3"/>
      <c r="I4045" s="3"/>
      <c r="J4045" s="3"/>
    </row>
    <row r="4046" spans="5:10" ht="14.4" x14ac:dyDescent="0.3">
      <c r="E4046" s="3"/>
      <c r="F4046" s="3"/>
      <c r="G4046" s="3"/>
      <c r="H4046" s="3"/>
      <c r="I4046" s="3"/>
      <c r="J4046" s="3"/>
    </row>
    <row r="4047" spans="5:10" ht="14.4" x14ac:dyDescent="0.3">
      <c r="E4047" s="3"/>
      <c r="F4047" s="3"/>
      <c r="G4047" s="3"/>
      <c r="H4047" s="3"/>
      <c r="I4047" s="3"/>
      <c r="J4047" s="3"/>
    </row>
    <row r="4048" spans="5:10" ht="14.4" x14ac:dyDescent="0.3">
      <c r="E4048" s="3"/>
      <c r="F4048" s="3"/>
      <c r="G4048" s="3"/>
      <c r="H4048" s="3"/>
      <c r="I4048" s="3"/>
      <c r="J4048" s="3"/>
    </row>
    <row r="4049" spans="5:10" ht="14.4" x14ac:dyDescent="0.3">
      <c r="E4049" s="3"/>
      <c r="F4049" s="3"/>
      <c r="G4049" s="3"/>
      <c r="H4049" s="3"/>
      <c r="I4049" s="3"/>
      <c r="J4049" s="3"/>
    </row>
    <row r="4050" spans="5:10" ht="14.4" x14ac:dyDescent="0.3">
      <c r="E4050" s="3"/>
      <c r="F4050" s="3"/>
      <c r="G4050" s="3"/>
      <c r="H4050" s="3"/>
      <c r="I4050" s="3"/>
      <c r="J4050" s="3"/>
    </row>
    <row r="4051" spans="5:10" ht="14.4" x14ac:dyDescent="0.3">
      <c r="E4051" s="3"/>
      <c r="F4051" s="3"/>
      <c r="G4051" s="3"/>
      <c r="H4051" s="3"/>
      <c r="I4051" s="3"/>
      <c r="J4051" s="3"/>
    </row>
    <row r="4052" spans="5:10" ht="14.4" x14ac:dyDescent="0.3">
      <c r="E4052" s="3"/>
      <c r="F4052" s="3"/>
      <c r="G4052" s="3"/>
      <c r="H4052" s="3"/>
      <c r="I4052" s="3"/>
      <c r="J4052" s="3"/>
    </row>
    <row r="4053" spans="5:10" ht="14.4" x14ac:dyDescent="0.3">
      <c r="E4053" s="3"/>
      <c r="F4053" s="3"/>
      <c r="G4053" s="3"/>
      <c r="H4053" s="3"/>
      <c r="I4053" s="3"/>
      <c r="J4053" s="3"/>
    </row>
    <row r="4054" spans="5:10" ht="14.4" x14ac:dyDescent="0.3">
      <c r="E4054" s="3"/>
      <c r="F4054" s="3"/>
      <c r="G4054" s="3"/>
      <c r="H4054" s="3"/>
      <c r="I4054" s="3"/>
      <c r="J4054" s="3"/>
    </row>
    <row r="4055" spans="5:10" ht="14.4" x14ac:dyDescent="0.3">
      <c r="E4055" s="3"/>
      <c r="F4055" s="3"/>
      <c r="G4055" s="3"/>
      <c r="H4055" s="3"/>
      <c r="I4055" s="3"/>
      <c r="J4055" s="3"/>
    </row>
    <row r="4056" spans="5:10" ht="14.4" x14ac:dyDescent="0.3">
      <c r="E4056" s="3"/>
      <c r="F4056" s="3"/>
      <c r="G4056" s="3"/>
      <c r="H4056" s="3"/>
      <c r="I4056" s="3"/>
      <c r="J4056" s="3"/>
    </row>
    <row r="4057" spans="5:10" ht="14.4" x14ac:dyDescent="0.3">
      <c r="E4057" s="3"/>
      <c r="F4057" s="3"/>
      <c r="G4057" s="3"/>
      <c r="H4057" s="3"/>
      <c r="I4057" s="3"/>
      <c r="J4057" s="3"/>
    </row>
    <row r="4058" spans="5:10" ht="14.4" x14ac:dyDescent="0.3">
      <c r="E4058" s="3"/>
      <c r="F4058" s="3"/>
      <c r="G4058" s="3"/>
      <c r="H4058" s="3"/>
      <c r="I4058" s="3"/>
      <c r="J4058" s="3"/>
    </row>
    <row r="4059" spans="5:10" ht="14.4" x14ac:dyDescent="0.3">
      <c r="E4059" s="3"/>
      <c r="F4059" s="3"/>
      <c r="G4059" s="3"/>
      <c r="H4059" s="3"/>
      <c r="I4059" s="3"/>
      <c r="J4059" s="3"/>
    </row>
    <row r="4060" spans="5:10" ht="14.4" x14ac:dyDescent="0.3">
      <c r="E4060" s="3"/>
      <c r="F4060" s="3"/>
      <c r="G4060" s="3"/>
      <c r="H4060" s="3"/>
      <c r="I4060" s="3"/>
      <c r="J4060" s="3"/>
    </row>
    <row r="4061" spans="5:10" ht="14.4" x14ac:dyDescent="0.3">
      <c r="E4061" s="3"/>
      <c r="F4061" s="3"/>
      <c r="G4061" s="3"/>
      <c r="H4061" s="3"/>
      <c r="I4061" s="3"/>
      <c r="J4061" s="3"/>
    </row>
    <row r="4062" spans="5:10" ht="14.4" x14ac:dyDescent="0.3">
      <c r="E4062" s="3"/>
      <c r="F4062" s="3"/>
      <c r="G4062" s="3"/>
      <c r="H4062" s="3"/>
      <c r="I4062" s="3"/>
      <c r="J4062" s="3"/>
    </row>
    <row r="4063" spans="5:10" ht="14.4" x14ac:dyDescent="0.3">
      <c r="E4063" s="3"/>
      <c r="F4063" s="3"/>
      <c r="G4063" s="3"/>
      <c r="H4063" s="3"/>
      <c r="I4063" s="3"/>
      <c r="J4063" s="3"/>
    </row>
    <row r="4064" spans="5:10" ht="14.4" x14ac:dyDescent="0.3">
      <c r="E4064" s="3"/>
      <c r="F4064" s="3"/>
      <c r="G4064" s="3"/>
      <c r="H4064" s="3"/>
      <c r="I4064" s="3"/>
      <c r="J4064" s="3"/>
    </row>
    <row r="4065" spans="5:10" ht="14.4" x14ac:dyDescent="0.3">
      <c r="E4065" s="3"/>
      <c r="F4065" s="3"/>
      <c r="G4065" s="3"/>
      <c r="H4065" s="3"/>
      <c r="I4065" s="3"/>
      <c r="J4065" s="3"/>
    </row>
    <row r="4066" spans="5:10" ht="14.4" x14ac:dyDescent="0.3">
      <c r="E4066" s="3"/>
      <c r="F4066" s="3"/>
      <c r="G4066" s="3"/>
      <c r="H4066" s="3"/>
      <c r="I4066" s="3"/>
      <c r="J4066" s="3"/>
    </row>
    <row r="4067" spans="5:10" ht="14.4" x14ac:dyDescent="0.3">
      <c r="E4067" s="3"/>
      <c r="F4067" s="3"/>
      <c r="G4067" s="3"/>
      <c r="H4067" s="3"/>
      <c r="I4067" s="3"/>
      <c r="J4067" s="3"/>
    </row>
    <row r="4068" spans="5:10" ht="14.4" x14ac:dyDescent="0.3">
      <c r="E4068" s="3"/>
      <c r="F4068" s="3"/>
      <c r="G4068" s="3"/>
      <c r="H4068" s="3"/>
      <c r="I4068" s="3"/>
      <c r="J4068" s="3"/>
    </row>
    <row r="4069" spans="5:10" ht="14.4" x14ac:dyDescent="0.3">
      <c r="E4069" s="3"/>
      <c r="F4069" s="3"/>
      <c r="G4069" s="3"/>
      <c r="H4069" s="3"/>
      <c r="I4069" s="3"/>
      <c r="J4069" s="3"/>
    </row>
    <row r="4070" spans="5:10" ht="14.4" x14ac:dyDescent="0.3">
      <c r="E4070" s="3"/>
      <c r="F4070" s="3"/>
      <c r="G4070" s="3"/>
      <c r="H4070" s="3"/>
      <c r="I4070" s="3"/>
      <c r="J4070" s="3"/>
    </row>
    <row r="4071" spans="5:10" ht="14.4" x14ac:dyDescent="0.3">
      <c r="E4071" s="3"/>
      <c r="F4071" s="3"/>
      <c r="G4071" s="3"/>
      <c r="H4071" s="3"/>
      <c r="I4071" s="3"/>
      <c r="J4071" s="3"/>
    </row>
    <row r="4072" spans="5:10" ht="14.4" x14ac:dyDescent="0.3">
      <c r="E4072" s="3"/>
      <c r="F4072" s="3"/>
      <c r="G4072" s="3"/>
      <c r="H4072" s="3"/>
      <c r="I4072" s="3"/>
      <c r="J4072" s="3"/>
    </row>
    <row r="4073" spans="5:10" ht="14.4" x14ac:dyDescent="0.3">
      <c r="E4073" s="3"/>
      <c r="F4073" s="3"/>
      <c r="G4073" s="3"/>
      <c r="H4073" s="3"/>
      <c r="I4073" s="3"/>
      <c r="J4073" s="3"/>
    </row>
    <row r="4074" spans="5:10" ht="14.4" x14ac:dyDescent="0.3">
      <c r="E4074" s="3"/>
      <c r="F4074" s="3"/>
      <c r="G4074" s="3"/>
      <c r="H4074" s="3"/>
      <c r="I4074" s="3"/>
      <c r="J4074" s="3"/>
    </row>
    <row r="4075" spans="5:10" ht="14.4" x14ac:dyDescent="0.3">
      <c r="E4075" s="3"/>
      <c r="F4075" s="3"/>
      <c r="G4075" s="3"/>
      <c r="H4075" s="3"/>
      <c r="I4075" s="3"/>
      <c r="J4075" s="3"/>
    </row>
    <row r="4076" spans="5:10" ht="14.4" x14ac:dyDescent="0.3">
      <c r="E4076" s="3"/>
      <c r="F4076" s="3"/>
      <c r="G4076" s="3"/>
      <c r="H4076" s="3"/>
      <c r="I4076" s="3"/>
      <c r="J4076" s="3"/>
    </row>
    <row r="4077" spans="5:10" ht="14.4" x14ac:dyDescent="0.3">
      <c r="E4077" s="3"/>
      <c r="F4077" s="3"/>
      <c r="G4077" s="3"/>
      <c r="H4077" s="3"/>
      <c r="I4077" s="3"/>
      <c r="J4077" s="3"/>
    </row>
    <row r="4078" spans="5:10" ht="14.4" x14ac:dyDescent="0.3">
      <c r="E4078" s="3"/>
      <c r="F4078" s="3"/>
      <c r="G4078" s="3"/>
      <c r="H4078" s="3"/>
      <c r="I4078" s="3"/>
      <c r="J4078" s="3"/>
    </row>
    <row r="4079" spans="5:10" ht="14.4" x14ac:dyDescent="0.3">
      <c r="E4079" s="3"/>
      <c r="F4079" s="3"/>
      <c r="G4079" s="3"/>
      <c r="H4079" s="3"/>
      <c r="I4079" s="3"/>
      <c r="J4079" s="3"/>
    </row>
    <row r="4080" spans="5:10" ht="14.4" x14ac:dyDescent="0.3">
      <c r="E4080" s="3"/>
      <c r="F4080" s="3"/>
      <c r="G4080" s="3"/>
      <c r="H4080" s="3"/>
      <c r="I4080" s="3"/>
      <c r="J4080" s="3"/>
    </row>
    <row r="4081" spans="5:10" ht="14.4" x14ac:dyDescent="0.3">
      <c r="E4081" s="3"/>
      <c r="F4081" s="3"/>
      <c r="G4081" s="3"/>
      <c r="H4081" s="3"/>
      <c r="I4081" s="3"/>
      <c r="J4081" s="3"/>
    </row>
    <row r="4082" spans="5:10" ht="14.4" x14ac:dyDescent="0.3">
      <c r="E4082" s="3"/>
      <c r="F4082" s="3"/>
      <c r="G4082" s="3"/>
      <c r="H4082" s="3"/>
      <c r="I4082" s="3"/>
      <c r="J4082" s="3"/>
    </row>
    <row r="4083" spans="5:10" ht="14.4" x14ac:dyDescent="0.3">
      <c r="E4083" s="3"/>
      <c r="F4083" s="3"/>
      <c r="G4083" s="3"/>
      <c r="H4083" s="3"/>
      <c r="I4083" s="3"/>
      <c r="J4083" s="3"/>
    </row>
    <row r="4084" spans="5:10" ht="14.4" x14ac:dyDescent="0.3">
      <c r="E4084" s="3"/>
      <c r="F4084" s="3"/>
      <c r="G4084" s="3"/>
      <c r="H4084" s="3"/>
      <c r="I4084" s="3"/>
      <c r="J4084" s="3"/>
    </row>
    <row r="4085" spans="5:10" ht="14.4" x14ac:dyDescent="0.3">
      <c r="E4085" s="3"/>
      <c r="F4085" s="3"/>
      <c r="G4085" s="3"/>
      <c r="H4085" s="3"/>
      <c r="I4085" s="3"/>
      <c r="J4085" s="3"/>
    </row>
    <row r="4086" spans="5:10" ht="14.4" x14ac:dyDescent="0.3">
      <c r="E4086" s="3"/>
      <c r="F4086" s="3"/>
      <c r="G4086" s="3"/>
      <c r="H4086" s="3"/>
      <c r="I4086" s="3"/>
      <c r="J4086" s="3"/>
    </row>
    <row r="4087" spans="5:10" ht="14.4" x14ac:dyDescent="0.3">
      <c r="E4087" s="3"/>
      <c r="F4087" s="3"/>
      <c r="G4087" s="3"/>
      <c r="H4087" s="3"/>
      <c r="I4087" s="3"/>
      <c r="J4087" s="3"/>
    </row>
    <row r="4088" spans="5:10" ht="14.4" x14ac:dyDescent="0.3">
      <c r="E4088" s="3"/>
      <c r="F4088" s="3"/>
      <c r="G4088" s="3"/>
      <c r="H4088" s="3"/>
      <c r="I4088" s="3"/>
      <c r="J4088" s="3"/>
    </row>
    <row r="4089" spans="5:10" ht="14.4" x14ac:dyDescent="0.3">
      <c r="E4089" s="3"/>
      <c r="F4089" s="3"/>
      <c r="G4089" s="3"/>
      <c r="H4089" s="3"/>
      <c r="I4089" s="3"/>
      <c r="J4089" s="3"/>
    </row>
    <row r="4090" spans="5:10" ht="14.4" x14ac:dyDescent="0.3">
      <c r="E4090" s="3"/>
      <c r="F4090" s="3"/>
      <c r="G4090" s="3"/>
      <c r="H4090" s="3"/>
      <c r="I4090" s="3"/>
      <c r="J4090" s="3"/>
    </row>
    <row r="4091" spans="5:10" ht="14.4" x14ac:dyDescent="0.3">
      <c r="E4091" s="3"/>
      <c r="F4091" s="3"/>
      <c r="G4091" s="3"/>
      <c r="H4091" s="3"/>
      <c r="I4091" s="3"/>
      <c r="J4091" s="3"/>
    </row>
    <row r="4092" spans="5:10" ht="14.4" x14ac:dyDescent="0.3">
      <c r="E4092" s="3"/>
      <c r="F4092" s="3"/>
      <c r="G4092" s="3"/>
      <c r="H4092" s="3"/>
      <c r="I4092" s="3"/>
      <c r="J4092" s="3"/>
    </row>
    <row r="4093" spans="5:10" ht="14.4" x14ac:dyDescent="0.3">
      <c r="E4093" s="3"/>
      <c r="F4093" s="3"/>
      <c r="G4093" s="3"/>
      <c r="H4093" s="3"/>
      <c r="I4093" s="3"/>
      <c r="J4093" s="3"/>
    </row>
    <row r="4094" spans="5:10" ht="14.4" x14ac:dyDescent="0.3">
      <c r="E4094" s="3"/>
      <c r="F4094" s="3"/>
      <c r="G4094" s="3"/>
      <c r="H4094" s="3"/>
      <c r="I4094" s="3"/>
      <c r="J4094" s="3"/>
    </row>
    <row r="4095" spans="5:10" ht="14.4" x14ac:dyDescent="0.3">
      <c r="E4095" s="3"/>
      <c r="F4095" s="3"/>
      <c r="G4095" s="3"/>
      <c r="H4095" s="3"/>
      <c r="I4095" s="3"/>
      <c r="J4095" s="3"/>
    </row>
    <row r="4096" spans="5:10" ht="14.4" x14ac:dyDescent="0.3">
      <c r="E4096" s="3"/>
      <c r="F4096" s="3"/>
      <c r="G4096" s="3"/>
      <c r="H4096" s="3"/>
      <c r="I4096" s="3"/>
      <c r="J4096" s="3"/>
    </row>
    <row r="4097" spans="5:10" ht="14.4" x14ac:dyDescent="0.3">
      <c r="E4097" s="3"/>
      <c r="F4097" s="3"/>
      <c r="G4097" s="3"/>
      <c r="H4097" s="3"/>
      <c r="I4097" s="3"/>
      <c r="J4097" s="3"/>
    </row>
    <row r="4098" spans="5:10" ht="14.4" x14ac:dyDescent="0.3">
      <c r="E4098" s="3"/>
      <c r="F4098" s="3"/>
      <c r="G4098" s="3"/>
      <c r="H4098" s="3"/>
      <c r="I4098" s="3"/>
      <c r="J4098" s="3"/>
    </row>
    <row r="4099" spans="5:10" ht="14.4" x14ac:dyDescent="0.3">
      <c r="E4099" s="3"/>
      <c r="F4099" s="3"/>
      <c r="G4099" s="3"/>
      <c r="H4099" s="3"/>
      <c r="I4099" s="3"/>
      <c r="J4099" s="3"/>
    </row>
    <row r="4100" spans="5:10" ht="14.4" x14ac:dyDescent="0.3">
      <c r="E4100" s="3"/>
      <c r="F4100" s="3"/>
      <c r="G4100" s="3"/>
      <c r="H4100" s="3"/>
      <c r="I4100" s="3"/>
      <c r="J4100" s="3"/>
    </row>
    <row r="4101" spans="5:10" ht="14.4" x14ac:dyDescent="0.3">
      <c r="E4101" s="3"/>
      <c r="F4101" s="3"/>
      <c r="G4101" s="3"/>
      <c r="H4101" s="3"/>
      <c r="I4101" s="3"/>
      <c r="J4101" s="3"/>
    </row>
    <row r="4102" spans="5:10" ht="14.4" x14ac:dyDescent="0.3">
      <c r="E4102" s="3"/>
      <c r="F4102" s="3"/>
      <c r="G4102" s="3"/>
      <c r="H4102" s="3"/>
      <c r="I4102" s="3"/>
      <c r="J4102" s="3"/>
    </row>
    <row r="4103" spans="5:10" ht="14.4" x14ac:dyDescent="0.3">
      <c r="E4103" s="3"/>
      <c r="F4103" s="3"/>
      <c r="G4103" s="3"/>
      <c r="H4103" s="3"/>
      <c r="I4103" s="3"/>
      <c r="J4103" s="3"/>
    </row>
    <row r="4104" spans="5:10" ht="14.4" x14ac:dyDescent="0.3">
      <c r="E4104" s="3"/>
      <c r="F4104" s="3"/>
      <c r="G4104" s="3"/>
      <c r="H4104" s="3"/>
      <c r="I4104" s="3"/>
      <c r="J4104" s="3"/>
    </row>
    <row r="4105" spans="5:10" ht="14.4" x14ac:dyDescent="0.3">
      <c r="E4105" s="3"/>
      <c r="F4105" s="3"/>
      <c r="G4105" s="3"/>
      <c r="H4105" s="3"/>
      <c r="I4105" s="3"/>
      <c r="J4105" s="3"/>
    </row>
    <row r="4106" spans="5:10" ht="14.4" x14ac:dyDescent="0.3">
      <c r="E4106" s="3"/>
      <c r="F4106" s="3"/>
      <c r="G4106" s="3"/>
      <c r="H4106" s="3"/>
      <c r="I4106" s="3"/>
      <c r="J4106" s="3"/>
    </row>
    <row r="4107" spans="5:10" ht="14.4" x14ac:dyDescent="0.3">
      <c r="E4107" s="3"/>
      <c r="F4107" s="3"/>
      <c r="G4107" s="3"/>
      <c r="H4107" s="3"/>
      <c r="I4107" s="3"/>
      <c r="J4107" s="3"/>
    </row>
    <row r="4108" spans="5:10" ht="14.4" x14ac:dyDescent="0.3">
      <c r="E4108" s="3"/>
      <c r="F4108" s="3"/>
      <c r="G4108" s="3"/>
      <c r="H4108" s="3"/>
      <c r="I4108" s="3"/>
      <c r="J4108" s="3"/>
    </row>
    <row r="4109" spans="5:10" ht="14.4" x14ac:dyDescent="0.3">
      <c r="E4109" s="3"/>
      <c r="F4109" s="3"/>
      <c r="G4109" s="3"/>
      <c r="H4109" s="3"/>
      <c r="I4109" s="3"/>
      <c r="J4109" s="3"/>
    </row>
    <row r="4110" spans="5:10" ht="14.4" x14ac:dyDescent="0.3">
      <c r="E4110" s="3"/>
      <c r="F4110" s="3"/>
      <c r="G4110" s="3"/>
      <c r="H4110" s="3"/>
      <c r="I4110" s="3"/>
      <c r="J4110" s="3"/>
    </row>
    <row r="4111" spans="5:10" ht="14.4" x14ac:dyDescent="0.3">
      <c r="E4111" s="3"/>
      <c r="F4111" s="3"/>
      <c r="G4111" s="3"/>
      <c r="H4111" s="3"/>
      <c r="I4111" s="3"/>
      <c r="J4111" s="3"/>
    </row>
    <row r="4112" spans="5:10" ht="14.4" x14ac:dyDescent="0.3">
      <c r="E4112" s="3"/>
      <c r="F4112" s="3"/>
      <c r="G4112" s="3"/>
      <c r="H4112" s="3"/>
      <c r="I4112" s="3"/>
      <c r="J4112" s="3"/>
    </row>
    <row r="4113" spans="5:10" ht="14.4" x14ac:dyDescent="0.3">
      <c r="E4113" s="3"/>
      <c r="F4113" s="3"/>
      <c r="G4113" s="3"/>
      <c r="H4113" s="3"/>
      <c r="I4113" s="3"/>
      <c r="J4113" s="3"/>
    </row>
    <row r="4114" spans="5:10" ht="14.4" x14ac:dyDescent="0.3">
      <c r="E4114" s="3"/>
      <c r="F4114" s="3"/>
      <c r="G4114" s="3"/>
      <c r="H4114" s="3"/>
      <c r="I4114" s="3"/>
      <c r="J4114" s="3"/>
    </row>
    <row r="4115" spans="5:10" ht="14.4" x14ac:dyDescent="0.3">
      <c r="E4115" s="3"/>
      <c r="F4115" s="3"/>
      <c r="G4115" s="3"/>
      <c r="H4115" s="3"/>
      <c r="I4115" s="3"/>
      <c r="J4115" s="3"/>
    </row>
    <row r="4116" spans="5:10" ht="14.4" x14ac:dyDescent="0.3">
      <c r="E4116" s="3"/>
      <c r="F4116" s="3"/>
      <c r="G4116" s="3"/>
      <c r="H4116" s="3"/>
      <c r="I4116" s="3"/>
      <c r="J4116" s="3"/>
    </row>
    <row r="4117" spans="5:10" ht="14.4" x14ac:dyDescent="0.3">
      <c r="E4117" s="3"/>
      <c r="F4117" s="3"/>
      <c r="G4117" s="3"/>
      <c r="H4117" s="3"/>
      <c r="I4117" s="3"/>
      <c r="J4117" s="3"/>
    </row>
    <row r="4118" spans="5:10" ht="14.4" x14ac:dyDescent="0.3">
      <c r="E4118" s="3"/>
      <c r="F4118" s="3"/>
      <c r="G4118" s="3"/>
      <c r="H4118" s="3"/>
      <c r="I4118" s="3"/>
      <c r="J4118" s="3"/>
    </row>
    <row r="4119" spans="5:10" ht="14.4" x14ac:dyDescent="0.3">
      <c r="E4119" s="3"/>
      <c r="F4119" s="3"/>
      <c r="G4119" s="3"/>
      <c r="H4119" s="3"/>
      <c r="I4119" s="3"/>
      <c r="J4119" s="3"/>
    </row>
    <row r="4120" spans="5:10" ht="14.4" x14ac:dyDescent="0.3">
      <c r="E4120" s="3"/>
      <c r="F4120" s="3"/>
      <c r="G4120" s="3"/>
      <c r="H4120" s="3"/>
      <c r="I4120" s="3"/>
      <c r="J4120" s="3"/>
    </row>
    <row r="4121" spans="5:10" ht="14.4" x14ac:dyDescent="0.3">
      <c r="E4121" s="3"/>
      <c r="F4121" s="3"/>
      <c r="G4121" s="3"/>
      <c r="H4121" s="3"/>
      <c r="I4121" s="3"/>
      <c r="J4121" s="3"/>
    </row>
    <row r="4122" spans="5:10" ht="14.4" x14ac:dyDescent="0.3">
      <c r="E4122" s="3"/>
      <c r="F4122" s="3"/>
      <c r="G4122" s="3"/>
      <c r="H4122" s="3"/>
      <c r="I4122" s="3"/>
      <c r="J4122" s="3"/>
    </row>
    <row r="4123" spans="5:10" ht="14.4" x14ac:dyDescent="0.3">
      <c r="E4123" s="3"/>
      <c r="F4123" s="3"/>
      <c r="G4123" s="3"/>
      <c r="H4123" s="3"/>
      <c r="I4123" s="3"/>
      <c r="J4123" s="3"/>
    </row>
    <row r="4124" spans="5:10" ht="14.4" x14ac:dyDescent="0.3">
      <c r="E4124" s="3"/>
      <c r="F4124" s="3"/>
      <c r="G4124" s="3"/>
      <c r="H4124" s="3"/>
      <c r="I4124" s="3"/>
      <c r="J4124" s="3"/>
    </row>
    <row r="4125" spans="5:10" ht="14.4" x14ac:dyDescent="0.3">
      <c r="E4125" s="3"/>
      <c r="F4125" s="3"/>
      <c r="G4125" s="3"/>
      <c r="H4125" s="3"/>
      <c r="I4125" s="3"/>
      <c r="J4125" s="3"/>
    </row>
    <row r="4126" spans="5:10" ht="14.4" x14ac:dyDescent="0.3">
      <c r="E4126" s="3"/>
      <c r="F4126" s="3"/>
      <c r="G4126" s="3"/>
      <c r="H4126" s="3"/>
      <c r="I4126" s="3"/>
      <c r="J4126" s="3"/>
    </row>
    <row r="4127" spans="5:10" ht="14.4" x14ac:dyDescent="0.3">
      <c r="E4127" s="3"/>
      <c r="F4127" s="3"/>
      <c r="G4127" s="3"/>
      <c r="H4127" s="3"/>
      <c r="I4127" s="3"/>
      <c r="J4127" s="3"/>
    </row>
    <row r="4128" spans="5:10" ht="14.4" x14ac:dyDescent="0.3">
      <c r="E4128" s="3"/>
      <c r="F4128" s="3"/>
      <c r="G4128" s="3"/>
      <c r="H4128" s="3"/>
      <c r="I4128" s="3"/>
      <c r="J4128" s="3"/>
    </row>
    <row r="4129" spans="5:10" ht="14.4" x14ac:dyDescent="0.3">
      <c r="E4129" s="3"/>
      <c r="F4129" s="3"/>
      <c r="G4129" s="3"/>
      <c r="H4129" s="3"/>
      <c r="I4129" s="3"/>
      <c r="J4129" s="3"/>
    </row>
    <row r="4130" spans="5:10" ht="14.4" x14ac:dyDescent="0.3">
      <c r="E4130" s="3"/>
      <c r="F4130" s="3"/>
      <c r="G4130" s="3"/>
      <c r="H4130" s="3"/>
      <c r="I4130" s="3"/>
      <c r="J4130" s="3"/>
    </row>
    <row r="4131" spans="5:10" ht="14.4" x14ac:dyDescent="0.3">
      <c r="E4131" s="3"/>
      <c r="F4131" s="3"/>
      <c r="G4131" s="3"/>
      <c r="H4131" s="3"/>
      <c r="I4131" s="3"/>
      <c r="J4131" s="3"/>
    </row>
    <row r="4132" spans="5:10" ht="14.4" x14ac:dyDescent="0.3">
      <c r="E4132" s="3"/>
      <c r="F4132" s="3"/>
      <c r="G4132" s="3"/>
      <c r="H4132" s="3"/>
      <c r="I4132" s="3"/>
      <c r="J4132" s="3"/>
    </row>
    <row r="4133" spans="5:10" ht="14.4" x14ac:dyDescent="0.3">
      <c r="E4133" s="3"/>
      <c r="F4133" s="3"/>
      <c r="G4133" s="3"/>
      <c r="H4133" s="3"/>
      <c r="I4133" s="3"/>
      <c r="J4133" s="3"/>
    </row>
    <row r="4134" spans="5:10" ht="14.4" x14ac:dyDescent="0.3">
      <c r="E4134" s="3"/>
      <c r="F4134" s="3"/>
      <c r="G4134" s="3"/>
      <c r="H4134" s="3"/>
      <c r="I4134" s="3"/>
      <c r="J4134" s="3"/>
    </row>
    <row r="4135" spans="5:10" ht="14.4" x14ac:dyDescent="0.3">
      <c r="E4135" s="3"/>
      <c r="F4135" s="3"/>
      <c r="G4135" s="3"/>
      <c r="H4135" s="3"/>
      <c r="I4135" s="3"/>
      <c r="J4135" s="3"/>
    </row>
    <row r="4136" spans="5:10" ht="14.4" x14ac:dyDescent="0.3">
      <c r="E4136" s="3"/>
      <c r="F4136" s="3"/>
      <c r="G4136" s="3"/>
      <c r="H4136" s="3"/>
      <c r="I4136" s="3"/>
      <c r="J4136" s="3"/>
    </row>
    <row r="4137" spans="5:10" ht="14.4" x14ac:dyDescent="0.3">
      <c r="E4137" s="3"/>
      <c r="F4137" s="3"/>
      <c r="G4137" s="3"/>
      <c r="H4137" s="3"/>
      <c r="I4137" s="3"/>
      <c r="J4137" s="3"/>
    </row>
    <row r="4138" spans="5:10" ht="14.4" x14ac:dyDescent="0.3">
      <c r="E4138" s="3"/>
      <c r="F4138" s="3"/>
      <c r="G4138" s="3"/>
      <c r="H4138" s="3"/>
      <c r="I4138" s="3"/>
      <c r="J4138" s="3"/>
    </row>
    <row r="4139" spans="5:10" ht="14.4" x14ac:dyDescent="0.3">
      <c r="E4139" s="3"/>
      <c r="F4139" s="3"/>
      <c r="G4139" s="3"/>
      <c r="H4139" s="3"/>
      <c r="I4139" s="3"/>
      <c r="J4139" s="3"/>
    </row>
    <row r="4140" spans="5:10" ht="14.4" x14ac:dyDescent="0.3">
      <c r="E4140" s="3"/>
      <c r="F4140" s="3"/>
      <c r="G4140" s="3"/>
      <c r="H4140" s="3"/>
      <c r="I4140" s="3"/>
      <c r="J4140" s="3"/>
    </row>
    <row r="4141" spans="5:10" ht="14.4" x14ac:dyDescent="0.3">
      <c r="E4141" s="3"/>
      <c r="F4141" s="3"/>
      <c r="G4141" s="3"/>
      <c r="H4141" s="3"/>
      <c r="I4141" s="3"/>
      <c r="J4141" s="3"/>
    </row>
    <row r="4142" spans="5:10" ht="14.4" x14ac:dyDescent="0.3">
      <c r="E4142" s="3"/>
      <c r="F4142" s="3"/>
      <c r="G4142" s="3"/>
      <c r="H4142" s="3"/>
      <c r="I4142" s="3"/>
      <c r="J4142" s="3"/>
    </row>
    <row r="4143" spans="5:10" ht="14.4" x14ac:dyDescent="0.3">
      <c r="E4143" s="3"/>
      <c r="F4143" s="3"/>
      <c r="G4143" s="3"/>
      <c r="H4143" s="3"/>
      <c r="I4143" s="3"/>
      <c r="J4143" s="3"/>
    </row>
    <row r="4144" spans="5:10" ht="14.4" x14ac:dyDescent="0.3">
      <c r="E4144" s="3"/>
      <c r="F4144" s="3"/>
      <c r="G4144" s="3"/>
      <c r="H4144" s="3"/>
      <c r="I4144" s="3"/>
      <c r="J4144" s="3"/>
    </row>
    <row r="4145" spans="5:10" ht="14.4" x14ac:dyDescent="0.3">
      <c r="E4145" s="3"/>
      <c r="F4145" s="3"/>
      <c r="G4145" s="3"/>
      <c r="H4145" s="3"/>
      <c r="I4145" s="3"/>
      <c r="J4145" s="3"/>
    </row>
    <row r="4146" spans="5:10" ht="14.4" x14ac:dyDescent="0.3">
      <c r="E4146" s="3"/>
      <c r="F4146" s="3"/>
      <c r="G4146" s="3"/>
      <c r="H4146" s="3"/>
      <c r="I4146" s="3"/>
      <c r="J4146" s="3"/>
    </row>
    <row r="4147" spans="5:10" ht="14.4" x14ac:dyDescent="0.3">
      <c r="E4147" s="3"/>
      <c r="F4147" s="3"/>
      <c r="G4147" s="3"/>
      <c r="H4147" s="3"/>
      <c r="I4147" s="3"/>
      <c r="J4147" s="3"/>
    </row>
    <row r="4148" spans="5:10" ht="14.4" x14ac:dyDescent="0.3">
      <c r="E4148" s="3"/>
      <c r="F4148" s="3"/>
      <c r="G4148" s="3"/>
      <c r="H4148" s="3"/>
      <c r="I4148" s="3"/>
      <c r="J4148" s="3"/>
    </row>
    <row r="4149" spans="5:10" ht="14.4" x14ac:dyDescent="0.3">
      <c r="E4149" s="3"/>
      <c r="F4149" s="3"/>
      <c r="G4149" s="3"/>
      <c r="H4149" s="3"/>
      <c r="I4149" s="3"/>
      <c r="J4149" s="3"/>
    </row>
    <row r="4150" spans="5:10" ht="14.4" x14ac:dyDescent="0.3">
      <c r="E4150" s="3"/>
      <c r="F4150" s="3"/>
      <c r="G4150" s="3"/>
      <c r="H4150" s="3"/>
      <c r="I4150" s="3"/>
      <c r="J4150" s="3"/>
    </row>
    <row r="4151" spans="5:10" ht="14.4" x14ac:dyDescent="0.3">
      <c r="E4151" s="3"/>
      <c r="F4151" s="3"/>
      <c r="G4151" s="3"/>
      <c r="H4151" s="3"/>
      <c r="I4151" s="3"/>
      <c r="J4151" s="3"/>
    </row>
    <row r="4152" spans="5:10" ht="14.4" x14ac:dyDescent="0.3">
      <c r="E4152" s="3"/>
      <c r="F4152" s="3"/>
      <c r="G4152" s="3"/>
      <c r="H4152" s="3"/>
      <c r="I4152" s="3"/>
      <c r="J4152" s="3"/>
    </row>
    <row r="4153" spans="5:10" ht="14.4" x14ac:dyDescent="0.3">
      <c r="E4153" s="3"/>
      <c r="F4153" s="3"/>
      <c r="G4153" s="3"/>
      <c r="H4153" s="3"/>
      <c r="I4153" s="3"/>
      <c r="J4153" s="3"/>
    </row>
    <row r="4154" spans="5:10" ht="14.4" x14ac:dyDescent="0.3">
      <c r="E4154" s="3"/>
      <c r="F4154" s="3"/>
      <c r="G4154" s="3"/>
      <c r="H4154" s="3"/>
      <c r="I4154" s="3"/>
      <c r="J4154" s="3"/>
    </row>
    <row r="4155" spans="5:10" ht="14.4" x14ac:dyDescent="0.3">
      <c r="E4155" s="3"/>
      <c r="F4155" s="3"/>
      <c r="G4155" s="3"/>
      <c r="H4155" s="3"/>
      <c r="I4155" s="3"/>
      <c r="J4155" s="3"/>
    </row>
    <row r="4156" spans="5:10" ht="14.4" x14ac:dyDescent="0.3">
      <c r="E4156" s="3"/>
      <c r="F4156" s="3"/>
      <c r="G4156" s="3"/>
      <c r="H4156" s="3"/>
      <c r="I4156" s="3"/>
      <c r="J4156" s="3"/>
    </row>
    <row r="4157" spans="5:10" ht="14.4" x14ac:dyDescent="0.3">
      <c r="E4157" s="3"/>
      <c r="F4157" s="3"/>
      <c r="G4157" s="3"/>
      <c r="H4157" s="3"/>
      <c r="I4157" s="3"/>
      <c r="J4157" s="3"/>
    </row>
    <row r="4158" spans="5:10" ht="14.4" x14ac:dyDescent="0.3">
      <c r="E4158" s="3"/>
      <c r="F4158" s="3"/>
      <c r="G4158" s="3"/>
      <c r="H4158" s="3"/>
      <c r="I4158" s="3"/>
      <c r="J4158" s="3"/>
    </row>
    <row r="4159" spans="5:10" ht="14.4" x14ac:dyDescent="0.3">
      <c r="E4159" s="3"/>
      <c r="F4159" s="3"/>
      <c r="G4159" s="3"/>
      <c r="H4159" s="3"/>
      <c r="I4159" s="3"/>
      <c r="J4159" s="3"/>
    </row>
    <row r="4160" spans="5:10" ht="14.4" x14ac:dyDescent="0.3">
      <c r="E4160" s="3"/>
      <c r="F4160" s="3"/>
      <c r="G4160" s="3"/>
      <c r="H4160" s="3"/>
      <c r="I4160" s="3"/>
      <c r="J4160" s="3"/>
    </row>
    <row r="4161" spans="5:10" ht="14.4" x14ac:dyDescent="0.3">
      <c r="E4161" s="3"/>
      <c r="F4161" s="3"/>
      <c r="G4161" s="3"/>
      <c r="H4161" s="3"/>
      <c r="I4161" s="3"/>
      <c r="J4161" s="3"/>
    </row>
    <row r="4162" spans="5:10" ht="14.4" x14ac:dyDescent="0.3">
      <c r="E4162" s="3"/>
      <c r="F4162" s="3"/>
      <c r="G4162" s="3"/>
      <c r="H4162" s="3"/>
      <c r="I4162" s="3"/>
      <c r="J4162" s="3"/>
    </row>
    <row r="4163" spans="5:10" ht="14.4" x14ac:dyDescent="0.3">
      <c r="E4163" s="3"/>
      <c r="F4163" s="3"/>
      <c r="G4163" s="3"/>
      <c r="H4163" s="3"/>
      <c r="I4163" s="3"/>
      <c r="J4163" s="3"/>
    </row>
    <row r="4164" spans="5:10" ht="14.4" x14ac:dyDescent="0.3">
      <c r="E4164" s="3"/>
      <c r="F4164" s="3"/>
      <c r="G4164" s="3"/>
      <c r="H4164" s="3"/>
      <c r="I4164" s="3"/>
      <c r="J4164" s="3"/>
    </row>
    <row r="4165" spans="5:10" ht="14.4" x14ac:dyDescent="0.3">
      <c r="E4165" s="3"/>
      <c r="F4165" s="3"/>
      <c r="G4165" s="3"/>
      <c r="H4165" s="3"/>
      <c r="I4165" s="3"/>
      <c r="J4165" s="3"/>
    </row>
    <row r="4166" spans="5:10" ht="14.4" x14ac:dyDescent="0.3">
      <c r="E4166" s="3"/>
      <c r="F4166" s="3"/>
      <c r="G4166" s="3"/>
      <c r="H4166" s="3"/>
      <c r="I4166" s="3"/>
      <c r="J4166" s="3"/>
    </row>
    <row r="4167" spans="5:10" ht="14.4" x14ac:dyDescent="0.3">
      <c r="E4167" s="3"/>
      <c r="F4167" s="3"/>
      <c r="G4167" s="3"/>
      <c r="H4167" s="3"/>
      <c r="I4167" s="3"/>
      <c r="J4167" s="3"/>
    </row>
    <row r="4168" spans="5:10" ht="14.4" x14ac:dyDescent="0.3">
      <c r="E4168" s="3"/>
      <c r="F4168" s="3"/>
      <c r="G4168" s="3"/>
      <c r="H4168" s="3"/>
      <c r="I4168" s="3"/>
      <c r="J4168" s="3"/>
    </row>
    <row r="4169" spans="5:10" ht="14.4" x14ac:dyDescent="0.3">
      <c r="E4169" s="3"/>
      <c r="F4169" s="3"/>
      <c r="G4169" s="3"/>
      <c r="H4169" s="3"/>
      <c r="I4169" s="3"/>
      <c r="J4169" s="3"/>
    </row>
    <row r="4170" spans="5:10" ht="14.4" x14ac:dyDescent="0.3">
      <c r="E4170" s="3"/>
      <c r="F4170" s="3"/>
      <c r="G4170" s="3"/>
      <c r="H4170" s="3"/>
      <c r="I4170" s="3"/>
      <c r="J4170" s="3"/>
    </row>
    <row r="4171" spans="5:10" ht="14.4" x14ac:dyDescent="0.3">
      <c r="E4171" s="3"/>
      <c r="F4171" s="3"/>
      <c r="G4171" s="3"/>
      <c r="H4171" s="3"/>
      <c r="I4171" s="3"/>
      <c r="J4171" s="3"/>
    </row>
    <row r="4172" spans="5:10" ht="14.4" x14ac:dyDescent="0.3">
      <c r="E4172" s="3"/>
      <c r="F4172" s="3"/>
      <c r="G4172" s="3"/>
      <c r="H4172" s="3"/>
      <c r="I4172" s="3"/>
      <c r="J4172" s="3"/>
    </row>
    <row r="4173" spans="5:10" ht="14.4" x14ac:dyDescent="0.3">
      <c r="E4173" s="3"/>
      <c r="F4173" s="3"/>
      <c r="G4173" s="3"/>
      <c r="H4173" s="3"/>
      <c r="I4173" s="3"/>
      <c r="J4173" s="3"/>
    </row>
    <row r="4174" spans="5:10" ht="14.4" x14ac:dyDescent="0.3">
      <c r="E4174" s="3"/>
      <c r="F4174" s="3"/>
      <c r="G4174" s="3"/>
      <c r="H4174" s="3"/>
      <c r="I4174" s="3"/>
      <c r="J4174" s="3"/>
    </row>
    <row r="4175" spans="5:10" ht="14.4" x14ac:dyDescent="0.3">
      <c r="E4175" s="3"/>
      <c r="F4175" s="3"/>
      <c r="G4175" s="3"/>
      <c r="H4175" s="3"/>
      <c r="I4175" s="3"/>
      <c r="J4175" s="3"/>
    </row>
    <row r="4176" spans="5:10" ht="14.4" x14ac:dyDescent="0.3">
      <c r="E4176" s="3"/>
      <c r="F4176" s="3"/>
      <c r="G4176" s="3"/>
      <c r="H4176" s="3"/>
      <c r="I4176" s="3"/>
      <c r="J4176" s="3"/>
    </row>
    <row r="4177" spans="5:10" ht="14.4" x14ac:dyDescent="0.3">
      <c r="E4177" s="3"/>
      <c r="F4177" s="3"/>
      <c r="G4177" s="3"/>
      <c r="H4177" s="3"/>
      <c r="I4177" s="3"/>
      <c r="J4177" s="3"/>
    </row>
    <row r="4178" spans="5:10" ht="14.4" x14ac:dyDescent="0.3">
      <c r="E4178" s="3"/>
      <c r="F4178" s="3"/>
      <c r="G4178" s="3"/>
      <c r="H4178" s="3"/>
      <c r="I4178" s="3"/>
      <c r="J4178" s="3"/>
    </row>
    <row r="4179" spans="5:10" ht="14.4" x14ac:dyDescent="0.3">
      <c r="E4179" s="3"/>
      <c r="F4179" s="3"/>
      <c r="G4179" s="3"/>
      <c r="H4179" s="3"/>
      <c r="I4179" s="3"/>
      <c r="J4179" s="3"/>
    </row>
    <row r="4180" spans="5:10" ht="14.4" x14ac:dyDescent="0.3">
      <c r="E4180" s="3"/>
      <c r="F4180" s="3"/>
      <c r="G4180" s="3"/>
      <c r="H4180" s="3"/>
      <c r="I4180" s="3"/>
      <c r="J4180" s="3"/>
    </row>
    <row r="4181" spans="5:10" ht="14.4" x14ac:dyDescent="0.3">
      <c r="E4181" s="3"/>
      <c r="F4181" s="3"/>
      <c r="G4181" s="3"/>
      <c r="H4181" s="3"/>
      <c r="I4181" s="3"/>
      <c r="J4181" s="3"/>
    </row>
    <row r="4182" spans="5:10" ht="14.4" x14ac:dyDescent="0.3">
      <c r="E4182" s="3"/>
      <c r="F4182" s="3"/>
      <c r="G4182" s="3"/>
      <c r="H4182" s="3"/>
      <c r="I4182" s="3"/>
      <c r="J4182" s="3"/>
    </row>
    <row r="4183" spans="5:10" ht="14.4" x14ac:dyDescent="0.3">
      <c r="E4183" s="3"/>
      <c r="F4183" s="3"/>
      <c r="G4183" s="3"/>
      <c r="H4183" s="3"/>
      <c r="I4183" s="3"/>
      <c r="J4183" s="3"/>
    </row>
    <row r="4184" spans="5:10" ht="14.4" x14ac:dyDescent="0.3">
      <c r="E4184" s="3"/>
      <c r="F4184" s="3"/>
      <c r="G4184" s="3"/>
      <c r="H4184" s="3"/>
      <c r="I4184" s="3"/>
      <c r="J4184" s="3"/>
    </row>
    <row r="4185" spans="5:10" ht="14.4" x14ac:dyDescent="0.3">
      <c r="E4185" s="3"/>
      <c r="F4185" s="3"/>
      <c r="G4185" s="3"/>
      <c r="H4185" s="3"/>
      <c r="I4185" s="3"/>
      <c r="J4185" s="3"/>
    </row>
    <row r="4186" spans="5:10" ht="14.4" x14ac:dyDescent="0.3">
      <c r="E4186" s="3"/>
      <c r="F4186" s="3"/>
      <c r="G4186" s="3"/>
      <c r="H4186" s="3"/>
      <c r="I4186" s="3"/>
      <c r="J4186" s="3"/>
    </row>
    <row r="4187" spans="5:10" ht="14.4" x14ac:dyDescent="0.3">
      <c r="E4187" s="3"/>
      <c r="F4187" s="3"/>
      <c r="G4187" s="3"/>
      <c r="H4187" s="3"/>
      <c r="I4187" s="3"/>
      <c r="J4187" s="3"/>
    </row>
    <row r="4188" spans="5:10" ht="14.4" x14ac:dyDescent="0.3">
      <c r="E4188" s="3"/>
      <c r="F4188" s="3"/>
      <c r="G4188" s="3"/>
      <c r="H4188" s="3"/>
      <c r="I4188" s="3"/>
      <c r="J4188" s="3"/>
    </row>
    <row r="4189" spans="5:10" ht="14.4" x14ac:dyDescent="0.3">
      <c r="E4189" s="3"/>
      <c r="F4189" s="3"/>
      <c r="G4189" s="3"/>
      <c r="H4189" s="3"/>
      <c r="I4189" s="3"/>
      <c r="J4189" s="3"/>
    </row>
    <row r="4190" spans="5:10" ht="14.4" x14ac:dyDescent="0.3">
      <c r="E4190" s="3"/>
      <c r="F4190" s="3"/>
      <c r="G4190" s="3"/>
      <c r="H4190" s="3"/>
      <c r="I4190" s="3"/>
      <c r="J4190" s="3"/>
    </row>
    <row r="4191" spans="5:10" ht="14.4" x14ac:dyDescent="0.3">
      <c r="E4191" s="3"/>
      <c r="F4191" s="3"/>
      <c r="G4191" s="3"/>
      <c r="H4191" s="3"/>
      <c r="I4191" s="3"/>
      <c r="J4191" s="3"/>
    </row>
    <row r="4192" spans="5:10" ht="14.4" x14ac:dyDescent="0.3">
      <c r="E4192" s="3"/>
      <c r="F4192" s="3"/>
      <c r="G4192" s="3"/>
      <c r="H4192" s="3"/>
      <c r="I4192" s="3"/>
      <c r="J4192" s="3"/>
    </row>
    <row r="4193" spans="5:10" ht="14.4" x14ac:dyDescent="0.3">
      <c r="E4193" s="3"/>
      <c r="F4193" s="3"/>
      <c r="G4193" s="3"/>
      <c r="H4193" s="3"/>
      <c r="I4193" s="3"/>
      <c r="J4193" s="3"/>
    </row>
    <row r="4194" spans="5:10" ht="14.4" x14ac:dyDescent="0.3">
      <c r="E4194" s="3"/>
      <c r="F4194" s="3"/>
      <c r="G4194" s="3"/>
      <c r="H4194" s="3"/>
      <c r="I4194" s="3"/>
      <c r="J4194" s="3"/>
    </row>
    <row r="4195" spans="5:10" ht="14.4" x14ac:dyDescent="0.3">
      <c r="E4195" s="3"/>
      <c r="F4195" s="3"/>
      <c r="G4195" s="3"/>
      <c r="H4195" s="3"/>
      <c r="I4195" s="3"/>
      <c r="J4195" s="3"/>
    </row>
    <row r="4196" spans="5:10" ht="14.4" x14ac:dyDescent="0.3">
      <c r="E4196" s="3"/>
      <c r="F4196" s="3"/>
      <c r="G4196" s="3"/>
      <c r="H4196" s="3"/>
      <c r="I4196" s="3"/>
      <c r="J4196" s="3"/>
    </row>
    <row r="4197" spans="5:10" ht="14.4" x14ac:dyDescent="0.3">
      <c r="E4197" s="3"/>
      <c r="F4197" s="3"/>
      <c r="G4197" s="3"/>
      <c r="H4197" s="3"/>
      <c r="I4197" s="3"/>
      <c r="J4197" s="3"/>
    </row>
    <row r="4198" spans="5:10" ht="14.4" x14ac:dyDescent="0.3">
      <c r="E4198" s="3"/>
      <c r="F4198" s="3"/>
      <c r="G4198" s="3"/>
      <c r="H4198" s="3"/>
      <c r="I4198" s="3"/>
      <c r="J4198" s="3"/>
    </row>
    <row r="4199" spans="5:10" ht="14.4" x14ac:dyDescent="0.3">
      <c r="E4199" s="3"/>
      <c r="F4199" s="3"/>
      <c r="G4199" s="3"/>
      <c r="H4199" s="3"/>
      <c r="I4199" s="3"/>
      <c r="J4199" s="3"/>
    </row>
    <row r="4200" spans="5:10" ht="14.4" x14ac:dyDescent="0.3">
      <c r="E4200" s="3"/>
      <c r="F4200" s="3"/>
      <c r="G4200" s="3"/>
      <c r="H4200" s="3"/>
      <c r="I4200" s="3"/>
      <c r="J4200" s="3"/>
    </row>
    <row r="4201" spans="5:10" ht="14.4" x14ac:dyDescent="0.3">
      <c r="E4201" s="3"/>
      <c r="F4201" s="3"/>
      <c r="G4201" s="3"/>
      <c r="H4201" s="3"/>
      <c r="I4201" s="3"/>
      <c r="J4201" s="3"/>
    </row>
    <row r="4202" spans="5:10" ht="14.4" x14ac:dyDescent="0.3">
      <c r="E4202" s="3"/>
      <c r="F4202" s="3"/>
      <c r="G4202" s="3"/>
      <c r="H4202" s="3"/>
      <c r="I4202" s="3"/>
      <c r="J4202" s="3"/>
    </row>
    <row r="4203" spans="5:10" ht="14.4" x14ac:dyDescent="0.3">
      <c r="E4203" s="3"/>
      <c r="F4203" s="3"/>
      <c r="G4203" s="3"/>
      <c r="H4203" s="3"/>
      <c r="I4203" s="3"/>
      <c r="J4203" s="3"/>
    </row>
    <row r="4204" spans="5:10" ht="14.4" x14ac:dyDescent="0.3">
      <c r="E4204" s="3"/>
      <c r="F4204" s="3"/>
      <c r="G4204" s="3"/>
      <c r="H4204" s="3"/>
      <c r="I4204" s="3"/>
      <c r="J4204" s="3"/>
    </row>
    <row r="4205" spans="5:10" ht="14.4" x14ac:dyDescent="0.3">
      <c r="E4205" s="3"/>
      <c r="F4205" s="3"/>
      <c r="G4205" s="3"/>
      <c r="H4205" s="3"/>
      <c r="I4205" s="3"/>
      <c r="J4205" s="3"/>
    </row>
    <row r="4206" spans="5:10" ht="14.4" x14ac:dyDescent="0.3">
      <c r="E4206" s="3"/>
      <c r="F4206" s="3"/>
      <c r="G4206" s="3"/>
      <c r="H4206" s="3"/>
      <c r="I4206" s="3"/>
      <c r="J4206" s="3"/>
    </row>
    <row r="4207" spans="5:10" ht="14.4" x14ac:dyDescent="0.3">
      <c r="E4207" s="3"/>
      <c r="F4207" s="3"/>
      <c r="G4207" s="3"/>
      <c r="H4207" s="3"/>
      <c r="I4207" s="3"/>
      <c r="J4207" s="3"/>
    </row>
    <row r="4208" spans="5:10" ht="14.4" x14ac:dyDescent="0.3">
      <c r="E4208" s="3"/>
      <c r="F4208" s="3"/>
      <c r="G4208" s="3"/>
      <c r="H4208" s="3"/>
      <c r="I4208" s="3"/>
      <c r="J4208" s="3"/>
    </row>
    <row r="4209" spans="5:10" ht="14.4" x14ac:dyDescent="0.3">
      <c r="E4209" s="3"/>
      <c r="F4209" s="3"/>
      <c r="G4209" s="3"/>
      <c r="H4209" s="3"/>
      <c r="I4209" s="3"/>
      <c r="J4209" s="3"/>
    </row>
    <row r="4210" spans="5:10" ht="14.4" x14ac:dyDescent="0.3">
      <c r="E4210" s="3"/>
      <c r="F4210" s="3"/>
      <c r="G4210" s="3"/>
      <c r="H4210" s="3"/>
      <c r="I4210" s="3"/>
      <c r="J4210" s="3"/>
    </row>
    <row r="4211" spans="5:10" ht="14.4" x14ac:dyDescent="0.3">
      <c r="E4211" s="3"/>
      <c r="F4211" s="3"/>
      <c r="G4211" s="3"/>
      <c r="H4211" s="3"/>
      <c r="I4211" s="3"/>
      <c r="J4211" s="3"/>
    </row>
    <row r="4212" spans="5:10" ht="14.4" x14ac:dyDescent="0.3">
      <c r="E4212" s="3"/>
      <c r="F4212" s="3"/>
      <c r="G4212" s="3"/>
      <c r="H4212" s="3"/>
      <c r="I4212" s="3"/>
      <c r="J4212" s="3"/>
    </row>
    <row r="4213" spans="5:10" ht="14.4" x14ac:dyDescent="0.3">
      <c r="E4213" s="3"/>
      <c r="F4213" s="3"/>
      <c r="G4213" s="3"/>
      <c r="H4213" s="3"/>
      <c r="I4213" s="3"/>
      <c r="J4213" s="3"/>
    </row>
    <row r="4214" spans="5:10" ht="14.4" x14ac:dyDescent="0.3">
      <c r="E4214" s="3"/>
      <c r="F4214" s="3"/>
      <c r="G4214" s="3"/>
      <c r="H4214" s="3"/>
      <c r="I4214" s="3"/>
      <c r="J4214" s="3"/>
    </row>
    <row r="4215" spans="5:10" ht="14.4" x14ac:dyDescent="0.3">
      <c r="E4215" s="3"/>
      <c r="F4215" s="3"/>
      <c r="G4215" s="3"/>
      <c r="H4215" s="3"/>
      <c r="I4215" s="3"/>
      <c r="J4215" s="3"/>
    </row>
    <row r="4216" spans="5:10" ht="14.4" x14ac:dyDescent="0.3">
      <c r="E4216" s="3"/>
      <c r="F4216" s="3"/>
      <c r="G4216" s="3"/>
      <c r="H4216" s="3"/>
      <c r="I4216" s="3"/>
      <c r="J4216" s="3"/>
    </row>
    <row r="4217" spans="5:10" ht="14.4" x14ac:dyDescent="0.3">
      <c r="E4217" s="3"/>
      <c r="F4217" s="3"/>
      <c r="G4217" s="3"/>
      <c r="H4217" s="3"/>
      <c r="I4217" s="3"/>
      <c r="J4217" s="3"/>
    </row>
    <row r="4218" spans="5:10" ht="14.4" x14ac:dyDescent="0.3">
      <c r="E4218" s="3"/>
      <c r="F4218" s="3"/>
      <c r="G4218" s="3"/>
      <c r="H4218" s="3"/>
      <c r="I4218" s="3"/>
      <c r="J4218" s="3"/>
    </row>
    <row r="4219" spans="5:10" ht="14.4" x14ac:dyDescent="0.3">
      <c r="E4219" s="3"/>
      <c r="F4219" s="3"/>
      <c r="G4219" s="3"/>
      <c r="H4219" s="3"/>
      <c r="I4219" s="3"/>
      <c r="J4219" s="3"/>
    </row>
    <row r="4220" spans="5:10" ht="14.4" x14ac:dyDescent="0.3">
      <c r="E4220" s="3"/>
      <c r="F4220" s="3"/>
      <c r="G4220" s="3"/>
      <c r="H4220" s="3"/>
      <c r="I4220" s="3"/>
      <c r="J4220" s="3"/>
    </row>
    <row r="4221" spans="5:10" ht="14.4" x14ac:dyDescent="0.3">
      <c r="E4221" s="3"/>
      <c r="F4221" s="3"/>
      <c r="G4221" s="3"/>
      <c r="H4221" s="3"/>
      <c r="I4221" s="3"/>
      <c r="J4221" s="3"/>
    </row>
    <row r="4222" spans="5:10" ht="14.4" x14ac:dyDescent="0.3">
      <c r="E4222" s="3"/>
      <c r="F4222" s="3"/>
      <c r="G4222" s="3"/>
      <c r="H4222" s="3"/>
      <c r="I4222" s="3"/>
      <c r="J4222" s="3"/>
    </row>
    <row r="4223" spans="5:10" ht="14.4" x14ac:dyDescent="0.3">
      <c r="E4223" s="3"/>
      <c r="F4223" s="3"/>
      <c r="G4223" s="3"/>
      <c r="H4223" s="3"/>
      <c r="I4223" s="3"/>
      <c r="J4223" s="3"/>
    </row>
    <row r="4224" spans="5:10" ht="14.4" x14ac:dyDescent="0.3">
      <c r="E4224" s="3"/>
      <c r="F4224" s="3"/>
      <c r="G4224" s="3"/>
      <c r="H4224" s="3"/>
      <c r="I4224" s="3"/>
      <c r="J4224" s="3"/>
    </row>
    <row r="4225" spans="5:10" ht="14.4" x14ac:dyDescent="0.3">
      <c r="E4225" s="3"/>
      <c r="F4225" s="3"/>
      <c r="G4225" s="3"/>
      <c r="H4225" s="3"/>
      <c r="I4225" s="3"/>
      <c r="J4225" s="3"/>
    </row>
    <row r="4226" spans="5:10" ht="14.4" x14ac:dyDescent="0.3">
      <c r="E4226" s="3"/>
      <c r="F4226" s="3"/>
      <c r="G4226" s="3"/>
      <c r="H4226" s="3"/>
      <c r="I4226" s="3"/>
      <c r="J4226" s="3"/>
    </row>
    <row r="4227" spans="5:10" ht="14.4" x14ac:dyDescent="0.3">
      <c r="E4227" s="3"/>
      <c r="F4227" s="3"/>
      <c r="G4227" s="3"/>
      <c r="H4227" s="3"/>
      <c r="I4227" s="3"/>
      <c r="J4227" s="3"/>
    </row>
    <row r="4228" spans="5:10" ht="14.4" x14ac:dyDescent="0.3">
      <c r="E4228" s="3"/>
      <c r="F4228" s="3"/>
      <c r="G4228" s="3"/>
      <c r="H4228" s="3"/>
      <c r="I4228" s="3"/>
      <c r="J4228" s="3"/>
    </row>
    <row r="4229" spans="5:10" ht="14.4" x14ac:dyDescent="0.3">
      <c r="E4229" s="3"/>
      <c r="F4229" s="3"/>
      <c r="G4229" s="3"/>
      <c r="H4229" s="3"/>
      <c r="I4229" s="3"/>
      <c r="J4229" s="3"/>
    </row>
    <row r="4230" spans="5:10" ht="14.4" x14ac:dyDescent="0.3">
      <c r="E4230" s="3"/>
      <c r="F4230" s="3"/>
      <c r="G4230" s="3"/>
      <c r="H4230" s="3"/>
      <c r="I4230" s="3"/>
      <c r="J4230" s="3"/>
    </row>
    <row r="4231" spans="5:10" ht="14.4" x14ac:dyDescent="0.3">
      <c r="E4231" s="3"/>
      <c r="F4231" s="3"/>
      <c r="G4231" s="3"/>
      <c r="H4231" s="3"/>
      <c r="I4231" s="3"/>
      <c r="J4231" s="3"/>
    </row>
    <row r="4232" spans="5:10" ht="14.4" x14ac:dyDescent="0.3">
      <c r="E4232" s="3"/>
      <c r="F4232" s="3"/>
      <c r="G4232" s="3"/>
      <c r="H4232" s="3"/>
      <c r="I4232" s="3"/>
      <c r="J4232" s="3"/>
    </row>
    <row r="4233" spans="5:10" ht="14.4" x14ac:dyDescent="0.3">
      <c r="E4233" s="3"/>
      <c r="F4233" s="3"/>
      <c r="G4233" s="3"/>
      <c r="H4233" s="3"/>
      <c r="I4233" s="3"/>
      <c r="J4233" s="3"/>
    </row>
    <row r="4234" spans="5:10" ht="14.4" x14ac:dyDescent="0.3">
      <c r="E4234" s="3"/>
      <c r="F4234" s="3"/>
      <c r="G4234" s="3"/>
      <c r="H4234" s="3"/>
      <c r="I4234" s="3"/>
      <c r="J4234" s="3"/>
    </row>
    <row r="4235" spans="5:10" ht="14.4" x14ac:dyDescent="0.3">
      <c r="E4235" s="3"/>
      <c r="F4235" s="3"/>
      <c r="G4235" s="3"/>
      <c r="H4235" s="3"/>
      <c r="I4235" s="3"/>
      <c r="J4235" s="3"/>
    </row>
    <row r="4236" spans="5:10" ht="14.4" x14ac:dyDescent="0.3">
      <c r="E4236" s="3"/>
      <c r="F4236" s="3"/>
      <c r="G4236" s="3"/>
      <c r="H4236" s="3"/>
      <c r="I4236" s="3"/>
      <c r="J4236" s="3"/>
    </row>
    <row r="4237" spans="5:10" ht="14.4" x14ac:dyDescent="0.3">
      <c r="E4237" s="3"/>
      <c r="F4237" s="3"/>
      <c r="G4237" s="3"/>
      <c r="H4237" s="3"/>
      <c r="I4237" s="3"/>
      <c r="J4237" s="3"/>
    </row>
    <row r="4238" spans="5:10" ht="14.4" x14ac:dyDescent="0.3">
      <c r="E4238" s="3"/>
      <c r="F4238" s="3"/>
      <c r="G4238" s="3"/>
      <c r="H4238" s="3"/>
      <c r="I4238" s="3"/>
      <c r="J4238" s="3"/>
    </row>
    <row r="4239" spans="5:10" ht="14.4" x14ac:dyDescent="0.3">
      <c r="E4239" s="3"/>
      <c r="F4239" s="3"/>
      <c r="G4239" s="3"/>
      <c r="H4239" s="3"/>
      <c r="I4239" s="3"/>
      <c r="J4239" s="3"/>
    </row>
    <row r="4240" spans="5:10" ht="14.4" x14ac:dyDescent="0.3">
      <c r="E4240" s="3"/>
      <c r="F4240" s="3"/>
      <c r="G4240" s="3"/>
      <c r="H4240" s="3"/>
      <c r="I4240" s="3"/>
      <c r="J4240" s="3"/>
    </row>
    <row r="4241" spans="5:10" ht="14.4" x14ac:dyDescent="0.3">
      <c r="E4241" s="3"/>
      <c r="F4241" s="3"/>
      <c r="G4241" s="3"/>
      <c r="H4241" s="3"/>
      <c r="I4241" s="3"/>
      <c r="J4241" s="3"/>
    </row>
    <row r="4242" spans="5:10" ht="14.4" x14ac:dyDescent="0.3">
      <c r="E4242" s="3"/>
      <c r="F4242" s="3"/>
      <c r="G4242" s="3"/>
      <c r="H4242" s="3"/>
      <c r="I4242" s="3"/>
      <c r="J4242" s="3"/>
    </row>
    <row r="4243" spans="5:10" ht="14.4" x14ac:dyDescent="0.3">
      <c r="E4243" s="3"/>
      <c r="F4243" s="3"/>
      <c r="G4243" s="3"/>
      <c r="H4243" s="3"/>
      <c r="I4243" s="3"/>
      <c r="J4243" s="3"/>
    </row>
    <row r="4244" spans="5:10" ht="14.4" x14ac:dyDescent="0.3">
      <c r="E4244" s="3"/>
      <c r="F4244" s="3"/>
      <c r="G4244" s="3"/>
      <c r="H4244" s="3"/>
      <c r="I4244" s="3"/>
      <c r="J4244" s="3"/>
    </row>
    <row r="4245" spans="5:10" ht="14.4" x14ac:dyDescent="0.3">
      <c r="E4245" s="3"/>
      <c r="F4245" s="3"/>
      <c r="G4245" s="3"/>
      <c r="H4245" s="3"/>
      <c r="I4245" s="3"/>
      <c r="J4245" s="3"/>
    </row>
    <row r="4246" spans="5:10" ht="14.4" x14ac:dyDescent="0.3">
      <c r="E4246" s="3"/>
      <c r="F4246" s="3"/>
      <c r="G4246" s="3"/>
      <c r="H4246" s="3"/>
      <c r="I4246" s="3"/>
      <c r="J4246" s="3"/>
    </row>
    <row r="4247" spans="5:10" ht="14.4" x14ac:dyDescent="0.3">
      <c r="E4247" s="3"/>
      <c r="F4247" s="3"/>
      <c r="G4247" s="3"/>
      <c r="H4247" s="3"/>
      <c r="I4247" s="3"/>
      <c r="J4247" s="3"/>
    </row>
    <row r="4248" spans="5:10" ht="14.4" x14ac:dyDescent="0.3">
      <c r="E4248" s="3"/>
      <c r="F4248" s="3"/>
      <c r="G4248" s="3"/>
      <c r="H4248" s="3"/>
      <c r="I4248" s="3"/>
      <c r="J4248" s="3"/>
    </row>
    <row r="4249" spans="5:10" ht="14.4" x14ac:dyDescent="0.3">
      <c r="E4249" s="3"/>
      <c r="F4249" s="3"/>
      <c r="G4249" s="3"/>
      <c r="H4249" s="3"/>
      <c r="I4249" s="3"/>
      <c r="J4249" s="3"/>
    </row>
    <row r="4250" spans="5:10" ht="14.4" x14ac:dyDescent="0.3">
      <c r="E4250" s="3"/>
      <c r="F4250" s="3"/>
      <c r="G4250" s="3"/>
      <c r="H4250" s="3"/>
      <c r="I4250" s="3"/>
      <c r="J4250" s="3"/>
    </row>
    <row r="4251" spans="5:10" ht="14.4" x14ac:dyDescent="0.3">
      <c r="E4251" s="3"/>
      <c r="F4251" s="3"/>
      <c r="G4251" s="3"/>
      <c r="H4251" s="3"/>
      <c r="I4251" s="3"/>
      <c r="J4251" s="3"/>
    </row>
    <row r="4252" spans="5:10" ht="14.4" x14ac:dyDescent="0.3">
      <c r="E4252" s="3"/>
      <c r="F4252" s="3"/>
      <c r="G4252" s="3"/>
      <c r="H4252" s="3"/>
      <c r="I4252" s="3"/>
      <c r="J4252" s="3"/>
    </row>
    <row r="4253" spans="5:10" ht="14.4" x14ac:dyDescent="0.3">
      <c r="E4253" s="3"/>
      <c r="F4253" s="3"/>
      <c r="G4253" s="3"/>
      <c r="H4253" s="3"/>
      <c r="I4253" s="3"/>
      <c r="J4253" s="3"/>
    </row>
    <row r="4254" spans="5:10" ht="14.4" x14ac:dyDescent="0.3">
      <c r="E4254" s="3"/>
      <c r="F4254" s="3"/>
      <c r="G4254" s="3"/>
      <c r="H4254" s="3"/>
      <c r="I4254" s="3"/>
      <c r="J4254" s="3"/>
    </row>
    <row r="4255" spans="5:10" ht="14.4" x14ac:dyDescent="0.3">
      <c r="E4255" s="3"/>
      <c r="F4255" s="3"/>
      <c r="G4255" s="3"/>
      <c r="H4255" s="3"/>
      <c r="I4255" s="3"/>
      <c r="J4255" s="3"/>
    </row>
    <row r="4256" spans="5:10" ht="14.4" x14ac:dyDescent="0.3">
      <c r="E4256" s="3"/>
      <c r="F4256" s="3"/>
      <c r="G4256" s="3"/>
      <c r="H4256" s="3"/>
      <c r="I4256" s="3"/>
      <c r="J4256" s="3"/>
    </row>
    <row r="4257" spans="5:10" ht="14.4" x14ac:dyDescent="0.3">
      <c r="E4257" s="3"/>
      <c r="F4257" s="3"/>
      <c r="G4257" s="3"/>
      <c r="H4257" s="3"/>
      <c r="I4257" s="3"/>
      <c r="J4257" s="3"/>
    </row>
    <row r="4258" spans="5:10" ht="14.4" x14ac:dyDescent="0.3">
      <c r="E4258" s="3"/>
      <c r="F4258" s="3"/>
      <c r="G4258" s="3"/>
      <c r="H4258" s="3"/>
      <c r="I4258" s="3"/>
      <c r="J4258" s="3"/>
    </row>
    <row r="4259" spans="5:10" ht="14.4" x14ac:dyDescent="0.3">
      <c r="E4259" s="3"/>
      <c r="F4259" s="3"/>
      <c r="G4259" s="3"/>
      <c r="H4259" s="3"/>
      <c r="I4259" s="3"/>
      <c r="J4259" s="3"/>
    </row>
    <row r="4260" spans="5:10" ht="14.4" x14ac:dyDescent="0.3">
      <c r="E4260" s="3"/>
      <c r="F4260" s="3"/>
      <c r="G4260" s="3"/>
      <c r="H4260" s="3"/>
      <c r="I4260" s="3"/>
      <c r="J4260" s="3"/>
    </row>
    <row r="4261" spans="5:10" ht="14.4" x14ac:dyDescent="0.3">
      <c r="E4261" s="3"/>
      <c r="F4261" s="3"/>
      <c r="G4261" s="3"/>
      <c r="H4261" s="3"/>
      <c r="I4261" s="3"/>
      <c r="J4261" s="3"/>
    </row>
    <row r="4262" spans="5:10" ht="14.4" x14ac:dyDescent="0.3">
      <c r="E4262" s="3"/>
      <c r="F4262" s="3"/>
      <c r="G4262" s="3"/>
      <c r="H4262" s="3"/>
      <c r="I4262" s="3"/>
      <c r="J4262" s="3"/>
    </row>
    <row r="4263" spans="5:10" ht="14.4" x14ac:dyDescent="0.3">
      <c r="E4263" s="3"/>
      <c r="F4263" s="3"/>
      <c r="G4263" s="3"/>
      <c r="H4263" s="3"/>
      <c r="I4263" s="3"/>
      <c r="J4263" s="3"/>
    </row>
    <row r="4264" spans="5:10" ht="14.4" x14ac:dyDescent="0.3">
      <c r="E4264" s="3"/>
      <c r="F4264" s="3"/>
      <c r="G4264" s="3"/>
      <c r="H4264" s="3"/>
      <c r="I4264" s="3"/>
      <c r="J4264" s="3"/>
    </row>
    <row r="4265" spans="5:10" ht="14.4" x14ac:dyDescent="0.3">
      <c r="E4265" s="3"/>
      <c r="F4265" s="3"/>
      <c r="G4265" s="3"/>
      <c r="H4265" s="3"/>
      <c r="I4265" s="3"/>
      <c r="J4265" s="3"/>
    </row>
    <row r="4266" spans="5:10" ht="14.4" x14ac:dyDescent="0.3">
      <c r="E4266" s="3"/>
      <c r="F4266" s="3"/>
      <c r="G4266" s="3"/>
      <c r="H4266" s="3"/>
      <c r="I4266" s="3"/>
      <c r="J4266" s="3"/>
    </row>
    <row r="4267" spans="5:10" ht="14.4" x14ac:dyDescent="0.3">
      <c r="E4267" s="3"/>
      <c r="F4267" s="3"/>
      <c r="G4267" s="3"/>
      <c r="H4267" s="3"/>
      <c r="I4267" s="3"/>
      <c r="J4267" s="3"/>
    </row>
    <row r="4268" spans="5:10" ht="14.4" x14ac:dyDescent="0.3">
      <c r="E4268" s="3"/>
      <c r="F4268" s="3"/>
      <c r="G4268" s="3"/>
      <c r="H4268" s="3"/>
      <c r="I4268" s="3"/>
      <c r="J4268" s="3"/>
    </row>
    <row r="4269" spans="5:10" ht="14.4" x14ac:dyDescent="0.3">
      <c r="E4269" s="3"/>
      <c r="F4269" s="3"/>
      <c r="G4269" s="3"/>
      <c r="H4269" s="3"/>
      <c r="I4269" s="3"/>
      <c r="J4269" s="3"/>
    </row>
    <row r="4270" spans="5:10" ht="14.4" x14ac:dyDescent="0.3">
      <c r="E4270" s="3"/>
      <c r="F4270" s="3"/>
      <c r="G4270" s="3"/>
      <c r="H4270" s="3"/>
      <c r="I4270" s="3"/>
      <c r="J4270" s="3"/>
    </row>
    <row r="4271" spans="5:10" ht="14.4" x14ac:dyDescent="0.3">
      <c r="E4271" s="3"/>
      <c r="F4271" s="3"/>
      <c r="G4271" s="3"/>
      <c r="H4271" s="3"/>
      <c r="I4271" s="3"/>
      <c r="J4271" s="3"/>
    </row>
    <row r="4272" spans="5:10" ht="14.4" x14ac:dyDescent="0.3">
      <c r="E4272" s="3"/>
      <c r="F4272" s="3"/>
      <c r="G4272" s="3"/>
      <c r="H4272" s="3"/>
      <c r="I4272" s="3"/>
      <c r="J4272" s="3"/>
    </row>
    <row r="4273" spans="5:10" ht="14.4" x14ac:dyDescent="0.3">
      <c r="E4273" s="3"/>
      <c r="F4273" s="3"/>
      <c r="G4273" s="3"/>
      <c r="H4273" s="3"/>
      <c r="I4273" s="3"/>
      <c r="J4273" s="3"/>
    </row>
    <row r="4274" spans="5:10" ht="14.4" x14ac:dyDescent="0.3">
      <c r="E4274" s="3"/>
      <c r="F4274" s="3"/>
      <c r="G4274" s="3"/>
      <c r="H4274" s="3"/>
      <c r="I4274" s="3"/>
      <c r="J4274" s="3"/>
    </row>
    <row r="4275" spans="5:10" ht="14.4" x14ac:dyDescent="0.3">
      <c r="E4275" s="3"/>
      <c r="F4275" s="3"/>
      <c r="G4275" s="3"/>
      <c r="H4275" s="3"/>
      <c r="I4275" s="3"/>
      <c r="J4275" s="3"/>
    </row>
    <row r="4276" spans="5:10" ht="14.4" x14ac:dyDescent="0.3">
      <c r="E4276" s="3"/>
      <c r="F4276" s="3"/>
      <c r="G4276" s="3"/>
      <c r="H4276" s="3"/>
      <c r="I4276" s="3"/>
      <c r="J4276" s="3"/>
    </row>
    <row r="4277" spans="5:10" ht="14.4" x14ac:dyDescent="0.3">
      <c r="E4277" s="3"/>
      <c r="F4277" s="3"/>
      <c r="G4277" s="3"/>
      <c r="H4277" s="3"/>
      <c r="I4277" s="3"/>
      <c r="J4277" s="3"/>
    </row>
    <row r="4278" spans="5:10" ht="14.4" x14ac:dyDescent="0.3">
      <c r="E4278" s="3"/>
      <c r="F4278" s="3"/>
      <c r="G4278" s="3"/>
      <c r="H4278" s="3"/>
      <c r="I4278" s="3"/>
      <c r="J4278" s="3"/>
    </row>
    <row r="4279" spans="5:10" ht="14.4" x14ac:dyDescent="0.3">
      <c r="E4279" s="3"/>
      <c r="F4279" s="3"/>
      <c r="G4279" s="3"/>
      <c r="H4279" s="3"/>
      <c r="I4279" s="3"/>
      <c r="J4279" s="3"/>
    </row>
    <row r="4280" spans="5:10" ht="14.4" x14ac:dyDescent="0.3">
      <c r="E4280" s="3"/>
      <c r="F4280" s="3"/>
      <c r="G4280" s="3"/>
      <c r="H4280" s="3"/>
      <c r="I4280" s="3"/>
      <c r="J4280" s="3"/>
    </row>
    <row r="4281" spans="5:10" ht="14.4" x14ac:dyDescent="0.3">
      <c r="E4281" s="3"/>
      <c r="F4281" s="3"/>
      <c r="G4281" s="3"/>
      <c r="H4281" s="3"/>
      <c r="I4281" s="3"/>
      <c r="J4281" s="3"/>
    </row>
    <row r="4282" spans="5:10" ht="14.4" x14ac:dyDescent="0.3">
      <c r="E4282" s="3"/>
      <c r="F4282" s="3"/>
      <c r="G4282" s="3"/>
      <c r="H4282" s="3"/>
      <c r="I4282" s="3"/>
      <c r="J4282" s="3"/>
    </row>
    <row r="4283" spans="5:10" ht="14.4" x14ac:dyDescent="0.3">
      <c r="E4283" s="3"/>
      <c r="F4283" s="3"/>
      <c r="G4283" s="3"/>
      <c r="H4283" s="3"/>
      <c r="I4283" s="3"/>
      <c r="J4283" s="3"/>
    </row>
    <row r="4284" spans="5:10" ht="14.4" x14ac:dyDescent="0.3">
      <c r="E4284" s="3"/>
      <c r="F4284" s="3"/>
      <c r="G4284" s="3"/>
      <c r="H4284" s="3"/>
      <c r="I4284" s="3"/>
      <c r="J4284" s="3"/>
    </row>
    <row r="4285" spans="5:10" ht="14.4" x14ac:dyDescent="0.3">
      <c r="E4285" s="3"/>
      <c r="F4285" s="3"/>
      <c r="G4285" s="3"/>
      <c r="H4285" s="3"/>
      <c r="I4285" s="3"/>
      <c r="J4285" s="3"/>
    </row>
    <row r="4286" spans="5:10" ht="14.4" x14ac:dyDescent="0.3">
      <c r="E4286" s="3"/>
      <c r="F4286" s="3"/>
      <c r="G4286" s="3"/>
      <c r="H4286" s="3"/>
      <c r="I4286" s="3"/>
      <c r="J4286" s="3"/>
    </row>
    <row r="4287" spans="5:10" ht="14.4" x14ac:dyDescent="0.3">
      <c r="E4287" s="3"/>
      <c r="F4287" s="3"/>
      <c r="G4287" s="3"/>
      <c r="H4287" s="3"/>
      <c r="I4287" s="3"/>
      <c r="J4287" s="3"/>
    </row>
    <row r="4288" spans="5:10" ht="14.4" x14ac:dyDescent="0.3">
      <c r="E4288" s="3"/>
      <c r="F4288" s="3"/>
      <c r="G4288" s="3"/>
      <c r="H4288" s="3"/>
      <c r="I4288" s="3"/>
      <c r="J4288" s="3"/>
    </row>
    <row r="4289" spans="5:10" ht="14.4" x14ac:dyDescent="0.3">
      <c r="E4289" s="3"/>
      <c r="F4289" s="3"/>
      <c r="G4289" s="3"/>
      <c r="H4289" s="3"/>
      <c r="I4289" s="3"/>
      <c r="J4289" s="3"/>
    </row>
    <row r="4290" spans="5:10" ht="14.4" x14ac:dyDescent="0.3">
      <c r="E4290" s="3"/>
      <c r="F4290" s="3"/>
      <c r="G4290" s="3"/>
      <c r="H4290" s="3"/>
      <c r="I4290" s="3"/>
      <c r="J4290" s="3"/>
    </row>
    <row r="4291" spans="5:10" ht="14.4" x14ac:dyDescent="0.3">
      <c r="E4291" s="3"/>
      <c r="F4291" s="3"/>
      <c r="G4291" s="3"/>
      <c r="H4291" s="3"/>
      <c r="I4291" s="3"/>
      <c r="J4291" s="3"/>
    </row>
    <row r="4292" spans="5:10" ht="14.4" x14ac:dyDescent="0.3">
      <c r="E4292" s="3"/>
      <c r="F4292" s="3"/>
      <c r="G4292" s="3"/>
      <c r="H4292" s="3"/>
      <c r="I4292" s="3"/>
      <c r="J4292" s="3"/>
    </row>
    <row r="4293" spans="5:10" ht="14.4" x14ac:dyDescent="0.3">
      <c r="E4293" s="3"/>
      <c r="F4293" s="3"/>
      <c r="G4293" s="3"/>
      <c r="H4293" s="3"/>
      <c r="I4293" s="3"/>
      <c r="J4293" s="3"/>
    </row>
    <row r="4294" spans="5:10" ht="14.4" x14ac:dyDescent="0.3">
      <c r="E4294" s="3"/>
      <c r="F4294" s="3"/>
      <c r="G4294" s="3"/>
      <c r="H4294" s="3"/>
      <c r="I4294" s="3"/>
      <c r="J4294" s="3"/>
    </row>
    <row r="4295" spans="5:10" ht="14.4" x14ac:dyDescent="0.3">
      <c r="E4295" s="3"/>
      <c r="F4295" s="3"/>
      <c r="G4295" s="3"/>
      <c r="H4295" s="3"/>
      <c r="I4295" s="3"/>
      <c r="J4295" s="3"/>
    </row>
    <row r="4296" spans="5:10" ht="14.4" x14ac:dyDescent="0.3">
      <c r="E4296" s="3"/>
      <c r="F4296" s="3"/>
      <c r="G4296" s="3"/>
      <c r="H4296" s="3"/>
      <c r="I4296" s="3"/>
      <c r="J4296" s="3"/>
    </row>
    <row r="4297" spans="5:10" ht="14.4" x14ac:dyDescent="0.3">
      <c r="E4297" s="3"/>
      <c r="F4297" s="3"/>
      <c r="G4297" s="3"/>
      <c r="H4297" s="3"/>
      <c r="I4297" s="3"/>
      <c r="J4297" s="3"/>
    </row>
    <row r="4298" spans="5:10" ht="14.4" x14ac:dyDescent="0.3">
      <c r="E4298" s="3"/>
      <c r="F4298" s="3"/>
      <c r="G4298" s="3"/>
      <c r="H4298" s="3"/>
      <c r="I4298" s="3"/>
      <c r="J4298" s="3"/>
    </row>
    <row r="4299" spans="5:10" ht="14.4" x14ac:dyDescent="0.3">
      <c r="E4299" s="3"/>
      <c r="F4299" s="3"/>
      <c r="G4299" s="3"/>
      <c r="H4299" s="3"/>
      <c r="I4299" s="3"/>
      <c r="J4299" s="3"/>
    </row>
    <row r="4300" spans="5:10" ht="14.4" x14ac:dyDescent="0.3">
      <c r="E4300" s="3"/>
      <c r="F4300" s="3"/>
      <c r="G4300" s="3"/>
      <c r="H4300" s="3"/>
      <c r="I4300" s="3"/>
      <c r="J4300" s="3"/>
    </row>
    <row r="4301" spans="5:10" ht="14.4" x14ac:dyDescent="0.3">
      <c r="E4301" s="3"/>
      <c r="F4301" s="3"/>
      <c r="G4301" s="3"/>
      <c r="H4301" s="3"/>
      <c r="I4301" s="3"/>
      <c r="J4301" s="3"/>
    </row>
    <row r="4302" spans="5:10" ht="14.4" x14ac:dyDescent="0.3">
      <c r="E4302" s="3"/>
      <c r="F4302" s="3"/>
      <c r="G4302" s="3"/>
      <c r="H4302" s="3"/>
      <c r="I4302" s="3"/>
      <c r="J4302" s="3"/>
    </row>
    <row r="4303" spans="5:10" ht="14.4" x14ac:dyDescent="0.3">
      <c r="E4303" s="3"/>
      <c r="F4303" s="3"/>
      <c r="G4303" s="3"/>
      <c r="H4303" s="3"/>
      <c r="I4303" s="3"/>
      <c r="J4303" s="3"/>
    </row>
    <row r="4304" spans="5:10" ht="14.4" x14ac:dyDescent="0.3">
      <c r="E4304" s="3"/>
      <c r="F4304" s="3"/>
      <c r="G4304" s="3"/>
      <c r="H4304" s="3"/>
      <c r="I4304" s="3"/>
      <c r="J4304" s="3"/>
    </row>
    <row r="4305" spans="5:10" ht="14.4" x14ac:dyDescent="0.3">
      <c r="E4305" s="3"/>
      <c r="F4305" s="3"/>
      <c r="G4305" s="3"/>
      <c r="H4305" s="3"/>
      <c r="I4305" s="3"/>
      <c r="J4305" s="3"/>
    </row>
    <row r="4306" spans="5:10" ht="14.4" x14ac:dyDescent="0.3">
      <c r="E4306" s="3"/>
      <c r="F4306" s="3"/>
      <c r="G4306" s="3"/>
      <c r="H4306" s="3"/>
      <c r="I4306" s="3"/>
      <c r="J4306" s="3"/>
    </row>
    <row r="4307" spans="5:10" ht="14.4" x14ac:dyDescent="0.3">
      <c r="E4307" s="3"/>
      <c r="F4307" s="3"/>
      <c r="G4307" s="3"/>
      <c r="H4307" s="3"/>
      <c r="I4307" s="3"/>
      <c r="J4307" s="3"/>
    </row>
    <row r="4308" spans="5:10" ht="14.4" x14ac:dyDescent="0.3">
      <c r="E4308" s="3"/>
      <c r="F4308" s="3"/>
      <c r="G4308" s="3"/>
      <c r="H4308" s="3"/>
      <c r="I4308" s="3"/>
      <c r="J4308" s="3"/>
    </row>
    <row r="4309" spans="5:10" ht="14.4" x14ac:dyDescent="0.3">
      <c r="E4309" s="3"/>
      <c r="F4309" s="3"/>
      <c r="G4309" s="3"/>
      <c r="H4309" s="3"/>
      <c r="I4309" s="3"/>
      <c r="J4309" s="3"/>
    </row>
    <row r="4310" spans="5:10" ht="14.4" x14ac:dyDescent="0.3">
      <c r="E4310" s="3"/>
      <c r="F4310" s="3"/>
      <c r="G4310" s="3"/>
      <c r="H4310" s="3"/>
      <c r="I4310" s="3"/>
      <c r="J4310" s="3"/>
    </row>
    <row r="4311" spans="5:10" ht="14.4" x14ac:dyDescent="0.3">
      <c r="E4311" s="3"/>
      <c r="F4311" s="3"/>
      <c r="G4311" s="3"/>
      <c r="H4311" s="3"/>
      <c r="I4311" s="3"/>
      <c r="J4311" s="3"/>
    </row>
    <row r="4312" spans="5:10" ht="14.4" x14ac:dyDescent="0.3">
      <c r="E4312" s="3"/>
      <c r="F4312" s="3"/>
      <c r="G4312" s="3"/>
      <c r="H4312" s="3"/>
      <c r="I4312" s="3"/>
      <c r="J4312" s="3"/>
    </row>
    <row r="4313" spans="5:10" ht="14.4" x14ac:dyDescent="0.3">
      <c r="E4313" s="3"/>
      <c r="F4313" s="3"/>
      <c r="G4313" s="3"/>
      <c r="H4313" s="3"/>
      <c r="I4313" s="3"/>
      <c r="J4313" s="3"/>
    </row>
    <row r="4314" spans="5:10" ht="14.4" x14ac:dyDescent="0.3">
      <c r="E4314" s="3"/>
      <c r="F4314" s="3"/>
      <c r="G4314" s="3"/>
      <c r="H4314" s="3"/>
      <c r="I4314" s="3"/>
      <c r="J4314" s="3"/>
    </row>
    <row r="4315" spans="5:10" ht="14.4" x14ac:dyDescent="0.3">
      <c r="E4315" s="3"/>
      <c r="F4315" s="3"/>
      <c r="G4315" s="3"/>
      <c r="H4315" s="3"/>
      <c r="I4315" s="3"/>
      <c r="J4315" s="3"/>
    </row>
    <row r="4316" spans="5:10" ht="14.4" x14ac:dyDescent="0.3">
      <c r="E4316" s="3"/>
      <c r="F4316" s="3"/>
      <c r="G4316" s="3"/>
      <c r="H4316" s="3"/>
      <c r="I4316" s="3"/>
      <c r="J4316" s="3"/>
    </row>
    <row r="4317" spans="5:10" ht="14.4" x14ac:dyDescent="0.3">
      <c r="E4317" s="3"/>
      <c r="F4317" s="3"/>
      <c r="G4317" s="3"/>
      <c r="H4317" s="3"/>
      <c r="I4317" s="3"/>
      <c r="J4317" s="3"/>
    </row>
    <row r="4318" spans="5:10" ht="14.4" x14ac:dyDescent="0.3">
      <c r="E4318" s="3"/>
      <c r="F4318" s="3"/>
      <c r="G4318" s="3"/>
      <c r="H4318" s="3"/>
      <c r="I4318" s="3"/>
      <c r="J4318" s="3"/>
    </row>
    <row r="4319" spans="5:10" ht="14.4" x14ac:dyDescent="0.3">
      <c r="E4319" s="3"/>
      <c r="F4319" s="3"/>
      <c r="G4319" s="3"/>
      <c r="H4319" s="3"/>
      <c r="I4319" s="3"/>
      <c r="J4319" s="3"/>
    </row>
    <row r="4320" spans="5:10" ht="14.4" x14ac:dyDescent="0.3">
      <c r="E4320" s="3"/>
      <c r="F4320" s="3"/>
      <c r="G4320" s="3"/>
      <c r="H4320" s="3"/>
      <c r="I4320" s="3"/>
      <c r="J4320" s="3"/>
    </row>
    <row r="4321" spans="5:10" ht="14.4" x14ac:dyDescent="0.3">
      <c r="E4321" s="3"/>
      <c r="F4321" s="3"/>
      <c r="G4321" s="3"/>
      <c r="H4321" s="3"/>
      <c r="I4321" s="3"/>
      <c r="J4321" s="3"/>
    </row>
    <row r="4322" spans="5:10" ht="14.4" x14ac:dyDescent="0.3">
      <c r="E4322" s="3"/>
      <c r="F4322" s="3"/>
      <c r="G4322" s="3"/>
      <c r="H4322" s="3"/>
      <c r="I4322" s="3"/>
      <c r="J4322" s="3"/>
    </row>
    <row r="4323" spans="5:10" ht="14.4" x14ac:dyDescent="0.3">
      <c r="E4323" s="3"/>
      <c r="F4323" s="3"/>
      <c r="G4323" s="3"/>
      <c r="H4323" s="3"/>
      <c r="I4323" s="3"/>
      <c r="J4323" s="3"/>
    </row>
    <row r="4324" spans="5:10" ht="14.4" x14ac:dyDescent="0.3">
      <c r="E4324" s="3"/>
      <c r="F4324" s="3"/>
      <c r="G4324" s="3"/>
      <c r="H4324" s="3"/>
      <c r="I4324" s="3"/>
      <c r="J4324" s="3"/>
    </row>
    <row r="4325" spans="5:10" ht="14.4" x14ac:dyDescent="0.3">
      <c r="E4325" s="3"/>
      <c r="F4325" s="3"/>
      <c r="G4325" s="3"/>
      <c r="H4325" s="3"/>
      <c r="I4325" s="3"/>
      <c r="J4325" s="3"/>
    </row>
    <row r="4326" spans="5:10" ht="14.4" x14ac:dyDescent="0.3">
      <c r="E4326" s="3"/>
      <c r="F4326" s="3"/>
      <c r="G4326" s="3"/>
      <c r="H4326" s="3"/>
      <c r="I4326" s="3"/>
      <c r="J4326" s="3"/>
    </row>
    <row r="4327" spans="5:10" ht="14.4" x14ac:dyDescent="0.3">
      <c r="E4327" s="3"/>
      <c r="F4327" s="3"/>
      <c r="G4327" s="3"/>
      <c r="H4327" s="3"/>
      <c r="I4327" s="3"/>
      <c r="J4327" s="3"/>
    </row>
    <row r="4328" spans="5:10" ht="14.4" x14ac:dyDescent="0.3">
      <c r="E4328" s="3"/>
      <c r="F4328" s="3"/>
      <c r="G4328" s="3"/>
      <c r="H4328" s="3"/>
      <c r="I4328" s="3"/>
      <c r="J4328" s="3"/>
    </row>
    <row r="4329" spans="5:10" ht="14.4" x14ac:dyDescent="0.3">
      <c r="E4329" s="3"/>
      <c r="F4329" s="3"/>
      <c r="G4329" s="3"/>
      <c r="H4329" s="3"/>
      <c r="I4329" s="3"/>
      <c r="J4329" s="3"/>
    </row>
    <row r="4330" spans="5:10" ht="14.4" x14ac:dyDescent="0.3">
      <c r="E4330" s="3"/>
      <c r="F4330" s="3"/>
      <c r="G4330" s="3"/>
      <c r="H4330" s="3"/>
      <c r="I4330" s="3"/>
      <c r="J4330" s="3"/>
    </row>
    <row r="4331" spans="5:10" ht="14.4" x14ac:dyDescent="0.3">
      <c r="E4331" s="3"/>
      <c r="F4331" s="3"/>
      <c r="G4331" s="3"/>
      <c r="H4331" s="3"/>
      <c r="I4331" s="3"/>
      <c r="J4331" s="3"/>
    </row>
    <row r="4332" spans="5:10" ht="14.4" x14ac:dyDescent="0.3">
      <c r="E4332" s="3"/>
      <c r="F4332" s="3"/>
      <c r="G4332" s="3"/>
      <c r="H4332" s="3"/>
      <c r="I4332" s="3"/>
      <c r="J4332" s="3"/>
    </row>
    <row r="4333" spans="5:10" ht="14.4" x14ac:dyDescent="0.3">
      <c r="E4333" s="3"/>
      <c r="F4333" s="3"/>
      <c r="G4333" s="3"/>
      <c r="H4333" s="3"/>
      <c r="I4333" s="3"/>
      <c r="J4333" s="3"/>
    </row>
    <row r="4334" spans="5:10" ht="14.4" x14ac:dyDescent="0.3">
      <c r="E4334" s="3"/>
      <c r="F4334" s="3"/>
      <c r="G4334" s="3"/>
      <c r="H4334" s="3"/>
      <c r="I4334" s="3"/>
      <c r="J4334" s="3"/>
    </row>
    <row r="4335" spans="5:10" ht="14.4" x14ac:dyDescent="0.3">
      <c r="E4335" s="3"/>
      <c r="F4335" s="3"/>
      <c r="G4335" s="3"/>
      <c r="H4335" s="3"/>
      <c r="I4335" s="3"/>
      <c r="J4335" s="3"/>
    </row>
    <row r="4336" spans="5:10" ht="14.4" x14ac:dyDescent="0.3">
      <c r="E4336" s="3"/>
      <c r="F4336" s="3"/>
      <c r="G4336" s="3"/>
      <c r="H4336" s="3"/>
      <c r="I4336" s="3"/>
      <c r="J4336" s="3"/>
    </row>
    <row r="4337" spans="5:10" ht="14.4" x14ac:dyDescent="0.3">
      <c r="E4337" s="3"/>
      <c r="F4337" s="3"/>
      <c r="G4337" s="3"/>
      <c r="H4337" s="3"/>
      <c r="I4337" s="3"/>
      <c r="J4337" s="3"/>
    </row>
    <row r="4338" spans="5:10" ht="14.4" x14ac:dyDescent="0.3">
      <c r="E4338" s="3"/>
      <c r="F4338" s="3"/>
      <c r="G4338" s="3"/>
      <c r="H4338" s="3"/>
      <c r="I4338" s="3"/>
      <c r="J4338" s="3"/>
    </row>
    <row r="4339" spans="5:10" ht="14.4" x14ac:dyDescent="0.3">
      <c r="E4339" s="3"/>
      <c r="F4339" s="3"/>
      <c r="G4339" s="3"/>
      <c r="H4339" s="3"/>
      <c r="I4339" s="3"/>
      <c r="J4339" s="3"/>
    </row>
    <row r="4340" spans="5:10" ht="14.4" x14ac:dyDescent="0.3">
      <c r="E4340" s="3"/>
      <c r="F4340" s="3"/>
      <c r="G4340" s="3"/>
      <c r="H4340" s="3"/>
      <c r="I4340" s="3"/>
      <c r="J4340" s="3"/>
    </row>
    <row r="4341" spans="5:10" ht="14.4" x14ac:dyDescent="0.3">
      <c r="E4341" s="3"/>
      <c r="F4341" s="3"/>
      <c r="G4341" s="3"/>
      <c r="H4341" s="3"/>
      <c r="I4341" s="3"/>
      <c r="J4341" s="3"/>
    </row>
    <row r="4342" spans="5:10" ht="14.4" x14ac:dyDescent="0.3">
      <c r="E4342" s="3"/>
      <c r="F4342" s="3"/>
      <c r="G4342" s="3"/>
      <c r="H4342" s="3"/>
      <c r="I4342" s="3"/>
      <c r="J4342" s="3"/>
    </row>
    <row r="4343" spans="5:10" ht="14.4" x14ac:dyDescent="0.3">
      <c r="E4343" s="3"/>
      <c r="F4343" s="3"/>
      <c r="G4343" s="3"/>
      <c r="H4343" s="3"/>
      <c r="I4343" s="3"/>
      <c r="J4343" s="3"/>
    </row>
    <row r="4344" spans="5:10" ht="14.4" x14ac:dyDescent="0.3">
      <c r="E4344" s="3"/>
      <c r="F4344" s="3"/>
      <c r="G4344" s="3"/>
      <c r="H4344" s="3"/>
      <c r="I4344" s="3"/>
      <c r="J4344" s="3"/>
    </row>
    <row r="4345" spans="5:10" ht="14.4" x14ac:dyDescent="0.3">
      <c r="E4345" s="3"/>
      <c r="F4345" s="3"/>
      <c r="G4345" s="3"/>
      <c r="H4345" s="3"/>
      <c r="I4345" s="3"/>
      <c r="J4345" s="3"/>
    </row>
    <row r="4346" spans="5:10" ht="14.4" x14ac:dyDescent="0.3">
      <c r="E4346" s="3"/>
      <c r="F4346" s="3"/>
      <c r="G4346" s="3"/>
      <c r="H4346" s="3"/>
      <c r="I4346" s="3"/>
      <c r="J4346" s="3"/>
    </row>
    <row r="4347" spans="5:10" ht="14.4" x14ac:dyDescent="0.3">
      <c r="E4347" s="3"/>
      <c r="F4347" s="3"/>
      <c r="G4347" s="3"/>
      <c r="H4347" s="3"/>
      <c r="I4347" s="3"/>
      <c r="J4347" s="3"/>
    </row>
    <row r="4348" spans="5:10" ht="14.4" x14ac:dyDescent="0.3">
      <c r="E4348" s="3"/>
      <c r="F4348" s="3"/>
      <c r="G4348" s="3"/>
      <c r="H4348" s="3"/>
      <c r="I4348" s="3"/>
      <c r="J4348" s="3"/>
    </row>
    <row r="4349" spans="5:10" ht="14.4" x14ac:dyDescent="0.3">
      <c r="E4349" s="3"/>
      <c r="F4349" s="3"/>
      <c r="G4349" s="3"/>
      <c r="H4349" s="3"/>
      <c r="I4349" s="3"/>
      <c r="J4349" s="3"/>
    </row>
    <row r="4350" spans="5:10" ht="14.4" x14ac:dyDescent="0.3">
      <c r="E4350" s="3"/>
      <c r="F4350" s="3"/>
      <c r="G4350" s="3"/>
      <c r="H4350" s="3"/>
      <c r="I4350" s="3"/>
      <c r="J4350" s="3"/>
    </row>
    <row r="4351" spans="5:10" ht="14.4" x14ac:dyDescent="0.3">
      <c r="E4351" s="3"/>
      <c r="F4351" s="3"/>
      <c r="G4351" s="3"/>
      <c r="H4351" s="3"/>
      <c r="I4351" s="3"/>
      <c r="J4351" s="3"/>
    </row>
    <row r="4352" spans="5:10" ht="14.4" x14ac:dyDescent="0.3">
      <c r="E4352" s="3"/>
      <c r="F4352" s="3"/>
      <c r="G4352" s="3"/>
      <c r="H4352" s="3"/>
      <c r="I4352" s="3"/>
      <c r="J4352" s="3"/>
    </row>
    <row r="4353" spans="5:10" ht="14.4" x14ac:dyDescent="0.3">
      <c r="E4353" s="3"/>
      <c r="F4353" s="3"/>
      <c r="G4353" s="3"/>
      <c r="H4353" s="3"/>
      <c r="I4353" s="3"/>
      <c r="J4353" s="3"/>
    </row>
    <row r="4354" spans="5:10" ht="14.4" x14ac:dyDescent="0.3">
      <c r="E4354" s="3"/>
      <c r="F4354" s="3"/>
      <c r="G4354" s="3"/>
      <c r="H4354" s="3"/>
      <c r="I4354" s="3"/>
      <c r="J4354" s="3"/>
    </row>
    <row r="4355" spans="5:10" ht="14.4" x14ac:dyDescent="0.3">
      <c r="E4355" s="3"/>
      <c r="F4355" s="3"/>
      <c r="G4355" s="3"/>
      <c r="H4355" s="3"/>
      <c r="I4355" s="3"/>
      <c r="J4355" s="3"/>
    </row>
    <row r="4356" spans="5:10" ht="14.4" x14ac:dyDescent="0.3">
      <c r="E4356" s="3"/>
      <c r="F4356" s="3"/>
      <c r="G4356" s="3"/>
      <c r="H4356" s="3"/>
      <c r="I4356" s="3"/>
      <c r="J4356" s="3"/>
    </row>
    <row r="4357" spans="5:10" ht="14.4" x14ac:dyDescent="0.3">
      <c r="E4357" s="3"/>
      <c r="F4357" s="3"/>
      <c r="G4357" s="3"/>
      <c r="H4357" s="3"/>
      <c r="I4357" s="3"/>
      <c r="J4357" s="3"/>
    </row>
    <row r="4358" spans="5:10" ht="14.4" x14ac:dyDescent="0.3">
      <c r="E4358" s="3"/>
      <c r="F4358" s="3"/>
      <c r="G4358" s="3"/>
      <c r="H4358" s="3"/>
      <c r="I4358" s="3"/>
      <c r="J4358" s="3"/>
    </row>
    <row r="4359" spans="5:10" ht="14.4" x14ac:dyDescent="0.3">
      <c r="E4359" s="3"/>
      <c r="F4359" s="3"/>
      <c r="G4359" s="3"/>
      <c r="H4359" s="3"/>
      <c r="I4359" s="3"/>
      <c r="J4359" s="3"/>
    </row>
    <row r="4360" spans="5:10" ht="14.4" x14ac:dyDescent="0.3">
      <c r="E4360" s="3"/>
      <c r="F4360" s="3"/>
      <c r="G4360" s="3"/>
      <c r="H4360" s="3"/>
      <c r="I4360" s="3"/>
      <c r="J4360" s="3"/>
    </row>
    <row r="4361" spans="5:10" ht="14.4" x14ac:dyDescent="0.3">
      <c r="E4361" s="3"/>
      <c r="F4361" s="3"/>
      <c r="G4361" s="3"/>
      <c r="H4361" s="3"/>
      <c r="I4361" s="3"/>
      <c r="J4361" s="3"/>
    </row>
    <row r="4362" spans="5:10" ht="14.4" x14ac:dyDescent="0.3">
      <c r="E4362" s="3"/>
      <c r="F4362" s="3"/>
      <c r="G4362" s="3"/>
      <c r="H4362" s="3"/>
      <c r="I4362" s="3"/>
      <c r="J4362" s="3"/>
    </row>
    <row r="4363" spans="5:10" ht="14.4" x14ac:dyDescent="0.3">
      <c r="E4363" s="3"/>
      <c r="F4363" s="3"/>
      <c r="G4363" s="3"/>
      <c r="H4363" s="3"/>
      <c r="I4363" s="3"/>
      <c r="J4363" s="3"/>
    </row>
    <row r="4364" spans="5:10" ht="14.4" x14ac:dyDescent="0.3">
      <c r="E4364" s="3"/>
      <c r="F4364" s="3"/>
      <c r="G4364" s="3"/>
      <c r="H4364" s="3"/>
      <c r="I4364" s="3"/>
      <c r="J4364" s="3"/>
    </row>
    <row r="4365" spans="5:10" ht="14.4" x14ac:dyDescent="0.3">
      <c r="E4365" s="3"/>
      <c r="F4365" s="3"/>
      <c r="G4365" s="3"/>
      <c r="H4365" s="3"/>
      <c r="I4365" s="3"/>
      <c r="J4365" s="3"/>
    </row>
    <row r="4366" spans="5:10" ht="14.4" x14ac:dyDescent="0.3">
      <c r="E4366" s="3"/>
      <c r="F4366" s="3"/>
      <c r="G4366" s="3"/>
      <c r="H4366" s="3"/>
      <c r="I4366" s="3"/>
      <c r="J4366" s="3"/>
    </row>
    <row r="4367" spans="5:10" ht="14.4" x14ac:dyDescent="0.3">
      <c r="E4367" s="3"/>
      <c r="F4367" s="3"/>
      <c r="G4367" s="3"/>
      <c r="H4367" s="3"/>
      <c r="I4367" s="3"/>
      <c r="J4367" s="3"/>
    </row>
    <row r="4368" spans="5:10" ht="14.4" x14ac:dyDescent="0.3">
      <c r="E4368" s="3"/>
      <c r="F4368" s="3"/>
      <c r="G4368" s="3"/>
      <c r="H4368" s="3"/>
      <c r="I4368" s="3"/>
      <c r="J4368" s="3"/>
    </row>
    <row r="4369" spans="5:10" ht="14.4" x14ac:dyDescent="0.3">
      <c r="E4369" s="3"/>
      <c r="F4369" s="3"/>
      <c r="G4369" s="3"/>
      <c r="H4369" s="3"/>
      <c r="I4369" s="3"/>
      <c r="J4369" s="3"/>
    </row>
    <row r="4370" spans="5:10" ht="14.4" x14ac:dyDescent="0.3">
      <c r="E4370" s="3"/>
      <c r="F4370" s="3"/>
      <c r="G4370" s="3"/>
      <c r="H4370" s="3"/>
      <c r="I4370" s="3"/>
      <c r="J4370" s="3"/>
    </row>
    <row r="4371" spans="5:10" ht="14.4" x14ac:dyDescent="0.3">
      <c r="E4371" s="3"/>
      <c r="F4371" s="3"/>
      <c r="G4371" s="3"/>
      <c r="H4371" s="3"/>
      <c r="I4371" s="3"/>
      <c r="J4371" s="3"/>
    </row>
    <row r="4372" spans="5:10" ht="14.4" x14ac:dyDescent="0.3">
      <c r="E4372" s="3"/>
      <c r="F4372" s="3"/>
      <c r="G4372" s="3"/>
      <c r="H4372" s="3"/>
      <c r="I4372" s="3"/>
      <c r="J4372" s="3"/>
    </row>
    <row r="4373" spans="5:10" ht="14.4" x14ac:dyDescent="0.3">
      <c r="E4373" s="3"/>
      <c r="F4373" s="3"/>
      <c r="G4373" s="3"/>
      <c r="H4373" s="3"/>
      <c r="I4373" s="3"/>
      <c r="J4373" s="3"/>
    </row>
    <row r="4374" spans="5:10" ht="14.4" x14ac:dyDescent="0.3">
      <c r="E4374" s="3"/>
      <c r="F4374" s="3"/>
      <c r="G4374" s="3"/>
      <c r="H4374" s="3"/>
      <c r="I4374" s="3"/>
      <c r="J4374" s="3"/>
    </row>
    <row r="4375" spans="5:10" ht="14.4" x14ac:dyDescent="0.3">
      <c r="E4375" s="3"/>
      <c r="F4375" s="3"/>
      <c r="G4375" s="3"/>
      <c r="H4375" s="3"/>
      <c r="I4375" s="3"/>
      <c r="J4375" s="3"/>
    </row>
    <row r="4376" spans="5:10" ht="14.4" x14ac:dyDescent="0.3">
      <c r="E4376" s="3"/>
      <c r="F4376" s="3"/>
      <c r="G4376" s="3"/>
      <c r="H4376" s="3"/>
      <c r="I4376" s="3"/>
      <c r="J4376" s="3"/>
    </row>
    <row r="4377" spans="5:10" ht="14.4" x14ac:dyDescent="0.3">
      <c r="E4377" s="3"/>
      <c r="F4377" s="3"/>
      <c r="G4377" s="3"/>
      <c r="H4377" s="3"/>
      <c r="I4377" s="3"/>
      <c r="J4377" s="3"/>
    </row>
    <row r="4378" spans="5:10" ht="14.4" x14ac:dyDescent="0.3">
      <c r="E4378" s="3"/>
      <c r="F4378" s="3"/>
      <c r="G4378" s="3"/>
      <c r="H4378" s="3"/>
      <c r="I4378" s="3"/>
      <c r="J4378" s="3"/>
    </row>
    <row r="4379" spans="5:10" ht="14.4" x14ac:dyDescent="0.3">
      <c r="E4379" s="3"/>
      <c r="F4379" s="3"/>
      <c r="G4379" s="3"/>
      <c r="H4379" s="3"/>
      <c r="I4379" s="3"/>
      <c r="J4379" s="3"/>
    </row>
    <row r="4380" spans="5:10" ht="14.4" x14ac:dyDescent="0.3">
      <c r="E4380" s="3"/>
      <c r="F4380" s="3"/>
      <c r="G4380" s="3"/>
      <c r="H4380" s="3"/>
      <c r="I4380" s="3"/>
      <c r="J4380" s="3"/>
    </row>
    <row r="4381" spans="5:10" ht="14.4" x14ac:dyDescent="0.3">
      <c r="E4381" s="3"/>
      <c r="F4381" s="3"/>
      <c r="G4381" s="3"/>
      <c r="H4381" s="3"/>
      <c r="I4381" s="3"/>
      <c r="J4381" s="3"/>
    </row>
    <row r="4382" spans="5:10" ht="14.4" x14ac:dyDescent="0.3">
      <c r="E4382" s="3"/>
      <c r="F4382" s="3"/>
      <c r="G4382" s="3"/>
      <c r="H4382" s="3"/>
      <c r="I4382" s="3"/>
      <c r="J4382" s="3"/>
    </row>
    <row r="4383" spans="5:10" ht="14.4" x14ac:dyDescent="0.3">
      <c r="E4383" s="3"/>
      <c r="F4383" s="3"/>
      <c r="G4383" s="3"/>
      <c r="H4383" s="3"/>
      <c r="I4383" s="3"/>
      <c r="J4383" s="3"/>
    </row>
    <row r="4384" spans="5:10" ht="14.4" x14ac:dyDescent="0.3">
      <c r="E4384" s="3"/>
      <c r="F4384" s="3"/>
      <c r="G4384" s="3"/>
      <c r="H4384" s="3"/>
      <c r="I4384" s="3"/>
      <c r="J4384" s="3"/>
    </row>
    <row r="4385" spans="5:10" ht="14.4" x14ac:dyDescent="0.3">
      <c r="E4385" s="3"/>
      <c r="F4385" s="3"/>
      <c r="G4385" s="3"/>
      <c r="H4385" s="3"/>
      <c r="I4385" s="3"/>
      <c r="J4385" s="3"/>
    </row>
    <row r="4386" spans="5:10" ht="14.4" x14ac:dyDescent="0.3">
      <c r="E4386" s="3"/>
      <c r="F4386" s="3"/>
      <c r="G4386" s="3"/>
      <c r="H4386" s="3"/>
      <c r="I4386" s="3"/>
      <c r="J4386" s="3"/>
    </row>
    <row r="4387" spans="5:10" ht="14.4" x14ac:dyDescent="0.3">
      <c r="E4387" s="3"/>
      <c r="F4387" s="3"/>
      <c r="G4387" s="3"/>
      <c r="H4387" s="3"/>
      <c r="I4387" s="3"/>
      <c r="J4387" s="3"/>
    </row>
    <row r="4388" spans="5:10" ht="14.4" x14ac:dyDescent="0.3">
      <c r="E4388" s="3"/>
      <c r="F4388" s="3"/>
      <c r="G4388" s="3"/>
      <c r="H4388" s="3"/>
      <c r="I4388" s="3"/>
      <c r="J4388" s="3"/>
    </row>
    <row r="4389" spans="5:10" ht="14.4" x14ac:dyDescent="0.3">
      <c r="E4389" s="3"/>
      <c r="F4389" s="3"/>
      <c r="G4389" s="3"/>
      <c r="H4389" s="3"/>
      <c r="I4389" s="3"/>
      <c r="J4389" s="3"/>
    </row>
    <row r="4390" spans="5:10" ht="14.4" x14ac:dyDescent="0.3">
      <c r="E4390" s="3"/>
      <c r="F4390" s="3"/>
      <c r="G4390" s="3"/>
      <c r="H4390" s="3"/>
      <c r="I4390" s="3"/>
      <c r="J4390" s="3"/>
    </row>
    <row r="4391" spans="5:10" ht="14.4" x14ac:dyDescent="0.3">
      <c r="E4391" s="3"/>
      <c r="F4391" s="3"/>
      <c r="G4391" s="3"/>
      <c r="H4391" s="3"/>
      <c r="I4391" s="3"/>
      <c r="J4391" s="3"/>
    </row>
    <row r="4392" spans="5:10" ht="14.4" x14ac:dyDescent="0.3">
      <c r="E4392" s="3"/>
      <c r="F4392" s="3"/>
      <c r="G4392" s="3"/>
      <c r="H4392" s="3"/>
      <c r="I4392" s="3"/>
      <c r="J4392" s="3"/>
    </row>
    <row r="4393" spans="5:10" ht="14.4" x14ac:dyDescent="0.3">
      <c r="E4393" s="3"/>
      <c r="F4393" s="3"/>
      <c r="G4393" s="3"/>
      <c r="H4393" s="3"/>
      <c r="I4393" s="3"/>
      <c r="J4393" s="3"/>
    </row>
    <row r="4394" spans="5:10" ht="14.4" x14ac:dyDescent="0.3">
      <c r="E4394" s="3"/>
      <c r="F4394" s="3"/>
      <c r="G4394" s="3"/>
      <c r="H4394" s="3"/>
      <c r="I4394" s="3"/>
      <c r="J4394" s="3"/>
    </row>
    <row r="4395" spans="5:10" ht="14.4" x14ac:dyDescent="0.3">
      <c r="E4395" s="3"/>
      <c r="F4395" s="3"/>
      <c r="G4395" s="3"/>
      <c r="H4395" s="3"/>
      <c r="I4395" s="3"/>
      <c r="J4395" s="3"/>
    </row>
    <row r="4396" spans="5:10" ht="14.4" x14ac:dyDescent="0.3">
      <c r="E4396" s="3"/>
      <c r="F4396" s="3"/>
      <c r="G4396" s="3"/>
      <c r="H4396" s="3"/>
      <c r="I4396" s="3"/>
      <c r="J4396" s="3"/>
    </row>
    <row r="4397" spans="5:10" ht="14.4" x14ac:dyDescent="0.3">
      <c r="E4397" s="3"/>
      <c r="F4397" s="3"/>
      <c r="G4397" s="3"/>
      <c r="H4397" s="3"/>
      <c r="I4397" s="3"/>
      <c r="J4397" s="3"/>
    </row>
    <row r="4398" spans="5:10" ht="14.4" x14ac:dyDescent="0.3">
      <c r="E4398" s="3"/>
      <c r="F4398" s="3"/>
      <c r="G4398" s="3"/>
      <c r="H4398" s="3"/>
      <c r="I4398" s="3"/>
      <c r="J4398" s="3"/>
    </row>
    <row r="4399" spans="5:10" ht="14.4" x14ac:dyDescent="0.3">
      <c r="E4399" s="3"/>
      <c r="F4399" s="3"/>
      <c r="G4399" s="3"/>
      <c r="H4399" s="3"/>
      <c r="I4399" s="3"/>
      <c r="J4399" s="3"/>
    </row>
    <row r="4400" spans="5:10" ht="14.4" x14ac:dyDescent="0.3">
      <c r="E4400" s="3"/>
      <c r="F4400" s="3"/>
      <c r="G4400" s="3"/>
      <c r="H4400" s="3"/>
      <c r="I4400" s="3"/>
      <c r="J4400" s="3"/>
    </row>
    <row r="4401" spans="5:10" ht="14.4" x14ac:dyDescent="0.3">
      <c r="E4401" s="3"/>
      <c r="F4401" s="3"/>
      <c r="G4401" s="3"/>
      <c r="H4401" s="3"/>
      <c r="I4401" s="3"/>
      <c r="J4401" s="3"/>
    </row>
    <row r="4402" spans="5:10" ht="14.4" x14ac:dyDescent="0.3">
      <c r="E4402" s="3"/>
      <c r="F4402" s="3"/>
      <c r="G4402" s="3"/>
      <c r="H4402" s="3"/>
      <c r="I4402" s="3"/>
      <c r="J4402" s="3"/>
    </row>
    <row r="4403" spans="5:10" ht="14.4" x14ac:dyDescent="0.3">
      <c r="E4403" s="3"/>
      <c r="F4403" s="3"/>
      <c r="G4403" s="3"/>
      <c r="H4403" s="3"/>
      <c r="I4403" s="3"/>
      <c r="J4403" s="3"/>
    </row>
    <row r="4404" spans="5:10" ht="14.4" x14ac:dyDescent="0.3">
      <c r="E4404" s="3"/>
      <c r="F4404" s="3"/>
      <c r="G4404" s="3"/>
      <c r="H4404" s="3"/>
      <c r="I4404" s="3"/>
      <c r="J4404" s="3"/>
    </row>
    <row r="4405" spans="5:10" ht="14.4" x14ac:dyDescent="0.3">
      <c r="E4405" s="3"/>
      <c r="F4405" s="3"/>
      <c r="G4405" s="3"/>
      <c r="H4405" s="3"/>
      <c r="I4405" s="3"/>
      <c r="J4405" s="3"/>
    </row>
    <row r="4406" spans="5:10" ht="14.4" x14ac:dyDescent="0.3">
      <c r="E4406" s="3"/>
      <c r="F4406" s="3"/>
      <c r="G4406" s="3"/>
      <c r="H4406" s="3"/>
      <c r="I4406" s="3"/>
      <c r="J4406" s="3"/>
    </row>
    <row r="4407" spans="5:10" ht="14.4" x14ac:dyDescent="0.3">
      <c r="E4407" s="3"/>
      <c r="F4407" s="3"/>
      <c r="G4407" s="3"/>
      <c r="H4407" s="3"/>
      <c r="I4407" s="3"/>
      <c r="J4407" s="3"/>
    </row>
    <row r="4408" spans="5:10" ht="14.4" x14ac:dyDescent="0.3">
      <c r="E4408" s="3"/>
      <c r="F4408" s="3"/>
      <c r="G4408" s="3"/>
      <c r="H4408" s="3"/>
      <c r="I4408" s="3"/>
      <c r="J4408" s="3"/>
    </row>
    <row r="4409" spans="5:10" ht="14.4" x14ac:dyDescent="0.3">
      <c r="E4409" s="3"/>
      <c r="F4409" s="3"/>
      <c r="G4409" s="3"/>
      <c r="H4409" s="3"/>
      <c r="I4409" s="3"/>
      <c r="J4409" s="3"/>
    </row>
    <row r="4410" spans="5:10" ht="14.4" x14ac:dyDescent="0.3">
      <c r="E4410" s="3"/>
      <c r="F4410" s="3"/>
      <c r="G4410" s="3"/>
      <c r="H4410" s="3"/>
      <c r="I4410" s="3"/>
      <c r="J4410" s="3"/>
    </row>
    <row r="4411" spans="5:10" ht="14.4" x14ac:dyDescent="0.3">
      <c r="E4411" s="3"/>
      <c r="F4411" s="3"/>
      <c r="G4411" s="3"/>
      <c r="H4411" s="3"/>
      <c r="I4411" s="3"/>
      <c r="J4411" s="3"/>
    </row>
    <row r="4412" spans="5:10" ht="14.4" x14ac:dyDescent="0.3">
      <c r="E4412" s="3"/>
      <c r="F4412" s="3"/>
      <c r="G4412" s="3"/>
      <c r="H4412" s="3"/>
      <c r="I4412" s="3"/>
      <c r="J4412" s="3"/>
    </row>
    <row r="4413" spans="5:10" ht="14.4" x14ac:dyDescent="0.3">
      <c r="E4413" s="3"/>
      <c r="F4413" s="3"/>
      <c r="G4413" s="3"/>
      <c r="H4413" s="3"/>
      <c r="I4413" s="3"/>
      <c r="J4413" s="3"/>
    </row>
    <row r="4414" spans="5:10" ht="14.4" x14ac:dyDescent="0.3">
      <c r="E4414" s="3"/>
      <c r="F4414" s="3"/>
      <c r="G4414" s="3"/>
      <c r="H4414" s="3"/>
      <c r="I4414" s="3"/>
      <c r="J4414" s="3"/>
    </row>
    <row r="4415" spans="5:10" ht="14.4" x14ac:dyDescent="0.3">
      <c r="E4415" s="3"/>
      <c r="F4415" s="3"/>
      <c r="G4415" s="3"/>
      <c r="H4415" s="3"/>
      <c r="I4415" s="3"/>
      <c r="J4415" s="3"/>
    </row>
    <row r="4416" spans="5:10" ht="14.4" x14ac:dyDescent="0.3">
      <c r="E4416" s="3"/>
      <c r="F4416" s="3"/>
      <c r="G4416" s="3"/>
      <c r="H4416" s="3"/>
      <c r="I4416" s="3"/>
      <c r="J4416" s="3"/>
    </row>
    <row r="4417" spans="5:10" ht="14.4" x14ac:dyDescent="0.3">
      <c r="E4417" s="3"/>
      <c r="F4417" s="3"/>
      <c r="G4417" s="3"/>
      <c r="H4417" s="3"/>
      <c r="I4417" s="3"/>
      <c r="J4417" s="3"/>
    </row>
    <row r="4418" spans="5:10" ht="14.4" x14ac:dyDescent="0.3">
      <c r="E4418" s="3"/>
      <c r="F4418" s="3"/>
      <c r="G4418" s="3"/>
      <c r="H4418" s="3"/>
      <c r="I4418" s="3"/>
      <c r="J4418" s="3"/>
    </row>
    <row r="4419" spans="5:10" ht="14.4" x14ac:dyDescent="0.3">
      <c r="E4419" s="3"/>
      <c r="F4419" s="3"/>
      <c r="G4419" s="3"/>
      <c r="H4419" s="3"/>
      <c r="I4419" s="3"/>
      <c r="J4419" s="3"/>
    </row>
    <row r="4420" spans="5:10" ht="14.4" x14ac:dyDescent="0.3">
      <c r="E4420" s="3"/>
      <c r="F4420" s="3"/>
      <c r="G4420" s="3"/>
      <c r="H4420" s="3"/>
      <c r="I4420" s="3"/>
      <c r="J4420" s="3"/>
    </row>
    <row r="4421" spans="5:10" ht="14.4" x14ac:dyDescent="0.3">
      <c r="E4421" s="3"/>
      <c r="F4421" s="3"/>
      <c r="G4421" s="3"/>
      <c r="H4421" s="3"/>
      <c r="I4421" s="3"/>
      <c r="J4421" s="3"/>
    </row>
    <row r="4422" spans="5:10" ht="14.4" x14ac:dyDescent="0.3">
      <c r="E4422" s="3"/>
      <c r="F4422" s="3"/>
      <c r="G4422" s="3"/>
      <c r="H4422" s="3"/>
      <c r="I4422" s="3"/>
      <c r="J4422" s="3"/>
    </row>
    <row r="4423" spans="5:10" ht="14.4" x14ac:dyDescent="0.3">
      <c r="E4423" s="3"/>
      <c r="F4423" s="3"/>
      <c r="G4423" s="3"/>
      <c r="H4423" s="3"/>
      <c r="I4423" s="3"/>
      <c r="J4423" s="3"/>
    </row>
    <row r="4424" spans="5:10" ht="14.4" x14ac:dyDescent="0.3">
      <c r="E4424" s="3"/>
      <c r="F4424" s="3"/>
      <c r="G4424" s="3"/>
      <c r="H4424" s="3"/>
      <c r="I4424" s="3"/>
      <c r="J4424" s="3"/>
    </row>
    <row r="4425" spans="5:10" ht="14.4" x14ac:dyDescent="0.3">
      <c r="E4425" s="3"/>
      <c r="F4425" s="3"/>
      <c r="G4425" s="3"/>
      <c r="H4425" s="3"/>
      <c r="I4425" s="3"/>
      <c r="J4425" s="3"/>
    </row>
    <row r="4426" spans="5:10" ht="14.4" x14ac:dyDescent="0.3">
      <c r="E4426" s="3"/>
      <c r="F4426" s="3"/>
      <c r="G4426" s="3"/>
      <c r="H4426" s="3"/>
      <c r="I4426" s="3"/>
      <c r="J4426" s="3"/>
    </row>
    <row r="4427" spans="5:10" ht="14.4" x14ac:dyDescent="0.3">
      <c r="E4427" s="3"/>
      <c r="F4427" s="3"/>
      <c r="G4427" s="3"/>
      <c r="H4427" s="3"/>
      <c r="I4427" s="3"/>
      <c r="J4427" s="3"/>
    </row>
    <row r="4428" spans="5:10" ht="14.4" x14ac:dyDescent="0.3">
      <c r="E4428" s="3"/>
      <c r="F4428" s="3"/>
      <c r="G4428" s="3"/>
      <c r="H4428" s="3"/>
      <c r="I4428" s="3"/>
      <c r="J4428" s="3"/>
    </row>
    <row r="4429" spans="5:10" ht="14.4" x14ac:dyDescent="0.3">
      <c r="E4429" s="3"/>
      <c r="F4429" s="3"/>
      <c r="G4429" s="3"/>
      <c r="H4429" s="3"/>
      <c r="I4429" s="3"/>
      <c r="J4429" s="3"/>
    </row>
    <row r="4430" spans="5:10" ht="14.4" x14ac:dyDescent="0.3">
      <c r="E4430" s="3"/>
      <c r="F4430" s="3"/>
      <c r="G4430" s="3"/>
      <c r="H4430" s="3"/>
      <c r="I4430" s="3"/>
      <c r="J4430" s="3"/>
    </row>
    <row r="4431" spans="5:10" ht="14.4" x14ac:dyDescent="0.3">
      <c r="E4431" s="3"/>
      <c r="F4431" s="3"/>
      <c r="G4431" s="3"/>
      <c r="H4431" s="3"/>
      <c r="I4431" s="3"/>
      <c r="J4431" s="3"/>
    </row>
    <row r="4432" spans="5:10" ht="14.4" x14ac:dyDescent="0.3">
      <c r="E4432" s="3"/>
      <c r="F4432" s="3"/>
      <c r="G4432" s="3"/>
      <c r="H4432" s="3"/>
      <c r="I4432" s="3"/>
      <c r="J4432" s="3"/>
    </row>
    <row r="4433" spans="5:10" ht="14.4" x14ac:dyDescent="0.3">
      <c r="E4433" s="3"/>
      <c r="F4433" s="3"/>
      <c r="G4433" s="3"/>
      <c r="H4433" s="3"/>
      <c r="I4433" s="3"/>
      <c r="J4433" s="3"/>
    </row>
    <row r="4434" spans="5:10" ht="14.4" x14ac:dyDescent="0.3">
      <c r="E4434" s="3"/>
      <c r="F4434" s="3"/>
      <c r="G4434" s="3"/>
      <c r="H4434" s="3"/>
      <c r="I4434" s="3"/>
      <c r="J4434" s="3"/>
    </row>
    <row r="4435" spans="5:10" ht="14.4" x14ac:dyDescent="0.3">
      <c r="E4435" s="3"/>
      <c r="F4435" s="3"/>
      <c r="G4435" s="3"/>
      <c r="H4435" s="3"/>
      <c r="I4435" s="3"/>
      <c r="J4435" s="3"/>
    </row>
    <row r="4436" spans="5:10" ht="14.4" x14ac:dyDescent="0.3">
      <c r="E4436" s="3"/>
      <c r="F4436" s="3"/>
      <c r="G4436" s="3"/>
      <c r="H4436" s="3"/>
      <c r="I4436" s="3"/>
      <c r="J4436" s="3"/>
    </row>
    <row r="4437" spans="5:10" ht="14.4" x14ac:dyDescent="0.3">
      <c r="E4437" s="3"/>
      <c r="F4437" s="3"/>
      <c r="G4437" s="3"/>
      <c r="H4437" s="3"/>
      <c r="I4437" s="3"/>
      <c r="J4437" s="3"/>
    </row>
    <row r="4438" spans="5:10" ht="14.4" x14ac:dyDescent="0.3">
      <c r="E4438" s="3"/>
      <c r="F4438" s="3"/>
      <c r="G4438" s="3"/>
      <c r="H4438" s="3"/>
      <c r="I4438" s="3"/>
      <c r="J4438" s="3"/>
    </row>
    <row r="4439" spans="5:10" ht="14.4" x14ac:dyDescent="0.3">
      <c r="E4439" s="3"/>
      <c r="F4439" s="3"/>
      <c r="G4439" s="3"/>
      <c r="H4439" s="3"/>
      <c r="I4439" s="3"/>
      <c r="J4439" s="3"/>
    </row>
    <row r="4440" spans="5:10" ht="14.4" x14ac:dyDescent="0.3">
      <c r="E4440" s="3"/>
      <c r="F4440" s="3"/>
      <c r="G4440" s="3"/>
      <c r="H4440" s="3"/>
      <c r="I4440" s="3"/>
      <c r="J4440" s="3"/>
    </row>
    <row r="4441" spans="5:10" ht="14.4" x14ac:dyDescent="0.3">
      <c r="E4441" s="3"/>
      <c r="F4441" s="3"/>
      <c r="G4441" s="3"/>
      <c r="H4441" s="3"/>
      <c r="I4441" s="3"/>
      <c r="J4441" s="3"/>
    </row>
    <row r="4442" spans="5:10" ht="14.4" x14ac:dyDescent="0.3">
      <c r="E4442" s="3"/>
      <c r="F4442" s="3"/>
      <c r="G4442" s="3"/>
      <c r="H4442" s="3"/>
      <c r="I4442" s="3"/>
      <c r="J4442" s="3"/>
    </row>
    <row r="4443" spans="5:10" ht="14.4" x14ac:dyDescent="0.3">
      <c r="E4443" s="3"/>
      <c r="F4443" s="3"/>
      <c r="G4443" s="3"/>
      <c r="H4443" s="3"/>
      <c r="I4443" s="3"/>
      <c r="J4443" s="3"/>
    </row>
    <row r="4444" spans="5:10" ht="14.4" x14ac:dyDescent="0.3">
      <c r="E4444" s="3"/>
      <c r="F4444" s="3"/>
      <c r="G4444" s="3"/>
      <c r="H4444" s="3"/>
      <c r="I4444" s="3"/>
      <c r="J4444" s="3"/>
    </row>
    <row r="4445" spans="5:10" ht="14.4" x14ac:dyDescent="0.3">
      <c r="E4445" s="3"/>
      <c r="F4445" s="3"/>
      <c r="G4445" s="3"/>
      <c r="H4445" s="3"/>
      <c r="I4445" s="3"/>
      <c r="J4445" s="3"/>
    </row>
    <row r="4446" spans="5:10" ht="14.4" x14ac:dyDescent="0.3">
      <c r="E4446" s="3"/>
      <c r="F4446" s="3"/>
      <c r="G4446" s="3"/>
      <c r="H4446" s="3"/>
      <c r="I4446" s="3"/>
      <c r="J4446" s="3"/>
    </row>
    <row r="4447" spans="5:10" ht="14.4" x14ac:dyDescent="0.3">
      <c r="E4447" s="3"/>
      <c r="F4447" s="3"/>
      <c r="G4447" s="3"/>
      <c r="H4447" s="3"/>
      <c r="I4447" s="3"/>
      <c r="J4447" s="3"/>
    </row>
    <row r="4448" spans="5:10" ht="14.4" x14ac:dyDescent="0.3">
      <c r="E4448" s="3"/>
      <c r="F4448" s="3"/>
      <c r="G4448" s="3"/>
      <c r="H4448" s="3"/>
      <c r="I4448" s="3"/>
      <c r="J4448" s="3"/>
    </row>
    <row r="4449" spans="5:10" ht="14.4" x14ac:dyDescent="0.3">
      <c r="E4449" s="3"/>
      <c r="F4449" s="3"/>
      <c r="G4449" s="3"/>
      <c r="H4449" s="3"/>
      <c r="I4449" s="3"/>
      <c r="J4449" s="3"/>
    </row>
    <row r="4450" spans="5:10" ht="14.4" x14ac:dyDescent="0.3">
      <c r="E4450" s="3"/>
      <c r="F4450" s="3"/>
      <c r="G4450" s="3"/>
      <c r="H4450" s="3"/>
      <c r="I4450" s="3"/>
      <c r="J4450" s="3"/>
    </row>
    <row r="4451" spans="5:10" ht="14.4" x14ac:dyDescent="0.3">
      <c r="E4451" s="3"/>
      <c r="F4451" s="3"/>
      <c r="G4451" s="3"/>
      <c r="H4451" s="3"/>
      <c r="I4451" s="3"/>
      <c r="J4451" s="3"/>
    </row>
    <row r="4452" spans="5:10" ht="14.4" x14ac:dyDescent="0.3">
      <c r="E4452" s="3"/>
      <c r="F4452" s="3"/>
      <c r="G4452" s="3"/>
      <c r="H4452" s="3"/>
      <c r="I4452" s="3"/>
      <c r="J4452" s="3"/>
    </row>
    <row r="4453" spans="5:10" ht="14.4" x14ac:dyDescent="0.3">
      <c r="E4453" s="3"/>
      <c r="F4453" s="3"/>
      <c r="G4453" s="3"/>
      <c r="H4453" s="3"/>
      <c r="I4453" s="3"/>
      <c r="J4453" s="3"/>
    </row>
    <row r="4454" spans="5:10" ht="14.4" x14ac:dyDescent="0.3">
      <c r="E4454" s="3"/>
      <c r="F4454" s="3"/>
      <c r="G4454" s="3"/>
      <c r="H4454" s="3"/>
      <c r="I4454" s="3"/>
      <c r="J4454" s="3"/>
    </row>
    <row r="4455" spans="5:10" ht="14.4" x14ac:dyDescent="0.3">
      <c r="E4455" s="3"/>
      <c r="F4455" s="3"/>
      <c r="G4455" s="3"/>
      <c r="H4455" s="3"/>
      <c r="I4455" s="3"/>
      <c r="J4455" s="3"/>
    </row>
    <row r="4456" spans="5:10" ht="14.4" x14ac:dyDescent="0.3">
      <c r="E4456" s="3"/>
      <c r="F4456" s="3"/>
      <c r="G4456" s="3"/>
      <c r="H4456" s="3"/>
      <c r="I4456" s="3"/>
      <c r="J4456" s="3"/>
    </row>
    <row r="4457" spans="5:10" ht="14.4" x14ac:dyDescent="0.3">
      <c r="E4457" s="3"/>
      <c r="F4457" s="3"/>
      <c r="G4457" s="3"/>
      <c r="H4457" s="3"/>
      <c r="I4457" s="3"/>
      <c r="J4457" s="3"/>
    </row>
    <row r="4458" spans="5:10" ht="14.4" x14ac:dyDescent="0.3">
      <c r="E4458" s="3"/>
      <c r="F4458" s="3"/>
      <c r="G4458" s="3"/>
      <c r="H4458" s="3"/>
      <c r="I4458" s="3"/>
      <c r="J4458" s="3"/>
    </row>
    <row r="4459" spans="5:10" ht="14.4" x14ac:dyDescent="0.3">
      <c r="E4459" s="3"/>
      <c r="F4459" s="3"/>
      <c r="G4459" s="3"/>
      <c r="H4459" s="3"/>
      <c r="I4459" s="3"/>
      <c r="J4459" s="3"/>
    </row>
    <row r="4460" spans="5:10" ht="14.4" x14ac:dyDescent="0.3">
      <c r="E4460" s="3"/>
      <c r="F4460" s="3"/>
      <c r="G4460" s="3"/>
      <c r="H4460" s="3"/>
      <c r="I4460" s="3"/>
      <c r="J4460" s="3"/>
    </row>
    <row r="4461" spans="5:10" ht="14.4" x14ac:dyDescent="0.3">
      <c r="E4461" s="3"/>
      <c r="F4461" s="3"/>
      <c r="G4461" s="3"/>
      <c r="H4461" s="3"/>
      <c r="I4461" s="3"/>
      <c r="J4461" s="3"/>
    </row>
    <row r="4462" spans="5:10" ht="14.4" x14ac:dyDescent="0.3">
      <c r="E4462" s="3"/>
      <c r="F4462" s="3"/>
      <c r="G4462" s="3"/>
      <c r="H4462" s="3"/>
      <c r="I4462" s="3"/>
      <c r="J4462" s="3"/>
    </row>
    <row r="4463" spans="5:10" ht="14.4" x14ac:dyDescent="0.3">
      <c r="E4463" s="3"/>
      <c r="F4463" s="3"/>
      <c r="G4463" s="3"/>
      <c r="H4463" s="3"/>
      <c r="I4463" s="3"/>
      <c r="J4463" s="3"/>
    </row>
    <row r="4464" spans="5:10" ht="14.4" x14ac:dyDescent="0.3">
      <c r="E4464" s="3"/>
      <c r="F4464" s="3"/>
      <c r="G4464" s="3"/>
      <c r="H4464" s="3"/>
      <c r="I4464" s="3"/>
      <c r="J4464" s="3"/>
    </row>
    <row r="4465" spans="5:10" ht="14.4" x14ac:dyDescent="0.3">
      <c r="E4465" s="3"/>
      <c r="F4465" s="3"/>
      <c r="G4465" s="3"/>
      <c r="H4465" s="3"/>
      <c r="I4465" s="3"/>
      <c r="J4465" s="3"/>
    </row>
    <row r="4466" spans="5:10" ht="14.4" x14ac:dyDescent="0.3">
      <c r="E4466" s="3"/>
      <c r="F4466" s="3"/>
      <c r="G4466" s="3"/>
      <c r="H4466" s="3"/>
      <c r="I4466" s="3"/>
      <c r="J4466" s="3"/>
    </row>
    <row r="4467" spans="5:10" ht="14.4" x14ac:dyDescent="0.3">
      <c r="E4467" s="3"/>
      <c r="F4467" s="3"/>
      <c r="G4467" s="3"/>
      <c r="H4467" s="3"/>
      <c r="I4467" s="3"/>
      <c r="J4467" s="3"/>
    </row>
    <row r="4468" spans="5:10" ht="14.4" x14ac:dyDescent="0.3">
      <c r="E4468" s="3"/>
      <c r="F4468" s="3"/>
      <c r="G4468" s="3"/>
      <c r="H4468" s="3"/>
      <c r="I4468" s="3"/>
      <c r="J4468" s="3"/>
    </row>
    <row r="4469" spans="5:10" ht="14.4" x14ac:dyDescent="0.3">
      <c r="E4469" s="3"/>
      <c r="F4469" s="3"/>
      <c r="G4469" s="3"/>
      <c r="H4469" s="3"/>
      <c r="I4469" s="3"/>
      <c r="J4469" s="3"/>
    </row>
    <row r="4470" spans="5:10" ht="14.4" x14ac:dyDescent="0.3">
      <c r="E4470" s="3"/>
      <c r="F4470" s="3"/>
      <c r="G4470" s="3"/>
      <c r="H4470" s="3"/>
      <c r="I4470" s="3"/>
      <c r="J4470" s="3"/>
    </row>
    <row r="4471" spans="5:10" ht="14.4" x14ac:dyDescent="0.3">
      <c r="E4471" s="3"/>
      <c r="F4471" s="3"/>
      <c r="G4471" s="3"/>
      <c r="H4471" s="3"/>
      <c r="I4471" s="3"/>
      <c r="J4471" s="3"/>
    </row>
    <row r="4472" spans="5:10" ht="14.4" x14ac:dyDescent="0.3">
      <c r="E4472" s="3"/>
      <c r="F4472" s="3"/>
      <c r="G4472" s="3"/>
      <c r="H4472" s="3"/>
      <c r="I4472" s="3"/>
      <c r="J4472" s="3"/>
    </row>
    <row r="4473" spans="5:10" ht="14.4" x14ac:dyDescent="0.3">
      <c r="E4473" s="3"/>
      <c r="F4473" s="3"/>
      <c r="G4473" s="3"/>
      <c r="H4473" s="3"/>
      <c r="I4473" s="3"/>
      <c r="J4473" s="3"/>
    </row>
    <row r="4474" spans="5:10" ht="14.4" x14ac:dyDescent="0.3">
      <c r="E4474" s="3"/>
      <c r="F4474" s="3"/>
      <c r="G4474" s="3"/>
      <c r="H4474" s="3"/>
      <c r="I4474" s="3"/>
      <c r="J4474" s="3"/>
    </row>
    <row r="4475" spans="5:10" ht="14.4" x14ac:dyDescent="0.3">
      <c r="E4475" s="3"/>
      <c r="F4475" s="3"/>
      <c r="G4475" s="3"/>
      <c r="H4475" s="3"/>
      <c r="I4475" s="3"/>
      <c r="J4475" s="3"/>
    </row>
    <row r="4476" spans="5:10" ht="14.4" x14ac:dyDescent="0.3">
      <c r="E4476" s="3"/>
      <c r="F4476" s="3"/>
      <c r="G4476" s="3"/>
      <c r="H4476" s="3"/>
      <c r="I4476" s="3"/>
      <c r="J4476" s="3"/>
    </row>
    <row r="4477" spans="5:10" ht="14.4" x14ac:dyDescent="0.3">
      <c r="E4477" s="3"/>
      <c r="F4477" s="3"/>
      <c r="G4477" s="3"/>
      <c r="H4477" s="3"/>
      <c r="I4477" s="3"/>
      <c r="J4477" s="3"/>
    </row>
    <row r="4478" spans="5:10" ht="14.4" x14ac:dyDescent="0.3">
      <c r="E4478" s="3"/>
      <c r="F4478" s="3"/>
      <c r="G4478" s="3"/>
      <c r="H4478" s="3"/>
      <c r="I4478" s="3"/>
      <c r="J4478" s="3"/>
    </row>
    <row r="4479" spans="5:10" ht="14.4" x14ac:dyDescent="0.3">
      <c r="E4479" s="3"/>
      <c r="F4479" s="3"/>
      <c r="G4479" s="3"/>
      <c r="H4479" s="3"/>
      <c r="I4479" s="3"/>
      <c r="J4479" s="3"/>
    </row>
    <row r="4480" spans="5:10" ht="14.4" x14ac:dyDescent="0.3">
      <c r="E4480" s="3"/>
      <c r="F4480" s="3"/>
      <c r="G4480" s="3"/>
      <c r="H4480" s="3"/>
      <c r="I4480" s="3"/>
      <c r="J4480" s="3"/>
    </row>
    <row r="4481" spans="5:10" ht="14.4" x14ac:dyDescent="0.3">
      <c r="E4481" s="3"/>
      <c r="F4481" s="3"/>
      <c r="G4481" s="3"/>
      <c r="H4481" s="3"/>
      <c r="I4481" s="3"/>
      <c r="J4481" s="3"/>
    </row>
    <row r="4482" spans="5:10" ht="14.4" x14ac:dyDescent="0.3">
      <c r="E4482" s="3"/>
      <c r="F4482" s="3"/>
      <c r="G4482" s="3"/>
      <c r="H4482" s="3"/>
      <c r="I4482" s="3"/>
      <c r="J4482" s="3"/>
    </row>
    <row r="4483" spans="5:10" ht="14.4" x14ac:dyDescent="0.3">
      <c r="E4483" s="3"/>
      <c r="F4483" s="3"/>
      <c r="G4483" s="3"/>
      <c r="H4483" s="3"/>
      <c r="I4483" s="3"/>
      <c r="J4483" s="3"/>
    </row>
    <row r="4484" spans="5:10" ht="14.4" x14ac:dyDescent="0.3">
      <c r="E4484" s="3"/>
      <c r="F4484" s="3"/>
      <c r="G4484" s="3"/>
      <c r="H4484" s="3"/>
      <c r="I4484" s="3"/>
      <c r="J4484" s="3"/>
    </row>
    <row r="4485" spans="5:10" ht="14.4" x14ac:dyDescent="0.3">
      <c r="E4485" s="3"/>
      <c r="F4485" s="3"/>
      <c r="G4485" s="3"/>
      <c r="H4485" s="3"/>
      <c r="I4485" s="3"/>
      <c r="J4485" s="3"/>
    </row>
    <row r="4486" spans="5:10" ht="14.4" x14ac:dyDescent="0.3">
      <c r="E4486" s="3"/>
      <c r="F4486" s="3"/>
      <c r="G4486" s="3"/>
      <c r="H4486" s="3"/>
      <c r="I4486" s="3"/>
      <c r="J4486" s="3"/>
    </row>
    <row r="4487" spans="5:10" ht="14.4" x14ac:dyDescent="0.3">
      <c r="E4487" s="3"/>
      <c r="F4487" s="3"/>
      <c r="G4487" s="3"/>
      <c r="H4487" s="3"/>
      <c r="I4487" s="3"/>
      <c r="J4487" s="3"/>
    </row>
    <row r="4488" spans="5:10" ht="14.4" x14ac:dyDescent="0.3">
      <c r="E4488" s="3"/>
      <c r="F4488" s="3"/>
      <c r="G4488" s="3"/>
      <c r="H4488" s="3"/>
      <c r="I4488" s="3"/>
      <c r="J4488" s="3"/>
    </row>
    <row r="4489" spans="5:10" ht="14.4" x14ac:dyDescent="0.3">
      <c r="E4489" s="3"/>
      <c r="F4489" s="3"/>
      <c r="G4489" s="3"/>
      <c r="H4489" s="3"/>
      <c r="I4489" s="3"/>
      <c r="J4489" s="3"/>
    </row>
    <row r="4490" spans="5:10" ht="14.4" x14ac:dyDescent="0.3">
      <c r="E4490" s="3"/>
      <c r="F4490" s="3"/>
      <c r="G4490" s="3"/>
      <c r="H4490" s="3"/>
      <c r="I4490" s="3"/>
      <c r="J4490" s="3"/>
    </row>
    <row r="4491" spans="5:10" ht="14.4" x14ac:dyDescent="0.3">
      <c r="E4491" s="3"/>
      <c r="F4491" s="3"/>
      <c r="G4491" s="3"/>
      <c r="H4491" s="3"/>
      <c r="I4491" s="3"/>
      <c r="J4491" s="3"/>
    </row>
    <row r="4492" spans="5:10" ht="14.4" x14ac:dyDescent="0.3">
      <c r="E4492" s="3"/>
      <c r="F4492" s="3"/>
      <c r="G4492" s="3"/>
      <c r="H4492" s="3"/>
      <c r="I4492" s="3"/>
      <c r="J4492" s="3"/>
    </row>
    <row r="4493" spans="5:10" ht="14.4" x14ac:dyDescent="0.3">
      <c r="E4493" s="3"/>
      <c r="F4493" s="3"/>
      <c r="G4493" s="3"/>
      <c r="H4493" s="3"/>
      <c r="I4493" s="3"/>
      <c r="J4493" s="3"/>
    </row>
    <row r="4494" spans="5:10" ht="14.4" x14ac:dyDescent="0.3">
      <c r="E4494" s="3"/>
      <c r="F4494" s="3"/>
      <c r="G4494" s="3"/>
      <c r="H4494" s="3"/>
      <c r="I4494" s="3"/>
      <c r="J4494" s="3"/>
    </row>
    <row r="4495" spans="5:10" ht="14.4" x14ac:dyDescent="0.3">
      <c r="E4495" s="3"/>
      <c r="F4495" s="3"/>
      <c r="G4495" s="3"/>
      <c r="H4495" s="3"/>
      <c r="I4495" s="3"/>
      <c r="J4495" s="3"/>
    </row>
    <row r="4496" spans="5:10" ht="14.4" x14ac:dyDescent="0.3">
      <c r="E4496" s="3"/>
      <c r="F4496" s="3"/>
      <c r="G4496" s="3"/>
      <c r="H4496" s="3"/>
      <c r="I4496" s="3"/>
      <c r="J4496" s="3"/>
    </row>
    <row r="4497" spans="5:10" ht="14.4" x14ac:dyDescent="0.3">
      <c r="E4497" s="3"/>
      <c r="F4497" s="3"/>
      <c r="G4497" s="3"/>
      <c r="H4497" s="3"/>
      <c r="I4497" s="3"/>
      <c r="J4497" s="3"/>
    </row>
    <row r="4498" spans="5:10" ht="14.4" x14ac:dyDescent="0.3">
      <c r="E4498" s="3"/>
      <c r="F4498" s="3"/>
      <c r="G4498" s="3"/>
      <c r="H4498" s="3"/>
      <c r="I4498" s="3"/>
      <c r="J4498" s="3"/>
    </row>
    <row r="4499" spans="5:10" ht="14.4" x14ac:dyDescent="0.3">
      <c r="E4499" s="3"/>
      <c r="F4499" s="3"/>
      <c r="G4499" s="3"/>
      <c r="H4499" s="3"/>
      <c r="I4499" s="3"/>
      <c r="J4499" s="3"/>
    </row>
    <row r="4500" spans="5:10" ht="14.4" x14ac:dyDescent="0.3">
      <c r="E4500" s="3"/>
      <c r="F4500" s="3"/>
      <c r="G4500" s="3"/>
      <c r="H4500" s="3"/>
      <c r="I4500" s="3"/>
      <c r="J4500" s="3"/>
    </row>
    <row r="4501" spans="5:10" ht="14.4" x14ac:dyDescent="0.3">
      <c r="E4501" s="3"/>
      <c r="F4501" s="3"/>
      <c r="G4501" s="3"/>
      <c r="H4501" s="3"/>
      <c r="I4501" s="3"/>
      <c r="J4501" s="3"/>
    </row>
    <row r="4502" spans="5:10" ht="14.4" x14ac:dyDescent="0.3">
      <c r="E4502" s="3"/>
      <c r="F4502" s="3"/>
      <c r="G4502" s="3"/>
      <c r="H4502" s="3"/>
      <c r="I4502" s="3"/>
      <c r="J4502" s="3"/>
    </row>
    <row r="4503" spans="5:10" ht="14.4" x14ac:dyDescent="0.3">
      <c r="E4503" s="3"/>
      <c r="F4503" s="3"/>
      <c r="G4503" s="3"/>
      <c r="H4503" s="3"/>
      <c r="I4503" s="3"/>
      <c r="J4503" s="3"/>
    </row>
    <row r="4504" spans="5:10" ht="14.4" x14ac:dyDescent="0.3">
      <c r="E4504" s="3"/>
      <c r="F4504" s="3"/>
      <c r="G4504" s="3"/>
      <c r="H4504" s="3"/>
      <c r="I4504" s="3"/>
      <c r="J4504" s="3"/>
    </row>
    <row r="4505" spans="5:10" ht="14.4" x14ac:dyDescent="0.3">
      <c r="E4505" s="3"/>
      <c r="F4505" s="3"/>
      <c r="G4505" s="3"/>
      <c r="H4505" s="3"/>
      <c r="I4505" s="3"/>
      <c r="J4505" s="3"/>
    </row>
    <row r="4506" spans="5:10" ht="14.4" x14ac:dyDescent="0.3">
      <c r="E4506" s="3"/>
      <c r="F4506" s="3"/>
      <c r="G4506" s="3"/>
      <c r="H4506" s="3"/>
      <c r="I4506" s="3"/>
      <c r="J4506" s="3"/>
    </row>
    <row r="4507" spans="5:10" ht="14.4" x14ac:dyDescent="0.3">
      <c r="E4507" s="3"/>
      <c r="F4507" s="3"/>
      <c r="G4507" s="3"/>
      <c r="H4507" s="3"/>
      <c r="I4507" s="3"/>
      <c r="J4507" s="3"/>
    </row>
    <row r="4508" spans="5:10" ht="14.4" x14ac:dyDescent="0.3">
      <c r="E4508" s="3"/>
      <c r="F4508" s="3"/>
      <c r="G4508" s="3"/>
      <c r="H4508" s="3"/>
      <c r="I4508" s="3"/>
      <c r="J4508" s="3"/>
    </row>
    <row r="4509" spans="5:10" ht="14.4" x14ac:dyDescent="0.3">
      <c r="E4509" s="3"/>
      <c r="F4509" s="3"/>
      <c r="G4509" s="3"/>
      <c r="H4509" s="3"/>
      <c r="I4509" s="3"/>
      <c r="J4509" s="3"/>
    </row>
    <row r="4510" spans="5:10" ht="14.4" x14ac:dyDescent="0.3">
      <c r="E4510" s="3"/>
      <c r="F4510" s="3"/>
      <c r="G4510" s="3"/>
      <c r="H4510" s="3"/>
      <c r="I4510" s="3"/>
      <c r="J4510" s="3"/>
    </row>
    <row r="4511" spans="5:10" ht="14.4" x14ac:dyDescent="0.3">
      <c r="E4511" s="3"/>
      <c r="F4511" s="3"/>
      <c r="G4511" s="3"/>
      <c r="H4511" s="3"/>
      <c r="I4511" s="3"/>
      <c r="J4511" s="3"/>
    </row>
    <row r="4512" spans="5:10" ht="14.4" x14ac:dyDescent="0.3">
      <c r="E4512" s="3"/>
      <c r="F4512" s="3"/>
      <c r="G4512" s="3"/>
      <c r="H4512" s="3"/>
      <c r="I4512" s="3"/>
      <c r="J4512" s="3"/>
    </row>
    <row r="4513" spans="5:10" ht="14.4" x14ac:dyDescent="0.3">
      <c r="E4513" s="3"/>
      <c r="F4513" s="3"/>
      <c r="G4513" s="3"/>
      <c r="H4513" s="3"/>
      <c r="I4513" s="3"/>
      <c r="J4513" s="3"/>
    </row>
    <row r="4514" spans="5:10" ht="14.4" x14ac:dyDescent="0.3">
      <c r="E4514" s="3"/>
      <c r="F4514" s="3"/>
      <c r="G4514" s="3"/>
      <c r="H4514" s="3"/>
      <c r="I4514" s="3"/>
      <c r="J4514" s="3"/>
    </row>
    <row r="4515" spans="5:10" ht="14.4" x14ac:dyDescent="0.3">
      <c r="E4515" s="3"/>
      <c r="F4515" s="3"/>
      <c r="G4515" s="3"/>
      <c r="H4515" s="3"/>
      <c r="I4515" s="3"/>
      <c r="J4515" s="3"/>
    </row>
    <row r="4516" spans="5:10" ht="14.4" x14ac:dyDescent="0.3">
      <c r="E4516" s="3"/>
      <c r="F4516" s="3"/>
      <c r="G4516" s="3"/>
      <c r="H4516" s="3"/>
      <c r="I4516" s="3"/>
      <c r="J4516" s="3"/>
    </row>
    <row r="4517" spans="5:10" ht="14.4" x14ac:dyDescent="0.3">
      <c r="E4517" s="3"/>
      <c r="F4517" s="3"/>
      <c r="G4517" s="3"/>
      <c r="H4517" s="3"/>
      <c r="I4517" s="3"/>
      <c r="J4517" s="3"/>
    </row>
    <row r="4518" spans="5:10" ht="14.4" x14ac:dyDescent="0.3">
      <c r="E4518" s="3"/>
      <c r="F4518" s="3"/>
      <c r="G4518" s="3"/>
      <c r="H4518" s="3"/>
      <c r="I4518" s="3"/>
      <c r="J4518" s="3"/>
    </row>
    <row r="4519" spans="5:10" ht="14.4" x14ac:dyDescent="0.3">
      <c r="E4519" s="3"/>
      <c r="F4519" s="3"/>
      <c r="G4519" s="3"/>
      <c r="H4519" s="3"/>
      <c r="I4519" s="3"/>
      <c r="J4519" s="3"/>
    </row>
    <row r="4520" spans="5:10" ht="14.4" x14ac:dyDescent="0.3">
      <c r="E4520" s="3"/>
      <c r="F4520" s="3"/>
      <c r="G4520" s="3"/>
      <c r="H4520" s="3"/>
      <c r="I4520" s="3"/>
      <c r="J4520" s="3"/>
    </row>
    <row r="4521" spans="5:10" ht="14.4" x14ac:dyDescent="0.3">
      <c r="E4521" s="3"/>
      <c r="F4521" s="3"/>
      <c r="G4521" s="3"/>
      <c r="H4521" s="3"/>
      <c r="I4521" s="3"/>
      <c r="J4521" s="3"/>
    </row>
    <row r="4522" spans="5:10" ht="14.4" x14ac:dyDescent="0.3">
      <c r="E4522" s="3"/>
      <c r="F4522" s="3"/>
      <c r="G4522" s="3"/>
      <c r="H4522" s="3"/>
      <c r="I4522" s="3"/>
      <c r="J4522" s="3"/>
    </row>
    <row r="4523" spans="5:10" ht="14.4" x14ac:dyDescent="0.3">
      <c r="E4523" s="3"/>
      <c r="F4523" s="3"/>
      <c r="G4523" s="3"/>
      <c r="H4523" s="3"/>
      <c r="I4523" s="3"/>
      <c r="J4523" s="3"/>
    </row>
    <row r="4524" spans="5:10" ht="14.4" x14ac:dyDescent="0.3">
      <c r="E4524" s="3"/>
      <c r="F4524" s="3"/>
      <c r="G4524" s="3"/>
      <c r="H4524" s="3"/>
      <c r="I4524" s="3"/>
      <c r="J4524" s="3"/>
    </row>
    <row r="4525" spans="5:10" ht="14.4" x14ac:dyDescent="0.3">
      <c r="E4525" s="3"/>
      <c r="F4525" s="3"/>
      <c r="G4525" s="3"/>
      <c r="H4525" s="3"/>
      <c r="I4525" s="3"/>
      <c r="J4525" s="3"/>
    </row>
    <row r="4526" spans="5:10" ht="14.4" x14ac:dyDescent="0.3">
      <c r="E4526" s="3"/>
      <c r="F4526" s="3"/>
      <c r="G4526" s="3"/>
      <c r="H4526" s="3"/>
      <c r="I4526" s="3"/>
      <c r="J4526" s="3"/>
    </row>
    <row r="4527" spans="5:10" ht="14.4" x14ac:dyDescent="0.3">
      <c r="E4527" s="3"/>
      <c r="F4527" s="3"/>
      <c r="G4527" s="3"/>
      <c r="H4527" s="3"/>
      <c r="I4527" s="3"/>
      <c r="J4527" s="3"/>
    </row>
    <row r="4528" spans="5:10" ht="14.4" x14ac:dyDescent="0.3">
      <c r="E4528" s="3"/>
      <c r="F4528" s="3"/>
      <c r="G4528" s="3"/>
      <c r="H4528" s="3"/>
      <c r="I4528" s="3"/>
      <c r="J4528" s="3"/>
    </row>
    <row r="4529" spans="5:10" ht="14.4" x14ac:dyDescent="0.3">
      <c r="E4529" s="3"/>
      <c r="F4529" s="3"/>
      <c r="G4529" s="3"/>
      <c r="H4529" s="3"/>
      <c r="I4529" s="3"/>
      <c r="J4529" s="3"/>
    </row>
    <row r="4530" spans="5:10" ht="14.4" x14ac:dyDescent="0.3">
      <c r="E4530" s="3"/>
      <c r="F4530" s="3"/>
      <c r="G4530" s="3"/>
      <c r="H4530" s="3"/>
      <c r="I4530" s="3"/>
      <c r="J4530" s="3"/>
    </row>
    <row r="4531" spans="5:10" ht="14.4" x14ac:dyDescent="0.3">
      <c r="E4531" s="3"/>
      <c r="F4531" s="3"/>
      <c r="G4531" s="3"/>
      <c r="H4531" s="3"/>
      <c r="I4531" s="3"/>
      <c r="J4531" s="3"/>
    </row>
    <row r="4532" spans="5:10" ht="14.4" x14ac:dyDescent="0.3">
      <c r="E4532" s="3"/>
      <c r="F4532" s="3"/>
      <c r="G4532" s="3"/>
      <c r="H4532" s="3"/>
      <c r="I4532" s="3"/>
      <c r="J4532" s="3"/>
    </row>
    <row r="4533" spans="5:10" ht="14.4" x14ac:dyDescent="0.3">
      <c r="E4533" s="3"/>
      <c r="F4533" s="3"/>
      <c r="G4533" s="3"/>
      <c r="H4533" s="3"/>
      <c r="I4533" s="3"/>
      <c r="J4533" s="3"/>
    </row>
    <row r="4534" spans="5:10" ht="14.4" x14ac:dyDescent="0.3">
      <c r="E4534" s="3"/>
      <c r="F4534" s="3"/>
      <c r="G4534" s="3"/>
      <c r="H4534" s="3"/>
      <c r="I4534" s="3"/>
      <c r="J4534" s="3"/>
    </row>
    <row r="4535" spans="5:10" ht="14.4" x14ac:dyDescent="0.3">
      <c r="E4535" s="3"/>
      <c r="F4535" s="3"/>
      <c r="G4535" s="3"/>
      <c r="H4535" s="3"/>
      <c r="I4535" s="3"/>
      <c r="J4535" s="3"/>
    </row>
    <row r="4536" spans="5:10" ht="14.4" x14ac:dyDescent="0.3">
      <c r="E4536" s="3"/>
      <c r="F4536" s="3"/>
      <c r="G4536" s="3"/>
      <c r="H4536" s="3"/>
      <c r="I4536" s="3"/>
      <c r="J4536" s="3"/>
    </row>
    <row r="4537" spans="5:10" ht="14.4" x14ac:dyDescent="0.3">
      <c r="E4537" s="3"/>
      <c r="F4537" s="3"/>
      <c r="G4537" s="3"/>
      <c r="H4537" s="3"/>
      <c r="I4537" s="3"/>
      <c r="J4537" s="3"/>
    </row>
    <row r="4538" spans="5:10" ht="14.4" x14ac:dyDescent="0.3">
      <c r="E4538" s="3"/>
      <c r="F4538" s="3"/>
      <c r="G4538" s="3"/>
      <c r="H4538" s="3"/>
      <c r="I4538" s="3"/>
      <c r="J4538" s="3"/>
    </row>
    <row r="4539" spans="5:10" ht="14.4" x14ac:dyDescent="0.3">
      <c r="E4539" s="3"/>
      <c r="F4539" s="3"/>
      <c r="G4539" s="3"/>
      <c r="H4539" s="3"/>
      <c r="I4539" s="3"/>
      <c r="J4539" s="3"/>
    </row>
    <row r="4540" spans="5:10" ht="14.4" x14ac:dyDescent="0.3">
      <c r="E4540" s="3"/>
      <c r="F4540" s="3"/>
      <c r="G4540" s="3"/>
      <c r="H4540" s="3"/>
      <c r="I4540" s="3"/>
      <c r="J4540" s="3"/>
    </row>
    <row r="4541" spans="5:10" ht="14.4" x14ac:dyDescent="0.3">
      <c r="E4541" s="3"/>
      <c r="F4541" s="3"/>
      <c r="G4541" s="3"/>
      <c r="H4541" s="3"/>
      <c r="I4541" s="3"/>
      <c r="J4541" s="3"/>
    </row>
    <row r="4542" spans="5:10" ht="14.4" x14ac:dyDescent="0.3">
      <c r="E4542" s="3"/>
      <c r="F4542" s="3"/>
      <c r="G4542" s="3"/>
      <c r="H4542" s="3"/>
      <c r="I4542" s="3"/>
      <c r="J4542" s="3"/>
    </row>
    <row r="4543" spans="5:10" ht="14.4" x14ac:dyDescent="0.3">
      <c r="E4543" s="3"/>
      <c r="F4543" s="3"/>
      <c r="G4543" s="3"/>
      <c r="H4543" s="3"/>
      <c r="I4543" s="3"/>
      <c r="J4543" s="3"/>
    </row>
    <row r="4544" spans="5:10" ht="14.4" x14ac:dyDescent="0.3">
      <c r="E4544" s="3"/>
      <c r="F4544" s="3"/>
      <c r="G4544" s="3"/>
      <c r="H4544" s="3"/>
      <c r="I4544" s="3"/>
      <c r="J4544" s="3"/>
    </row>
    <row r="4545" spans="5:10" ht="14.4" x14ac:dyDescent="0.3">
      <c r="E4545" s="3"/>
      <c r="F4545" s="3"/>
      <c r="G4545" s="3"/>
      <c r="H4545" s="3"/>
      <c r="I4545" s="3"/>
      <c r="J4545" s="3"/>
    </row>
    <row r="4546" spans="5:10" ht="14.4" x14ac:dyDescent="0.3">
      <c r="E4546" s="3"/>
      <c r="F4546" s="3"/>
      <c r="G4546" s="3"/>
      <c r="H4546" s="3"/>
      <c r="I4546" s="3"/>
      <c r="J4546" s="3"/>
    </row>
    <row r="4547" spans="5:10" ht="14.4" x14ac:dyDescent="0.3">
      <c r="E4547" s="3"/>
      <c r="F4547" s="3"/>
      <c r="G4547" s="3"/>
      <c r="H4547" s="3"/>
      <c r="I4547" s="3"/>
      <c r="J4547" s="3"/>
    </row>
    <row r="4548" spans="5:10" ht="14.4" x14ac:dyDescent="0.3">
      <c r="E4548" s="3"/>
      <c r="F4548" s="3"/>
      <c r="G4548" s="3"/>
      <c r="H4548" s="3"/>
      <c r="I4548" s="3"/>
      <c r="J4548" s="3"/>
    </row>
    <row r="4549" spans="5:10" ht="14.4" x14ac:dyDescent="0.3">
      <c r="E4549" s="3"/>
      <c r="F4549" s="3"/>
      <c r="G4549" s="3"/>
      <c r="H4549" s="3"/>
      <c r="I4549" s="3"/>
      <c r="J4549" s="3"/>
    </row>
    <row r="4550" spans="5:10" ht="14.4" x14ac:dyDescent="0.3">
      <c r="E4550" s="3"/>
      <c r="F4550" s="3"/>
      <c r="G4550" s="3"/>
      <c r="H4550" s="3"/>
      <c r="I4550" s="3"/>
      <c r="J4550" s="3"/>
    </row>
    <row r="4551" spans="5:10" ht="14.4" x14ac:dyDescent="0.3">
      <c r="E4551" s="3"/>
      <c r="F4551" s="3"/>
      <c r="G4551" s="3"/>
      <c r="H4551" s="3"/>
      <c r="I4551" s="3"/>
      <c r="J4551" s="3"/>
    </row>
    <row r="4552" spans="5:10" ht="14.4" x14ac:dyDescent="0.3">
      <c r="E4552" s="3"/>
      <c r="F4552" s="3"/>
      <c r="G4552" s="3"/>
      <c r="H4552" s="3"/>
      <c r="I4552" s="3"/>
      <c r="J4552" s="3"/>
    </row>
    <row r="4553" spans="5:10" ht="14.4" x14ac:dyDescent="0.3">
      <c r="E4553" s="3"/>
      <c r="F4553" s="3"/>
      <c r="G4553" s="3"/>
      <c r="H4553" s="3"/>
      <c r="I4553" s="3"/>
      <c r="J4553" s="3"/>
    </row>
    <row r="4554" spans="5:10" ht="14.4" x14ac:dyDescent="0.3">
      <c r="E4554" s="3"/>
      <c r="F4554" s="3"/>
      <c r="G4554" s="3"/>
      <c r="H4554" s="3"/>
      <c r="I4554" s="3"/>
      <c r="J4554" s="3"/>
    </row>
    <row r="4555" spans="5:10" ht="14.4" x14ac:dyDescent="0.3">
      <c r="E4555" s="3"/>
      <c r="F4555" s="3"/>
      <c r="G4555" s="3"/>
      <c r="H4555" s="3"/>
      <c r="I4555" s="3"/>
      <c r="J4555" s="3"/>
    </row>
    <row r="4556" spans="5:10" ht="14.4" x14ac:dyDescent="0.3">
      <c r="E4556" s="3"/>
      <c r="F4556" s="3"/>
      <c r="G4556" s="3"/>
      <c r="H4556" s="3"/>
      <c r="I4556" s="3"/>
      <c r="J4556" s="3"/>
    </row>
    <row r="4557" spans="5:10" ht="14.4" x14ac:dyDescent="0.3">
      <c r="E4557" s="3"/>
      <c r="F4557" s="3"/>
      <c r="G4557" s="3"/>
      <c r="H4557" s="3"/>
      <c r="I4557" s="3"/>
      <c r="J4557" s="3"/>
    </row>
    <row r="4558" spans="5:10" ht="14.4" x14ac:dyDescent="0.3">
      <c r="E4558" s="3"/>
      <c r="F4558" s="3"/>
      <c r="G4558" s="3"/>
      <c r="H4558" s="3"/>
      <c r="I4558" s="3"/>
      <c r="J4558" s="3"/>
    </row>
    <row r="4559" spans="5:10" ht="14.4" x14ac:dyDescent="0.3">
      <c r="E4559" s="3"/>
      <c r="F4559" s="3"/>
      <c r="G4559" s="3"/>
      <c r="H4559" s="3"/>
      <c r="I4559" s="3"/>
      <c r="J4559" s="3"/>
    </row>
    <row r="4560" spans="5:10" ht="14.4" x14ac:dyDescent="0.3">
      <c r="E4560" s="3"/>
      <c r="F4560" s="3"/>
      <c r="G4560" s="3"/>
      <c r="H4560" s="3"/>
      <c r="I4560" s="3"/>
      <c r="J4560" s="3"/>
    </row>
    <row r="4561" spans="5:10" ht="14.4" x14ac:dyDescent="0.3">
      <c r="E4561" s="3"/>
      <c r="F4561" s="3"/>
      <c r="G4561" s="3"/>
      <c r="H4561" s="3"/>
      <c r="I4561" s="3"/>
      <c r="J4561" s="3"/>
    </row>
    <row r="4562" spans="5:10" ht="14.4" x14ac:dyDescent="0.3">
      <c r="E4562" s="3"/>
      <c r="F4562" s="3"/>
      <c r="G4562" s="3"/>
      <c r="H4562" s="3"/>
      <c r="I4562" s="3"/>
      <c r="J4562" s="3"/>
    </row>
    <row r="4563" spans="5:10" ht="14.4" x14ac:dyDescent="0.3">
      <c r="E4563" s="3"/>
      <c r="F4563" s="3"/>
      <c r="G4563" s="3"/>
      <c r="H4563" s="3"/>
      <c r="I4563" s="3"/>
      <c r="J4563" s="3"/>
    </row>
    <row r="4564" spans="5:10" ht="14.4" x14ac:dyDescent="0.3">
      <c r="E4564" s="3"/>
      <c r="F4564" s="3"/>
      <c r="G4564" s="3"/>
      <c r="H4564" s="3"/>
      <c r="I4564" s="3"/>
      <c r="J4564" s="3"/>
    </row>
    <row r="4565" spans="5:10" ht="14.4" x14ac:dyDescent="0.3">
      <c r="E4565" s="3"/>
      <c r="F4565" s="3"/>
      <c r="G4565" s="3"/>
      <c r="H4565" s="3"/>
      <c r="I4565" s="3"/>
      <c r="J4565" s="3"/>
    </row>
    <row r="4566" spans="5:10" ht="14.4" x14ac:dyDescent="0.3">
      <c r="E4566" s="3"/>
      <c r="F4566" s="3"/>
      <c r="G4566" s="3"/>
      <c r="H4566" s="3"/>
      <c r="I4566" s="3"/>
      <c r="J4566" s="3"/>
    </row>
    <row r="4567" spans="5:10" ht="14.4" x14ac:dyDescent="0.3">
      <c r="E4567" s="3"/>
      <c r="F4567" s="3"/>
      <c r="G4567" s="3"/>
      <c r="H4567" s="3"/>
      <c r="I4567" s="3"/>
      <c r="J4567" s="3"/>
    </row>
    <row r="4568" spans="5:10" ht="14.4" x14ac:dyDescent="0.3">
      <c r="E4568" s="3"/>
      <c r="F4568" s="3"/>
      <c r="G4568" s="3"/>
      <c r="H4568" s="3"/>
      <c r="I4568" s="3"/>
      <c r="J4568" s="3"/>
    </row>
    <row r="4569" spans="5:10" ht="14.4" x14ac:dyDescent="0.3">
      <c r="E4569" s="3"/>
      <c r="F4569" s="3"/>
      <c r="G4569" s="3"/>
      <c r="H4569" s="3"/>
      <c r="I4569" s="3"/>
      <c r="J4569" s="3"/>
    </row>
    <row r="4570" spans="5:10" ht="14.4" x14ac:dyDescent="0.3">
      <c r="E4570" s="3"/>
      <c r="F4570" s="3"/>
      <c r="G4570" s="3"/>
      <c r="H4570" s="3"/>
      <c r="I4570" s="3"/>
      <c r="J4570" s="3"/>
    </row>
    <row r="4571" spans="5:10" ht="14.4" x14ac:dyDescent="0.3">
      <c r="E4571" s="3"/>
      <c r="F4571" s="3"/>
      <c r="G4571" s="3"/>
      <c r="H4571" s="3"/>
      <c r="I4571" s="3"/>
      <c r="J4571" s="3"/>
    </row>
    <row r="4572" spans="5:10" ht="14.4" x14ac:dyDescent="0.3">
      <c r="E4572" s="3"/>
      <c r="F4572" s="3"/>
      <c r="G4572" s="3"/>
      <c r="H4572" s="3"/>
      <c r="I4572" s="3"/>
      <c r="J4572" s="3"/>
    </row>
    <row r="4573" spans="5:10" ht="14.4" x14ac:dyDescent="0.3">
      <c r="E4573" s="3"/>
      <c r="F4573" s="3"/>
      <c r="G4573" s="3"/>
      <c r="H4573" s="3"/>
      <c r="I4573" s="3"/>
      <c r="J4573" s="3"/>
    </row>
    <row r="4574" spans="5:10" ht="14.4" x14ac:dyDescent="0.3">
      <c r="E4574" s="3"/>
      <c r="F4574" s="3"/>
      <c r="G4574" s="3"/>
      <c r="H4574" s="3"/>
      <c r="I4574" s="3"/>
      <c r="J4574" s="3"/>
    </row>
    <row r="4575" spans="5:10" ht="14.4" x14ac:dyDescent="0.3">
      <c r="E4575" s="3"/>
      <c r="F4575" s="3"/>
      <c r="G4575" s="3"/>
      <c r="H4575" s="3"/>
      <c r="I4575" s="3"/>
      <c r="J4575" s="3"/>
    </row>
    <row r="4576" spans="5:10" ht="14.4" x14ac:dyDescent="0.3">
      <c r="E4576" s="3"/>
      <c r="F4576" s="3"/>
      <c r="G4576" s="3"/>
      <c r="H4576" s="3"/>
      <c r="I4576" s="3"/>
      <c r="J4576" s="3"/>
    </row>
    <row r="4577" spans="5:10" ht="14.4" x14ac:dyDescent="0.3">
      <c r="E4577" s="3"/>
      <c r="F4577" s="3"/>
      <c r="G4577" s="3"/>
      <c r="H4577" s="3"/>
      <c r="I4577" s="3"/>
      <c r="J4577" s="3"/>
    </row>
    <row r="4578" spans="5:10" ht="14.4" x14ac:dyDescent="0.3">
      <c r="E4578" s="3"/>
      <c r="F4578" s="3"/>
      <c r="G4578" s="3"/>
      <c r="H4578" s="3"/>
      <c r="I4578" s="3"/>
      <c r="J4578" s="3"/>
    </row>
    <row r="4579" spans="5:10" ht="14.4" x14ac:dyDescent="0.3">
      <c r="E4579" s="3"/>
      <c r="F4579" s="3"/>
      <c r="G4579" s="3"/>
      <c r="H4579" s="3"/>
      <c r="I4579" s="3"/>
      <c r="J4579" s="3"/>
    </row>
    <row r="4580" spans="5:10" ht="14.4" x14ac:dyDescent="0.3">
      <c r="E4580" s="3"/>
      <c r="F4580" s="3"/>
      <c r="G4580" s="3"/>
      <c r="H4580" s="3"/>
      <c r="I4580" s="3"/>
      <c r="J4580" s="3"/>
    </row>
    <row r="4581" spans="5:10" ht="14.4" x14ac:dyDescent="0.3">
      <c r="E4581" s="3"/>
      <c r="F4581" s="3"/>
      <c r="G4581" s="3"/>
      <c r="H4581" s="3"/>
      <c r="I4581" s="3"/>
      <c r="J4581" s="3"/>
    </row>
    <row r="4582" spans="5:10" ht="14.4" x14ac:dyDescent="0.3">
      <c r="E4582" s="3"/>
      <c r="F4582" s="3"/>
      <c r="G4582" s="3"/>
      <c r="H4582" s="3"/>
      <c r="I4582" s="3"/>
      <c r="J4582" s="3"/>
    </row>
    <row r="4583" spans="5:10" ht="14.4" x14ac:dyDescent="0.3">
      <c r="E4583" s="3"/>
      <c r="F4583" s="3"/>
      <c r="G4583" s="3"/>
      <c r="H4583" s="3"/>
      <c r="I4583" s="3"/>
      <c r="J4583" s="3"/>
    </row>
    <row r="4584" spans="5:10" ht="14.4" x14ac:dyDescent="0.3">
      <c r="E4584" s="3"/>
      <c r="F4584" s="3"/>
      <c r="G4584" s="3"/>
      <c r="H4584" s="3"/>
      <c r="I4584" s="3"/>
      <c r="J4584" s="3"/>
    </row>
    <row r="4585" spans="5:10" ht="14.4" x14ac:dyDescent="0.3">
      <c r="E4585" s="3"/>
      <c r="F4585" s="3"/>
      <c r="G4585" s="3"/>
      <c r="H4585" s="3"/>
      <c r="I4585" s="3"/>
      <c r="J4585" s="3"/>
    </row>
    <row r="4586" spans="5:10" ht="14.4" x14ac:dyDescent="0.3">
      <c r="E4586" s="3"/>
      <c r="F4586" s="3"/>
      <c r="G4586" s="3"/>
      <c r="H4586" s="3"/>
      <c r="I4586" s="3"/>
      <c r="J4586" s="3"/>
    </row>
    <row r="4587" spans="5:10" ht="14.4" x14ac:dyDescent="0.3">
      <c r="E4587" s="3"/>
      <c r="F4587" s="3"/>
      <c r="G4587" s="3"/>
      <c r="H4587" s="3"/>
      <c r="I4587" s="3"/>
      <c r="J4587" s="3"/>
    </row>
    <row r="4588" spans="5:10" ht="14.4" x14ac:dyDescent="0.3">
      <c r="E4588" s="3"/>
      <c r="F4588" s="3"/>
      <c r="G4588" s="3"/>
      <c r="H4588" s="3"/>
      <c r="I4588" s="3"/>
      <c r="J4588" s="3"/>
    </row>
    <row r="4589" spans="5:10" ht="14.4" x14ac:dyDescent="0.3">
      <c r="E4589" s="3"/>
      <c r="F4589" s="3"/>
      <c r="G4589" s="3"/>
      <c r="H4589" s="3"/>
      <c r="I4589" s="3"/>
      <c r="J4589" s="3"/>
    </row>
    <row r="4590" spans="5:10" ht="14.4" x14ac:dyDescent="0.3">
      <c r="E4590" s="3"/>
      <c r="F4590" s="3"/>
      <c r="G4590" s="3"/>
      <c r="H4590" s="3"/>
      <c r="I4590" s="3"/>
      <c r="J4590" s="3"/>
    </row>
    <row r="4591" spans="5:10" ht="14.4" x14ac:dyDescent="0.3">
      <c r="E4591" s="3"/>
      <c r="F4591" s="3"/>
      <c r="G4591" s="3"/>
      <c r="H4591" s="3"/>
      <c r="I4591" s="3"/>
      <c r="J4591" s="3"/>
    </row>
    <row r="4592" spans="5:10" ht="14.4" x14ac:dyDescent="0.3">
      <c r="E4592" s="3"/>
      <c r="F4592" s="3"/>
      <c r="G4592" s="3"/>
      <c r="H4592" s="3"/>
      <c r="I4592" s="3"/>
      <c r="J4592" s="3"/>
    </row>
    <row r="4593" spans="5:10" ht="14.4" x14ac:dyDescent="0.3">
      <c r="E4593" s="3"/>
      <c r="F4593" s="3"/>
      <c r="G4593" s="3"/>
      <c r="H4593" s="3"/>
      <c r="I4593" s="3"/>
      <c r="J4593" s="3"/>
    </row>
    <row r="4594" spans="5:10" ht="14.4" x14ac:dyDescent="0.3">
      <c r="E4594" s="3"/>
      <c r="F4594" s="3"/>
      <c r="G4594" s="3"/>
      <c r="H4594" s="3"/>
      <c r="I4594" s="3"/>
      <c r="J4594" s="3"/>
    </row>
    <row r="4595" spans="5:10" ht="14.4" x14ac:dyDescent="0.3">
      <c r="E4595" s="3"/>
      <c r="F4595" s="3"/>
      <c r="G4595" s="3"/>
      <c r="H4595" s="3"/>
      <c r="I4595" s="3"/>
      <c r="J4595" s="3"/>
    </row>
    <row r="4596" spans="5:10" ht="14.4" x14ac:dyDescent="0.3">
      <c r="E4596" s="3"/>
      <c r="F4596" s="3"/>
      <c r="G4596" s="3"/>
      <c r="H4596" s="3"/>
      <c r="I4596" s="3"/>
      <c r="J4596" s="3"/>
    </row>
    <row r="4597" spans="5:10" ht="14.4" x14ac:dyDescent="0.3">
      <c r="E4597" s="3"/>
      <c r="F4597" s="3"/>
      <c r="G4597" s="3"/>
      <c r="H4597" s="3"/>
      <c r="I4597" s="3"/>
      <c r="J4597" s="3"/>
    </row>
    <row r="4598" spans="5:10" ht="14.4" x14ac:dyDescent="0.3">
      <c r="E4598" s="3"/>
      <c r="F4598" s="3"/>
      <c r="G4598" s="3"/>
      <c r="H4598" s="3"/>
      <c r="I4598" s="3"/>
      <c r="J4598" s="3"/>
    </row>
    <row r="4599" spans="5:10" ht="14.4" x14ac:dyDescent="0.3">
      <c r="E4599" s="3"/>
      <c r="F4599" s="3"/>
      <c r="G4599" s="3"/>
      <c r="H4599" s="3"/>
      <c r="I4599" s="3"/>
      <c r="J4599" s="3"/>
    </row>
    <row r="4600" spans="5:10" ht="14.4" x14ac:dyDescent="0.3">
      <c r="E4600" s="3"/>
      <c r="F4600" s="3"/>
      <c r="G4600" s="3"/>
      <c r="H4600" s="3"/>
      <c r="I4600" s="3"/>
      <c r="J4600" s="3"/>
    </row>
    <row r="4601" spans="5:10" ht="14.4" x14ac:dyDescent="0.3">
      <c r="E4601" s="3"/>
      <c r="F4601" s="3"/>
      <c r="G4601" s="3"/>
      <c r="H4601" s="3"/>
      <c r="I4601" s="3"/>
      <c r="J4601" s="3"/>
    </row>
    <row r="4602" spans="5:10" ht="14.4" x14ac:dyDescent="0.3">
      <c r="E4602" s="3"/>
      <c r="F4602" s="3"/>
      <c r="G4602" s="3"/>
      <c r="H4602" s="3"/>
      <c r="I4602" s="3"/>
      <c r="J4602" s="3"/>
    </row>
    <row r="4603" spans="5:10" ht="14.4" x14ac:dyDescent="0.3">
      <c r="E4603" s="3"/>
      <c r="F4603" s="3"/>
      <c r="G4603" s="3"/>
      <c r="H4603" s="3"/>
      <c r="I4603" s="3"/>
      <c r="J4603" s="3"/>
    </row>
    <row r="4604" spans="5:10" ht="14.4" x14ac:dyDescent="0.3">
      <c r="E4604" s="3"/>
      <c r="F4604" s="3"/>
      <c r="G4604" s="3"/>
      <c r="H4604" s="3"/>
      <c r="I4604" s="3"/>
      <c r="J4604" s="3"/>
    </row>
    <row r="4605" spans="5:10" ht="14.4" x14ac:dyDescent="0.3">
      <c r="E4605" s="3"/>
      <c r="F4605" s="3"/>
      <c r="G4605" s="3"/>
      <c r="H4605" s="3"/>
      <c r="I4605" s="3"/>
      <c r="J4605" s="3"/>
    </row>
    <row r="4606" spans="5:10" ht="14.4" x14ac:dyDescent="0.3">
      <c r="E4606" s="3"/>
      <c r="F4606" s="3"/>
      <c r="G4606" s="3"/>
      <c r="H4606" s="3"/>
      <c r="I4606" s="3"/>
      <c r="J4606" s="3"/>
    </row>
    <row r="4607" spans="5:10" ht="14.4" x14ac:dyDescent="0.3">
      <c r="E4607" s="3"/>
      <c r="F4607" s="3"/>
      <c r="G4607" s="3"/>
      <c r="H4607" s="3"/>
      <c r="I4607" s="3"/>
      <c r="J4607" s="3"/>
    </row>
    <row r="4608" spans="5:10" ht="14.4" x14ac:dyDescent="0.3">
      <c r="E4608" s="3"/>
      <c r="F4608" s="3"/>
      <c r="G4608" s="3"/>
      <c r="H4608" s="3"/>
      <c r="I4608" s="3"/>
      <c r="J4608" s="3"/>
    </row>
    <row r="4609" spans="5:10" ht="14.4" x14ac:dyDescent="0.3">
      <c r="E4609" s="3"/>
      <c r="F4609" s="3"/>
      <c r="G4609" s="3"/>
      <c r="H4609" s="3"/>
      <c r="I4609" s="3"/>
      <c r="J4609" s="3"/>
    </row>
    <row r="4610" spans="5:10" ht="14.4" x14ac:dyDescent="0.3">
      <c r="E4610" s="3"/>
      <c r="F4610" s="3"/>
      <c r="G4610" s="3"/>
      <c r="H4610" s="3"/>
      <c r="I4610" s="3"/>
      <c r="J4610" s="3"/>
    </row>
    <row r="4611" spans="5:10" ht="14.4" x14ac:dyDescent="0.3">
      <c r="E4611" s="3"/>
      <c r="F4611" s="3"/>
      <c r="G4611" s="3"/>
      <c r="H4611" s="3"/>
      <c r="I4611" s="3"/>
      <c r="J4611" s="3"/>
    </row>
    <row r="4612" spans="5:10" ht="14.4" x14ac:dyDescent="0.3">
      <c r="E4612" s="3"/>
      <c r="F4612" s="3"/>
      <c r="G4612" s="3"/>
      <c r="H4612" s="3"/>
      <c r="I4612" s="3"/>
      <c r="J4612" s="3"/>
    </row>
    <row r="4613" spans="5:10" ht="14.4" x14ac:dyDescent="0.3">
      <c r="E4613" s="3"/>
      <c r="F4613" s="3"/>
      <c r="G4613" s="3"/>
      <c r="H4613" s="3"/>
      <c r="I4613" s="3"/>
      <c r="J4613" s="3"/>
    </row>
    <row r="4614" spans="5:10" ht="14.4" x14ac:dyDescent="0.3">
      <c r="E4614" s="3"/>
      <c r="F4614" s="3"/>
      <c r="G4614" s="3"/>
      <c r="H4614" s="3"/>
      <c r="I4614" s="3"/>
      <c r="J4614" s="3"/>
    </row>
    <row r="4615" spans="5:10" ht="14.4" x14ac:dyDescent="0.3">
      <c r="E4615" s="3"/>
      <c r="F4615" s="3"/>
      <c r="G4615" s="3"/>
      <c r="H4615" s="3"/>
      <c r="I4615" s="3"/>
      <c r="J4615" s="3"/>
    </row>
    <row r="4616" spans="5:10" ht="14.4" x14ac:dyDescent="0.3">
      <c r="E4616" s="3"/>
      <c r="F4616" s="3"/>
      <c r="G4616" s="3"/>
      <c r="H4616" s="3"/>
      <c r="I4616" s="3"/>
      <c r="J4616" s="3"/>
    </row>
    <row r="4617" spans="5:10" ht="14.4" x14ac:dyDescent="0.3">
      <c r="E4617" s="3"/>
      <c r="F4617" s="3"/>
      <c r="G4617" s="3"/>
      <c r="H4617" s="3"/>
      <c r="I4617" s="3"/>
      <c r="J4617" s="3"/>
    </row>
    <row r="4618" spans="5:10" ht="14.4" x14ac:dyDescent="0.3">
      <c r="E4618" s="3"/>
      <c r="F4618" s="3"/>
      <c r="G4618" s="3"/>
      <c r="H4618" s="3"/>
      <c r="I4618" s="3"/>
      <c r="J4618" s="3"/>
    </row>
    <row r="4619" spans="5:10" ht="14.4" x14ac:dyDescent="0.3">
      <c r="E4619" s="3"/>
      <c r="F4619" s="3"/>
      <c r="G4619" s="3"/>
      <c r="H4619" s="3"/>
      <c r="I4619" s="3"/>
      <c r="J4619" s="3"/>
    </row>
    <row r="4620" spans="5:10" ht="14.4" x14ac:dyDescent="0.3">
      <c r="E4620" s="3"/>
      <c r="F4620" s="3"/>
      <c r="G4620" s="3"/>
      <c r="H4620" s="3"/>
      <c r="I4620" s="3"/>
      <c r="J4620" s="3"/>
    </row>
    <row r="4621" spans="5:10" ht="14.4" x14ac:dyDescent="0.3">
      <c r="E4621" s="3"/>
      <c r="F4621" s="3"/>
      <c r="G4621" s="3"/>
      <c r="H4621" s="3"/>
      <c r="I4621" s="3"/>
      <c r="J4621" s="3"/>
    </row>
    <row r="4622" spans="5:10" ht="14.4" x14ac:dyDescent="0.3">
      <c r="E4622" s="3"/>
      <c r="F4622" s="3"/>
      <c r="G4622" s="3"/>
      <c r="H4622" s="3"/>
      <c r="I4622" s="3"/>
      <c r="J4622" s="3"/>
    </row>
    <row r="4623" spans="5:10" ht="14.4" x14ac:dyDescent="0.3">
      <c r="E4623" s="3"/>
      <c r="F4623" s="3"/>
      <c r="G4623" s="3"/>
      <c r="H4623" s="3"/>
      <c r="I4623" s="3"/>
      <c r="J4623" s="3"/>
    </row>
    <row r="4624" spans="5:10" ht="14.4" x14ac:dyDescent="0.3">
      <c r="E4624" s="3"/>
      <c r="F4624" s="3"/>
      <c r="G4624" s="3"/>
      <c r="H4624" s="3"/>
      <c r="I4624" s="3"/>
      <c r="J4624" s="3"/>
    </row>
    <row r="4625" spans="5:10" ht="14.4" x14ac:dyDescent="0.3">
      <c r="E4625" s="3"/>
      <c r="F4625" s="3"/>
      <c r="G4625" s="3"/>
      <c r="H4625" s="3"/>
      <c r="I4625" s="3"/>
      <c r="J4625" s="3"/>
    </row>
    <row r="4626" spans="5:10" ht="14.4" x14ac:dyDescent="0.3">
      <c r="E4626" s="3"/>
      <c r="F4626" s="3"/>
      <c r="G4626" s="3"/>
      <c r="H4626" s="3"/>
      <c r="I4626" s="3"/>
      <c r="J4626" s="3"/>
    </row>
    <row r="4627" spans="5:10" ht="14.4" x14ac:dyDescent="0.3">
      <c r="E4627" s="3"/>
      <c r="F4627" s="3"/>
      <c r="G4627" s="3"/>
      <c r="H4627" s="3"/>
      <c r="I4627" s="3"/>
      <c r="J4627" s="3"/>
    </row>
    <row r="4628" spans="5:10" ht="14.4" x14ac:dyDescent="0.3">
      <c r="E4628" s="3"/>
      <c r="F4628" s="3"/>
      <c r="G4628" s="3"/>
      <c r="H4628" s="3"/>
      <c r="I4628" s="3"/>
      <c r="J4628" s="3"/>
    </row>
    <row r="4629" spans="5:10" ht="14.4" x14ac:dyDescent="0.3">
      <c r="E4629" s="3"/>
      <c r="F4629" s="3"/>
      <c r="G4629" s="3"/>
      <c r="H4629" s="3"/>
      <c r="I4629" s="3"/>
      <c r="J4629" s="3"/>
    </row>
    <row r="4630" spans="5:10" ht="14.4" x14ac:dyDescent="0.3">
      <c r="E4630" s="3"/>
      <c r="F4630" s="3"/>
      <c r="G4630" s="3"/>
      <c r="H4630" s="3"/>
      <c r="I4630" s="3"/>
      <c r="J4630" s="3"/>
    </row>
    <row r="4631" spans="5:10" ht="14.4" x14ac:dyDescent="0.3">
      <c r="E4631" s="3"/>
      <c r="F4631" s="3"/>
      <c r="G4631" s="3"/>
      <c r="H4631" s="3"/>
      <c r="I4631" s="3"/>
      <c r="J4631" s="3"/>
    </row>
    <row r="4632" spans="5:10" ht="14.4" x14ac:dyDescent="0.3">
      <c r="E4632" s="3"/>
      <c r="F4632" s="3"/>
      <c r="G4632" s="3"/>
      <c r="H4632" s="3"/>
      <c r="I4632" s="3"/>
      <c r="J4632" s="3"/>
    </row>
    <row r="4633" spans="5:10" ht="14.4" x14ac:dyDescent="0.3">
      <c r="E4633" s="3"/>
      <c r="F4633" s="3"/>
      <c r="G4633" s="3"/>
      <c r="H4633" s="3"/>
      <c r="I4633" s="3"/>
      <c r="J4633" s="3"/>
    </row>
    <row r="4634" spans="5:10" ht="14.4" x14ac:dyDescent="0.3">
      <c r="E4634" s="3"/>
      <c r="F4634" s="3"/>
      <c r="G4634" s="3"/>
      <c r="H4634" s="3"/>
      <c r="I4634" s="3"/>
      <c r="J4634" s="3"/>
    </row>
    <row r="4635" spans="5:10" ht="14.4" x14ac:dyDescent="0.3">
      <c r="E4635" s="3"/>
      <c r="F4635" s="3"/>
      <c r="G4635" s="3"/>
      <c r="H4635" s="3"/>
      <c r="I4635" s="3"/>
      <c r="J4635" s="3"/>
    </row>
    <row r="4636" spans="5:10" ht="14.4" x14ac:dyDescent="0.3">
      <c r="E4636" s="3"/>
      <c r="F4636" s="3"/>
      <c r="G4636" s="3"/>
      <c r="H4636" s="3"/>
      <c r="I4636" s="3"/>
      <c r="J4636" s="3"/>
    </row>
    <row r="4637" spans="5:10" ht="14.4" x14ac:dyDescent="0.3">
      <c r="E4637" s="3"/>
      <c r="F4637" s="3"/>
      <c r="G4637" s="3"/>
      <c r="H4637" s="3"/>
      <c r="I4637" s="3"/>
      <c r="J4637" s="3"/>
    </row>
    <row r="4638" spans="5:10" ht="14.4" x14ac:dyDescent="0.3">
      <c r="E4638" s="3"/>
      <c r="F4638" s="3"/>
      <c r="G4638" s="3"/>
      <c r="H4638" s="3"/>
      <c r="I4638" s="3"/>
      <c r="J4638" s="3"/>
    </row>
    <row r="4639" spans="5:10" ht="14.4" x14ac:dyDescent="0.3">
      <c r="E4639" s="3"/>
      <c r="F4639" s="3"/>
      <c r="G4639" s="3"/>
      <c r="H4639" s="3"/>
      <c r="I4639" s="3"/>
      <c r="J4639" s="3"/>
    </row>
    <row r="4640" spans="5:10" ht="14.4" x14ac:dyDescent="0.3">
      <c r="E4640" s="3"/>
      <c r="F4640" s="3"/>
      <c r="G4640" s="3"/>
      <c r="H4640" s="3"/>
      <c r="I4640" s="3"/>
      <c r="J4640" s="3"/>
    </row>
    <row r="4641" spans="5:10" ht="14.4" x14ac:dyDescent="0.3">
      <c r="E4641" s="3"/>
      <c r="F4641" s="3"/>
      <c r="G4641" s="3"/>
      <c r="H4641" s="3"/>
      <c r="I4641" s="3"/>
      <c r="J4641" s="3"/>
    </row>
    <row r="4642" spans="5:10" ht="14.4" x14ac:dyDescent="0.3">
      <c r="E4642" s="3"/>
      <c r="F4642" s="3"/>
      <c r="G4642" s="3"/>
      <c r="H4642" s="3"/>
      <c r="I4642" s="3"/>
      <c r="J4642" s="3"/>
    </row>
    <row r="4643" spans="5:10" ht="14.4" x14ac:dyDescent="0.3">
      <c r="E4643" s="3"/>
      <c r="F4643" s="3"/>
      <c r="G4643" s="3"/>
      <c r="H4643" s="3"/>
      <c r="I4643" s="3"/>
      <c r="J4643" s="3"/>
    </row>
    <row r="4644" spans="5:10" ht="14.4" x14ac:dyDescent="0.3">
      <c r="E4644" s="3"/>
      <c r="F4644" s="3"/>
      <c r="G4644" s="3"/>
      <c r="H4644" s="3"/>
      <c r="I4644" s="3"/>
      <c r="J4644" s="3"/>
    </row>
    <row r="4645" spans="5:10" ht="14.4" x14ac:dyDescent="0.3">
      <c r="E4645" s="3"/>
      <c r="F4645" s="3"/>
      <c r="G4645" s="3"/>
      <c r="H4645" s="3"/>
      <c r="I4645" s="3"/>
      <c r="J4645" s="3"/>
    </row>
    <row r="4646" spans="5:10" ht="14.4" x14ac:dyDescent="0.3">
      <c r="E4646" s="3"/>
      <c r="F4646" s="3"/>
      <c r="G4646" s="3"/>
      <c r="H4646" s="3"/>
      <c r="I4646" s="3"/>
      <c r="J4646" s="3"/>
    </row>
    <row r="4647" spans="5:10" ht="14.4" x14ac:dyDescent="0.3">
      <c r="E4647" s="3"/>
      <c r="F4647" s="3"/>
      <c r="G4647" s="3"/>
      <c r="H4647" s="3"/>
      <c r="I4647" s="3"/>
      <c r="J4647" s="3"/>
    </row>
    <row r="4648" spans="5:10" ht="14.4" x14ac:dyDescent="0.3">
      <c r="E4648" s="3"/>
      <c r="F4648" s="3"/>
      <c r="G4648" s="3"/>
      <c r="H4648" s="3"/>
      <c r="I4648" s="3"/>
      <c r="J4648" s="3"/>
    </row>
    <row r="4649" spans="5:10" ht="14.4" x14ac:dyDescent="0.3">
      <c r="E4649" s="3"/>
      <c r="F4649" s="3"/>
      <c r="G4649" s="3"/>
      <c r="H4649" s="3"/>
      <c r="I4649" s="3"/>
      <c r="J4649" s="3"/>
    </row>
    <row r="4650" spans="5:10" ht="14.4" x14ac:dyDescent="0.3">
      <c r="E4650" s="3"/>
      <c r="F4650" s="3"/>
      <c r="G4650" s="3"/>
      <c r="H4650" s="3"/>
      <c r="I4650" s="3"/>
      <c r="J4650" s="3"/>
    </row>
    <row r="4651" spans="5:10" ht="14.4" x14ac:dyDescent="0.3">
      <c r="E4651" s="3"/>
      <c r="F4651" s="3"/>
      <c r="G4651" s="3"/>
      <c r="H4651" s="3"/>
      <c r="I4651" s="3"/>
      <c r="J4651" s="3"/>
    </row>
    <row r="4652" spans="5:10" ht="14.4" x14ac:dyDescent="0.3">
      <c r="E4652" s="3"/>
      <c r="F4652" s="3"/>
      <c r="G4652" s="3"/>
      <c r="H4652" s="3"/>
      <c r="I4652" s="3"/>
      <c r="J4652" s="3"/>
    </row>
    <row r="4653" spans="5:10" ht="14.4" x14ac:dyDescent="0.3">
      <c r="E4653" s="3"/>
      <c r="F4653" s="3"/>
      <c r="G4653" s="3"/>
      <c r="H4653" s="3"/>
      <c r="I4653" s="3"/>
      <c r="J4653" s="3"/>
    </row>
    <row r="4654" spans="5:10" ht="14.4" x14ac:dyDescent="0.3">
      <c r="E4654" s="3"/>
      <c r="F4654" s="3"/>
      <c r="G4654" s="3"/>
      <c r="H4654" s="3"/>
      <c r="I4654" s="3"/>
      <c r="J4654" s="3"/>
    </row>
    <row r="4655" spans="5:10" ht="14.4" x14ac:dyDescent="0.3">
      <c r="E4655" s="3"/>
      <c r="F4655" s="3"/>
      <c r="G4655" s="3"/>
      <c r="H4655" s="3"/>
      <c r="I4655" s="3"/>
      <c r="J4655" s="3"/>
    </row>
    <row r="4656" spans="5:10" ht="14.4" x14ac:dyDescent="0.3">
      <c r="E4656" s="3"/>
      <c r="F4656" s="3"/>
      <c r="G4656" s="3"/>
      <c r="H4656" s="3"/>
      <c r="I4656" s="3"/>
      <c r="J4656" s="3"/>
    </row>
    <row r="4657" spans="5:10" ht="14.4" x14ac:dyDescent="0.3">
      <c r="E4657" s="3"/>
      <c r="F4657" s="3"/>
      <c r="G4657" s="3"/>
      <c r="H4657" s="3"/>
      <c r="I4657" s="3"/>
      <c r="J4657" s="3"/>
    </row>
    <row r="4658" spans="5:10" ht="14.4" x14ac:dyDescent="0.3">
      <c r="E4658" s="3"/>
      <c r="F4658" s="3"/>
      <c r="G4658" s="3"/>
      <c r="H4658" s="3"/>
      <c r="I4658" s="3"/>
      <c r="J4658" s="3"/>
    </row>
    <row r="4659" spans="5:10" ht="14.4" x14ac:dyDescent="0.3">
      <c r="E4659" s="3"/>
      <c r="F4659" s="3"/>
      <c r="G4659" s="3"/>
      <c r="H4659" s="3"/>
      <c r="I4659" s="3"/>
      <c r="J4659" s="3"/>
    </row>
    <row r="4660" spans="5:10" ht="14.4" x14ac:dyDescent="0.3">
      <c r="E4660" s="3"/>
      <c r="F4660" s="3"/>
      <c r="G4660" s="3"/>
      <c r="H4660" s="3"/>
      <c r="I4660" s="3"/>
      <c r="J4660" s="3"/>
    </row>
    <row r="4661" spans="5:10" ht="14.4" x14ac:dyDescent="0.3">
      <c r="E4661" s="3"/>
      <c r="F4661" s="3"/>
      <c r="G4661" s="3"/>
      <c r="H4661" s="3"/>
      <c r="I4661" s="3"/>
      <c r="J4661" s="3"/>
    </row>
    <row r="4662" spans="5:10" ht="14.4" x14ac:dyDescent="0.3">
      <c r="E4662" s="3"/>
      <c r="F4662" s="3"/>
      <c r="G4662" s="3"/>
      <c r="H4662" s="3"/>
      <c r="I4662" s="3"/>
      <c r="J4662" s="3"/>
    </row>
    <row r="4663" spans="5:10" ht="14.4" x14ac:dyDescent="0.3">
      <c r="E4663" s="3"/>
      <c r="F4663" s="3"/>
      <c r="G4663" s="3"/>
      <c r="H4663" s="3"/>
      <c r="I4663" s="3"/>
      <c r="J4663" s="3"/>
    </row>
    <row r="4664" spans="5:10" ht="14.4" x14ac:dyDescent="0.3">
      <c r="E4664" s="3"/>
      <c r="F4664" s="3"/>
      <c r="G4664" s="3"/>
      <c r="H4664" s="3"/>
      <c r="I4664" s="3"/>
      <c r="J4664" s="3"/>
    </row>
    <row r="4665" spans="5:10" ht="14.4" x14ac:dyDescent="0.3">
      <c r="E4665" s="3"/>
      <c r="F4665" s="3"/>
      <c r="G4665" s="3"/>
      <c r="H4665" s="3"/>
      <c r="I4665" s="3"/>
      <c r="J4665" s="3"/>
    </row>
    <row r="4666" spans="5:10" ht="14.4" x14ac:dyDescent="0.3">
      <c r="E4666" s="3"/>
      <c r="F4666" s="3"/>
      <c r="G4666" s="3"/>
      <c r="H4666" s="3"/>
      <c r="I4666" s="3"/>
      <c r="J4666" s="3"/>
    </row>
    <row r="4667" spans="5:10" ht="14.4" x14ac:dyDescent="0.3">
      <c r="E4667" s="3"/>
      <c r="F4667" s="3"/>
      <c r="G4667" s="3"/>
      <c r="H4667" s="3"/>
      <c r="I4667" s="3"/>
      <c r="J4667" s="3"/>
    </row>
    <row r="4668" spans="5:10" ht="14.4" x14ac:dyDescent="0.3">
      <c r="E4668" s="3"/>
      <c r="F4668" s="3"/>
      <c r="G4668" s="3"/>
      <c r="H4668" s="3"/>
      <c r="I4668" s="3"/>
      <c r="J4668" s="3"/>
    </row>
    <row r="4669" spans="5:10" ht="14.4" x14ac:dyDescent="0.3">
      <c r="E4669" s="3"/>
      <c r="F4669" s="3"/>
      <c r="G4669" s="3"/>
      <c r="H4669" s="3"/>
      <c r="I4669" s="3"/>
      <c r="J4669" s="3"/>
    </row>
    <row r="4670" spans="5:10" ht="14.4" x14ac:dyDescent="0.3">
      <c r="E4670" s="3"/>
      <c r="F4670" s="3"/>
      <c r="G4670" s="3"/>
      <c r="H4670" s="3"/>
      <c r="I4670" s="3"/>
      <c r="J4670" s="3"/>
    </row>
    <row r="4671" spans="5:10" ht="14.4" x14ac:dyDescent="0.3">
      <c r="E4671" s="3"/>
      <c r="F4671" s="3"/>
      <c r="G4671" s="3"/>
      <c r="H4671" s="3"/>
      <c r="I4671" s="3"/>
      <c r="J4671" s="3"/>
    </row>
    <row r="4672" spans="5:10" ht="14.4" x14ac:dyDescent="0.3">
      <c r="E4672" s="3"/>
      <c r="F4672" s="3"/>
      <c r="G4672" s="3"/>
      <c r="H4672" s="3"/>
      <c r="I4672" s="3"/>
      <c r="J4672" s="3"/>
    </row>
    <row r="4673" spans="5:10" ht="14.4" x14ac:dyDescent="0.3">
      <c r="E4673" s="3"/>
      <c r="F4673" s="3"/>
      <c r="G4673" s="3"/>
      <c r="H4673" s="3"/>
      <c r="I4673" s="3"/>
      <c r="J4673" s="3"/>
    </row>
    <row r="4674" spans="5:10" ht="14.4" x14ac:dyDescent="0.3">
      <c r="E4674" s="3"/>
      <c r="F4674" s="3"/>
      <c r="G4674" s="3"/>
      <c r="H4674" s="3"/>
      <c r="I4674" s="3"/>
      <c r="J4674" s="3"/>
    </row>
    <row r="4675" spans="5:10" ht="14.4" x14ac:dyDescent="0.3">
      <c r="E4675" s="3"/>
      <c r="F4675" s="3"/>
      <c r="G4675" s="3"/>
      <c r="H4675" s="3"/>
      <c r="I4675" s="3"/>
      <c r="J4675" s="3"/>
    </row>
    <row r="4676" spans="5:10" ht="14.4" x14ac:dyDescent="0.3">
      <c r="E4676" s="3"/>
      <c r="F4676" s="3"/>
      <c r="G4676" s="3"/>
      <c r="H4676" s="3"/>
      <c r="I4676" s="3"/>
      <c r="J4676" s="3"/>
    </row>
    <row r="4677" spans="5:10" ht="14.4" x14ac:dyDescent="0.3">
      <c r="E4677" s="3"/>
      <c r="F4677" s="3"/>
      <c r="G4677" s="3"/>
      <c r="H4677" s="3"/>
      <c r="I4677" s="3"/>
      <c r="J4677" s="3"/>
    </row>
    <row r="4678" spans="5:10" ht="14.4" x14ac:dyDescent="0.3">
      <c r="E4678" s="3"/>
      <c r="F4678" s="3"/>
      <c r="G4678" s="3"/>
      <c r="H4678" s="3"/>
      <c r="I4678" s="3"/>
      <c r="J4678" s="3"/>
    </row>
    <row r="4679" spans="5:10" ht="14.4" x14ac:dyDescent="0.3">
      <c r="E4679" s="3"/>
      <c r="F4679" s="3"/>
      <c r="G4679" s="3"/>
      <c r="H4679" s="3"/>
      <c r="I4679" s="3"/>
      <c r="J4679" s="3"/>
    </row>
    <row r="4680" spans="5:10" ht="14.4" x14ac:dyDescent="0.3">
      <c r="E4680" s="3"/>
      <c r="F4680" s="3"/>
      <c r="G4680" s="3"/>
      <c r="H4680" s="3"/>
      <c r="I4680" s="3"/>
      <c r="J4680" s="3"/>
    </row>
    <row r="4681" spans="5:10" ht="14.4" x14ac:dyDescent="0.3">
      <c r="E4681" s="3"/>
      <c r="F4681" s="3"/>
      <c r="G4681" s="3"/>
      <c r="H4681" s="3"/>
      <c r="I4681" s="3"/>
      <c r="J4681" s="3"/>
    </row>
    <row r="4682" spans="5:10" ht="14.4" x14ac:dyDescent="0.3">
      <c r="E4682" s="3"/>
      <c r="F4682" s="3"/>
      <c r="G4682" s="3"/>
      <c r="H4682" s="3"/>
      <c r="I4682" s="3"/>
      <c r="J4682" s="3"/>
    </row>
    <row r="4683" spans="5:10" ht="14.4" x14ac:dyDescent="0.3">
      <c r="E4683" s="3"/>
      <c r="F4683" s="3"/>
      <c r="G4683" s="3"/>
      <c r="H4683" s="3"/>
      <c r="I4683" s="3"/>
      <c r="J4683" s="3"/>
    </row>
    <row r="4684" spans="5:10" ht="14.4" x14ac:dyDescent="0.3">
      <c r="E4684" s="3"/>
      <c r="F4684" s="3"/>
      <c r="G4684" s="3"/>
      <c r="H4684" s="3"/>
      <c r="I4684" s="3"/>
      <c r="J4684" s="3"/>
    </row>
    <row r="4685" spans="5:10" ht="14.4" x14ac:dyDescent="0.3">
      <c r="E4685" s="3"/>
      <c r="F4685" s="3"/>
      <c r="G4685" s="3"/>
      <c r="H4685" s="3"/>
      <c r="I4685" s="3"/>
      <c r="J4685" s="3"/>
    </row>
    <row r="4686" spans="5:10" ht="14.4" x14ac:dyDescent="0.3">
      <c r="E4686" s="3"/>
      <c r="F4686" s="3"/>
      <c r="G4686" s="3"/>
      <c r="H4686" s="3"/>
      <c r="I4686" s="3"/>
      <c r="J4686" s="3"/>
    </row>
    <row r="4687" spans="5:10" ht="14.4" x14ac:dyDescent="0.3">
      <c r="E4687" s="3"/>
      <c r="F4687" s="3"/>
      <c r="G4687" s="3"/>
      <c r="H4687" s="3"/>
      <c r="I4687" s="3"/>
      <c r="J4687" s="3"/>
    </row>
    <row r="4688" spans="5:10" ht="14.4" x14ac:dyDescent="0.3">
      <c r="E4688" s="3"/>
      <c r="F4688" s="3"/>
      <c r="G4688" s="3"/>
      <c r="H4688" s="3"/>
      <c r="I4688" s="3"/>
      <c r="J4688" s="3"/>
    </row>
    <row r="4689" spans="5:10" ht="14.4" x14ac:dyDescent="0.3">
      <c r="E4689" s="3"/>
      <c r="F4689" s="3"/>
      <c r="G4689" s="3"/>
      <c r="H4689" s="3"/>
      <c r="I4689" s="3"/>
      <c r="J4689" s="3"/>
    </row>
    <row r="4690" spans="5:10" ht="14.4" x14ac:dyDescent="0.3">
      <c r="E4690" s="3"/>
      <c r="F4690" s="3"/>
      <c r="G4690" s="3"/>
      <c r="H4690" s="3"/>
      <c r="I4690" s="3"/>
      <c r="J4690" s="3"/>
    </row>
    <row r="4691" spans="5:10" ht="14.4" x14ac:dyDescent="0.3">
      <c r="E4691" s="3"/>
      <c r="F4691" s="3"/>
      <c r="G4691" s="3"/>
      <c r="H4691" s="3"/>
      <c r="I4691" s="3"/>
      <c r="J4691" s="3"/>
    </row>
    <row r="4692" spans="5:10" ht="14.4" x14ac:dyDescent="0.3">
      <c r="E4692" s="3"/>
      <c r="F4692" s="3"/>
      <c r="G4692" s="3"/>
      <c r="H4692" s="3"/>
      <c r="I4692" s="3"/>
      <c r="J4692" s="3"/>
    </row>
    <row r="4693" spans="5:10" ht="14.4" x14ac:dyDescent="0.3">
      <c r="E4693" s="3"/>
      <c r="F4693" s="3"/>
      <c r="G4693" s="3"/>
      <c r="H4693" s="3"/>
      <c r="I4693" s="3"/>
      <c r="J4693" s="3"/>
    </row>
    <row r="4694" spans="5:10" ht="14.4" x14ac:dyDescent="0.3">
      <c r="E4694" s="3"/>
      <c r="F4694" s="3"/>
      <c r="G4694" s="3"/>
      <c r="H4694" s="3"/>
      <c r="I4694" s="3"/>
      <c r="J4694" s="3"/>
    </row>
    <row r="4695" spans="5:10" ht="14.4" x14ac:dyDescent="0.3">
      <c r="E4695" s="3"/>
      <c r="F4695" s="3"/>
      <c r="G4695" s="3"/>
      <c r="H4695" s="3"/>
      <c r="I4695" s="3"/>
      <c r="J4695" s="3"/>
    </row>
    <row r="4696" spans="5:10" ht="14.4" x14ac:dyDescent="0.3">
      <c r="E4696" s="3"/>
      <c r="F4696" s="3"/>
      <c r="G4696" s="3"/>
      <c r="H4696" s="3"/>
      <c r="I4696" s="3"/>
      <c r="J4696" s="3"/>
    </row>
    <row r="4697" spans="5:10" ht="14.4" x14ac:dyDescent="0.3">
      <c r="E4697" s="3"/>
      <c r="F4697" s="3"/>
      <c r="G4697" s="3"/>
      <c r="H4697" s="3"/>
      <c r="I4697" s="3"/>
      <c r="J4697" s="3"/>
    </row>
    <row r="4698" spans="5:10" ht="14.4" x14ac:dyDescent="0.3">
      <c r="E4698" s="3"/>
      <c r="F4698" s="3"/>
      <c r="G4698" s="3"/>
      <c r="H4698" s="3"/>
      <c r="I4698" s="3"/>
      <c r="J4698" s="3"/>
    </row>
    <row r="4699" spans="5:10" ht="14.4" x14ac:dyDescent="0.3">
      <c r="E4699" s="3"/>
      <c r="F4699" s="3"/>
      <c r="G4699" s="3"/>
      <c r="H4699" s="3"/>
      <c r="I4699" s="3"/>
      <c r="J4699" s="3"/>
    </row>
    <row r="4700" spans="5:10" ht="14.4" x14ac:dyDescent="0.3">
      <c r="E4700" s="3"/>
      <c r="F4700" s="3"/>
      <c r="G4700" s="3"/>
      <c r="H4700" s="3"/>
      <c r="I4700" s="3"/>
      <c r="J4700" s="3"/>
    </row>
    <row r="4701" spans="5:10" ht="14.4" x14ac:dyDescent="0.3">
      <c r="E4701" s="3"/>
      <c r="F4701" s="3"/>
      <c r="G4701" s="3"/>
      <c r="H4701" s="3"/>
      <c r="I4701" s="3"/>
      <c r="J4701" s="3"/>
    </row>
    <row r="4702" spans="5:10" ht="14.4" x14ac:dyDescent="0.3">
      <c r="E4702" s="3"/>
      <c r="F4702" s="3"/>
      <c r="G4702" s="3"/>
      <c r="H4702" s="3"/>
      <c r="I4702" s="3"/>
      <c r="J4702" s="3"/>
    </row>
    <row r="4703" spans="5:10" ht="14.4" x14ac:dyDescent="0.3">
      <c r="E4703" s="3"/>
      <c r="F4703" s="3"/>
      <c r="G4703" s="3"/>
      <c r="H4703" s="3"/>
      <c r="I4703" s="3"/>
      <c r="J4703" s="3"/>
    </row>
    <row r="4704" spans="5:10" ht="14.4" x14ac:dyDescent="0.3">
      <c r="E4704" s="3"/>
      <c r="F4704" s="3"/>
      <c r="G4704" s="3"/>
      <c r="H4704" s="3"/>
      <c r="I4704" s="3"/>
      <c r="J4704" s="3"/>
    </row>
    <row r="4705" spans="5:10" ht="14.4" x14ac:dyDescent="0.3">
      <c r="E4705" s="3"/>
      <c r="F4705" s="3"/>
      <c r="G4705" s="3"/>
      <c r="H4705" s="3"/>
      <c r="I4705" s="3"/>
      <c r="J4705" s="3"/>
    </row>
    <row r="4706" spans="5:10" ht="14.4" x14ac:dyDescent="0.3">
      <c r="E4706" s="3"/>
      <c r="F4706" s="3"/>
      <c r="G4706" s="3"/>
      <c r="H4706" s="3"/>
      <c r="I4706" s="3"/>
      <c r="J4706" s="3"/>
    </row>
    <row r="4707" spans="5:10" ht="14.4" x14ac:dyDescent="0.3">
      <c r="E4707" s="3"/>
      <c r="F4707" s="3"/>
      <c r="G4707" s="3"/>
      <c r="H4707" s="3"/>
      <c r="I4707" s="3"/>
      <c r="J4707" s="3"/>
    </row>
    <row r="4708" spans="5:10" ht="14.4" x14ac:dyDescent="0.3">
      <c r="E4708" s="3"/>
      <c r="F4708" s="3"/>
      <c r="G4708" s="3"/>
      <c r="H4708" s="3"/>
      <c r="I4708" s="3"/>
      <c r="J4708" s="3"/>
    </row>
    <row r="4709" spans="5:10" ht="14.4" x14ac:dyDescent="0.3">
      <c r="E4709" s="3"/>
      <c r="F4709" s="3"/>
      <c r="G4709" s="3"/>
      <c r="H4709" s="3"/>
      <c r="I4709" s="3"/>
      <c r="J4709" s="3"/>
    </row>
    <row r="4710" spans="5:10" ht="14.4" x14ac:dyDescent="0.3">
      <c r="E4710" s="3"/>
      <c r="F4710" s="3"/>
      <c r="G4710" s="3"/>
      <c r="H4710" s="3"/>
      <c r="I4710" s="3"/>
      <c r="J4710" s="3"/>
    </row>
    <row r="4711" spans="5:10" ht="14.4" x14ac:dyDescent="0.3">
      <c r="E4711" s="3"/>
      <c r="F4711" s="3"/>
      <c r="G4711" s="3"/>
      <c r="H4711" s="3"/>
      <c r="I4711" s="3"/>
      <c r="J4711" s="3"/>
    </row>
    <row r="4712" spans="5:10" ht="14.4" x14ac:dyDescent="0.3">
      <c r="E4712" s="3"/>
      <c r="F4712" s="3"/>
      <c r="G4712" s="3"/>
      <c r="H4712" s="3"/>
      <c r="I4712" s="3"/>
      <c r="J4712" s="3"/>
    </row>
    <row r="4713" spans="5:10" ht="14.4" x14ac:dyDescent="0.3">
      <c r="E4713" s="3"/>
      <c r="F4713" s="3"/>
      <c r="G4713" s="3"/>
      <c r="H4713" s="3"/>
      <c r="I4713" s="3"/>
      <c r="J4713" s="3"/>
    </row>
    <row r="4714" spans="5:10" ht="14.4" x14ac:dyDescent="0.3">
      <c r="E4714" s="3"/>
      <c r="F4714" s="3"/>
      <c r="G4714" s="3"/>
      <c r="H4714" s="3"/>
      <c r="I4714" s="3"/>
      <c r="J4714" s="3"/>
    </row>
    <row r="4715" spans="5:10" ht="14.4" x14ac:dyDescent="0.3">
      <c r="E4715" s="3"/>
      <c r="F4715" s="3"/>
      <c r="G4715" s="3"/>
      <c r="H4715" s="3"/>
      <c r="I4715" s="3"/>
      <c r="J4715" s="3"/>
    </row>
    <row r="4716" spans="5:10" ht="14.4" x14ac:dyDescent="0.3">
      <c r="E4716" s="3"/>
      <c r="F4716" s="3"/>
      <c r="G4716" s="3"/>
      <c r="H4716" s="3"/>
      <c r="I4716" s="3"/>
      <c r="J4716" s="3"/>
    </row>
    <row r="4717" spans="5:10" ht="14.4" x14ac:dyDescent="0.3">
      <c r="E4717" s="3"/>
      <c r="F4717" s="3"/>
      <c r="G4717" s="3"/>
      <c r="H4717" s="3"/>
      <c r="I4717" s="3"/>
      <c r="J4717" s="3"/>
    </row>
    <row r="4718" spans="5:10" ht="14.4" x14ac:dyDescent="0.3">
      <c r="E4718" s="3"/>
      <c r="F4718" s="3"/>
      <c r="G4718" s="3"/>
      <c r="H4718" s="3"/>
      <c r="I4718" s="3"/>
      <c r="J4718" s="3"/>
    </row>
    <row r="4719" spans="5:10" ht="14.4" x14ac:dyDescent="0.3">
      <c r="E4719" s="3"/>
      <c r="F4719" s="3"/>
      <c r="G4719" s="3"/>
      <c r="H4719" s="3"/>
      <c r="I4719" s="3"/>
      <c r="J4719" s="3"/>
    </row>
    <row r="4720" spans="5:10" ht="14.4" x14ac:dyDescent="0.3">
      <c r="E4720" s="3"/>
      <c r="F4720" s="3"/>
      <c r="G4720" s="3"/>
      <c r="H4720" s="3"/>
      <c r="I4720" s="3"/>
      <c r="J4720" s="3"/>
    </row>
    <row r="4721" spans="5:10" ht="14.4" x14ac:dyDescent="0.3">
      <c r="E4721" s="3"/>
      <c r="F4721" s="3"/>
      <c r="G4721" s="3"/>
      <c r="H4721" s="3"/>
      <c r="I4721" s="3"/>
      <c r="J4721" s="3"/>
    </row>
    <row r="4722" spans="5:10" ht="14.4" x14ac:dyDescent="0.3">
      <c r="E4722" s="3"/>
      <c r="F4722" s="3"/>
      <c r="G4722" s="3"/>
      <c r="H4722" s="3"/>
      <c r="I4722" s="3"/>
      <c r="J4722" s="3"/>
    </row>
    <row r="4723" spans="5:10" ht="14.4" x14ac:dyDescent="0.3">
      <c r="E4723" s="3"/>
      <c r="F4723" s="3"/>
      <c r="G4723" s="3"/>
      <c r="H4723" s="3"/>
      <c r="I4723" s="3"/>
      <c r="J4723" s="3"/>
    </row>
    <row r="4724" spans="5:10" ht="14.4" x14ac:dyDescent="0.3">
      <c r="E4724" s="3"/>
      <c r="F4724" s="3"/>
      <c r="G4724" s="3"/>
      <c r="H4724" s="3"/>
      <c r="I4724" s="3"/>
      <c r="J4724" s="3"/>
    </row>
    <row r="4725" spans="5:10" ht="14.4" x14ac:dyDescent="0.3">
      <c r="E4725" s="3"/>
      <c r="F4725" s="3"/>
      <c r="G4725" s="3"/>
      <c r="H4725" s="3"/>
      <c r="I4725" s="3"/>
      <c r="J4725" s="3"/>
    </row>
    <row r="4726" spans="5:10" ht="14.4" x14ac:dyDescent="0.3">
      <c r="E4726" s="3"/>
      <c r="F4726" s="3"/>
      <c r="G4726" s="3"/>
      <c r="H4726" s="3"/>
      <c r="I4726" s="3"/>
      <c r="J4726" s="3"/>
    </row>
    <row r="4727" spans="5:10" ht="14.4" x14ac:dyDescent="0.3">
      <c r="E4727" s="3"/>
      <c r="F4727" s="3"/>
      <c r="G4727" s="3"/>
      <c r="H4727" s="3"/>
      <c r="I4727" s="3"/>
      <c r="J4727" s="3"/>
    </row>
    <row r="4728" spans="5:10" ht="14.4" x14ac:dyDescent="0.3">
      <c r="E4728" s="3"/>
      <c r="F4728" s="3"/>
      <c r="G4728" s="3"/>
      <c r="H4728" s="3"/>
      <c r="I4728" s="3"/>
      <c r="J4728" s="3"/>
    </row>
    <row r="4729" spans="5:10" ht="14.4" x14ac:dyDescent="0.3">
      <c r="E4729" s="3"/>
      <c r="F4729" s="3"/>
      <c r="G4729" s="3"/>
      <c r="H4729" s="3"/>
      <c r="I4729" s="3"/>
      <c r="J4729" s="3"/>
    </row>
    <row r="4730" spans="5:10" ht="14.4" x14ac:dyDescent="0.3">
      <c r="E4730" s="3"/>
      <c r="F4730" s="3"/>
      <c r="G4730" s="3"/>
      <c r="H4730" s="3"/>
      <c r="I4730" s="3"/>
      <c r="J4730" s="3"/>
    </row>
    <row r="4731" spans="5:10" ht="14.4" x14ac:dyDescent="0.3">
      <c r="E4731" s="3"/>
      <c r="F4731" s="3"/>
      <c r="G4731" s="3"/>
      <c r="H4731" s="3"/>
      <c r="I4731" s="3"/>
      <c r="J4731" s="3"/>
    </row>
    <row r="4732" spans="5:10" ht="14.4" x14ac:dyDescent="0.3">
      <c r="E4732" s="3"/>
      <c r="F4732" s="3"/>
      <c r="G4732" s="3"/>
      <c r="H4732" s="3"/>
      <c r="I4732" s="3"/>
      <c r="J4732" s="3"/>
    </row>
    <row r="4733" spans="5:10" ht="14.4" x14ac:dyDescent="0.3">
      <c r="E4733" s="3"/>
      <c r="F4733" s="3"/>
      <c r="G4733" s="3"/>
      <c r="H4733" s="3"/>
      <c r="I4733" s="3"/>
      <c r="J4733" s="3"/>
    </row>
    <row r="4734" spans="5:10" ht="14.4" x14ac:dyDescent="0.3">
      <c r="E4734" s="3"/>
      <c r="F4734" s="3"/>
      <c r="G4734" s="3"/>
      <c r="H4734" s="3"/>
      <c r="I4734" s="3"/>
      <c r="J4734" s="3"/>
    </row>
    <row r="4735" spans="5:10" ht="14.4" x14ac:dyDescent="0.3">
      <c r="E4735" s="3"/>
      <c r="F4735" s="3"/>
      <c r="G4735" s="3"/>
      <c r="H4735" s="3"/>
      <c r="I4735" s="3"/>
      <c r="J4735" s="3"/>
    </row>
    <row r="4736" spans="5:10" ht="14.4" x14ac:dyDescent="0.3">
      <c r="E4736" s="3"/>
      <c r="F4736" s="3"/>
      <c r="G4736" s="3"/>
      <c r="H4736" s="3"/>
      <c r="I4736" s="3"/>
      <c r="J4736" s="3"/>
    </row>
    <row r="4737" spans="5:10" ht="14.4" x14ac:dyDescent="0.3">
      <c r="E4737" s="3"/>
      <c r="F4737" s="3"/>
      <c r="G4737" s="3"/>
      <c r="H4737" s="3"/>
      <c r="I4737" s="3"/>
      <c r="J4737" s="3"/>
    </row>
    <row r="4738" spans="5:10" ht="14.4" x14ac:dyDescent="0.3">
      <c r="E4738" s="3"/>
      <c r="F4738" s="3"/>
      <c r="G4738" s="3"/>
      <c r="H4738" s="3"/>
      <c r="I4738" s="3"/>
      <c r="J4738" s="3"/>
    </row>
    <row r="4739" spans="5:10" ht="14.4" x14ac:dyDescent="0.3">
      <c r="E4739" s="3"/>
      <c r="F4739" s="3"/>
      <c r="G4739" s="3"/>
      <c r="H4739" s="3"/>
      <c r="I4739" s="3"/>
      <c r="J4739" s="3"/>
    </row>
    <row r="4740" spans="5:10" ht="14.4" x14ac:dyDescent="0.3">
      <c r="E4740" s="3"/>
      <c r="F4740" s="3"/>
      <c r="G4740" s="3"/>
      <c r="H4740" s="3"/>
      <c r="I4740" s="3"/>
      <c r="J4740" s="3"/>
    </row>
    <row r="4741" spans="5:10" ht="14.4" x14ac:dyDescent="0.3">
      <c r="E4741" s="3"/>
      <c r="F4741" s="3"/>
      <c r="G4741" s="3"/>
      <c r="H4741" s="3"/>
      <c r="I4741" s="3"/>
      <c r="J4741" s="3"/>
    </row>
    <row r="4742" spans="5:10" ht="14.4" x14ac:dyDescent="0.3">
      <c r="E4742" s="3"/>
      <c r="F4742" s="3"/>
      <c r="G4742" s="3"/>
      <c r="H4742" s="3"/>
      <c r="I4742" s="3"/>
      <c r="J4742" s="3"/>
    </row>
    <row r="4743" spans="5:10" ht="14.4" x14ac:dyDescent="0.3">
      <c r="E4743" s="3"/>
      <c r="F4743" s="3"/>
      <c r="G4743" s="3"/>
      <c r="H4743" s="3"/>
      <c r="I4743" s="3"/>
      <c r="J4743" s="3"/>
    </row>
    <row r="4744" spans="5:10" ht="14.4" x14ac:dyDescent="0.3">
      <c r="E4744" s="3"/>
      <c r="F4744" s="3"/>
      <c r="G4744" s="3"/>
      <c r="H4744" s="3"/>
      <c r="I4744" s="3"/>
      <c r="J4744" s="3"/>
    </row>
    <row r="4745" spans="5:10" ht="14.4" x14ac:dyDescent="0.3">
      <c r="E4745" s="3"/>
      <c r="F4745" s="3"/>
      <c r="G4745" s="3"/>
      <c r="H4745" s="3"/>
      <c r="I4745" s="3"/>
      <c r="J4745" s="3"/>
    </row>
    <row r="4746" spans="5:10" ht="14.4" x14ac:dyDescent="0.3">
      <c r="E4746" s="3"/>
      <c r="F4746" s="3"/>
      <c r="G4746" s="3"/>
      <c r="H4746" s="3"/>
      <c r="I4746" s="3"/>
      <c r="J4746" s="3"/>
    </row>
    <row r="4747" spans="5:10" ht="14.4" x14ac:dyDescent="0.3">
      <c r="E4747" s="3"/>
      <c r="F4747" s="3"/>
      <c r="G4747" s="3"/>
      <c r="H4747" s="3"/>
      <c r="I4747" s="3"/>
      <c r="J4747" s="3"/>
    </row>
    <row r="4748" spans="5:10" ht="14.4" x14ac:dyDescent="0.3">
      <c r="E4748" s="3"/>
      <c r="F4748" s="3"/>
      <c r="G4748" s="3"/>
      <c r="H4748" s="3"/>
      <c r="I4748" s="3"/>
      <c r="J4748" s="3"/>
    </row>
    <row r="4749" spans="5:10" ht="14.4" x14ac:dyDescent="0.3">
      <c r="E4749" s="3"/>
      <c r="F4749" s="3"/>
      <c r="G4749" s="3"/>
      <c r="H4749" s="3"/>
      <c r="I4749" s="3"/>
      <c r="J4749" s="3"/>
    </row>
    <row r="4750" spans="5:10" ht="14.4" x14ac:dyDescent="0.3">
      <c r="E4750" s="3"/>
      <c r="F4750" s="3"/>
      <c r="G4750" s="3"/>
      <c r="H4750" s="3"/>
      <c r="I4750" s="3"/>
      <c r="J4750" s="3"/>
    </row>
    <row r="4751" spans="5:10" ht="14.4" x14ac:dyDescent="0.3">
      <c r="E4751" s="3"/>
      <c r="F4751" s="3"/>
      <c r="G4751" s="3"/>
      <c r="H4751" s="3"/>
      <c r="I4751" s="3"/>
      <c r="J4751" s="3"/>
    </row>
    <row r="4752" spans="5:10" ht="14.4" x14ac:dyDescent="0.3">
      <c r="E4752" s="3"/>
      <c r="F4752" s="3"/>
      <c r="G4752" s="3"/>
      <c r="H4752" s="3"/>
      <c r="I4752" s="3"/>
      <c r="J4752" s="3"/>
    </row>
    <row r="4753" spans="5:10" ht="14.4" x14ac:dyDescent="0.3">
      <c r="E4753" s="3"/>
      <c r="F4753" s="3"/>
      <c r="G4753" s="3"/>
      <c r="H4753" s="3"/>
      <c r="I4753" s="3"/>
      <c r="J4753" s="3"/>
    </row>
    <row r="4754" spans="5:10" ht="14.4" x14ac:dyDescent="0.3">
      <c r="E4754" s="3"/>
      <c r="F4754" s="3"/>
      <c r="G4754" s="3"/>
      <c r="H4754" s="3"/>
      <c r="I4754" s="3"/>
      <c r="J4754" s="3"/>
    </row>
    <row r="4755" spans="5:10" ht="14.4" x14ac:dyDescent="0.3">
      <c r="E4755" s="3"/>
      <c r="F4755" s="3"/>
      <c r="G4755" s="3"/>
      <c r="H4755" s="3"/>
      <c r="I4755" s="3"/>
      <c r="J4755" s="3"/>
    </row>
    <row r="4756" spans="5:10" ht="14.4" x14ac:dyDescent="0.3">
      <c r="E4756" s="3"/>
      <c r="F4756" s="3"/>
      <c r="G4756" s="3"/>
      <c r="H4756" s="3"/>
      <c r="I4756" s="3"/>
      <c r="J4756" s="3"/>
    </row>
    <row r="4757" spans="5:10" ht="14.4" x14ac:dyDescent="0.3">
      <c r="E4757" s="3"/>
      <c r="F4757" s="3"/>
      <c r="G4757" s="3"/>
      <c r="H4757" s="3"/>
      <c r="I4757" s="3"/>
      <c r="J4757" s="3"/>
    </row>
    <row r="4758" spans="5:10" ht="14.4" x14ac:dyDescent="0.3">
      <c r="E4758" s="3"/>
      <c r="F4758" s="3"/>
      <c r="G4758" s="3"/>
      <c r="H4758" s="3"/>
      <c r="I4758" s="3"/>
      <c r="J4758" s="3"/>
    </row>
    <row r="4759" spans="5:10" ht="14.4" x14ac:dyDescent="0.3">
      <c r="E4759" s="3"/>
      <c r="F4759" s="3"/>
      <c r="G4759" s="3"/>
      <c r="H4759" s="3"/>
      <c r="I4759" s="3"/>
      <c r="J4759" s="3"/>
    </row>
    <row r="4760" spans="5:10" ht="14.4" x14ac:dyDescent="0.3">
      <c r="E4760" s="3"/>
      <c r="F4760" s="3"/>
      <c r="G4760" s="3"/>
      <c r="H4760" s="3"/>
      <c r="I4760" s="3"/>
      <c r="J4760" s="3"/>
    </row>
    <row r="4761" spans="5:10" ht="14.4" x14ac:dyDescent="0.3">
      <c r="E4761" s="3"/>
      <c r="F4761" s="3"/>
      <c r="G4761" s="3"/>
      <c r="H4761" s="3"/>
      <c r="I4761" s="3"/>
      <c r="J4761" s="3"/>
    </row>
    <row r="4762" spans="5:10" ht="14.4" x14ac:dyDescent="0.3">
      <c r="E4762" s="3"/>
      <c r="F4762" s="3"/>
      <c r="G4762" s="3"/>
      <c r="H4762" s="3"/>
      <c r="I4762" s="3"/>
      <c r="J4762" s="3"/>
    </row>
    <row r="4763" spans="5:10" ht="14.4" x14ac:dyDescent="0.3">
      <c r="E4763" s="3"/>
      <c r="F4763" s="3"/>
      <c r="G4763" s="3"/>
      <c r="H4763" s="3"/>
      <c r="I4763" s="3"/>
      <c r="J4763" s="3"/>
    </row>
    <row r="4764" spans="5:10" ht="14.4" x14ac:dyDescent="0.3">
      <c r="E4764" s="3"/>
      <c r="F4764" s="3"/>
      <c r="G4764" s="3"/>
      <c r="H4764" s="3"/>
      <c r="I4764" s="3"/>
      <c r="J4764" s="3"/>
    </row>
    <row r="4765" spans="5:10" ht="14.4" x14ac:dyDescent="0.3">
      <c r="E4765" s="3"/>
      <c r="F4765" s="3"/>
      <c r="G4765" s="3"/>
      <c r="H4765" s="3"/>
      <c r="I4765" s="3"/>
      <c r="J4765" s="3"/>
    </row>
    <row r="4766" spans="5:10" ht="14.4" x14ac:dyDescent="0.3">
      <c r="E4766" s="3"/>
      <c r="F4766" s="3"/>
      <c r="G4766" s="3"/>
      <c r="H4766" s="3"/>
      <c r="I4766" s="3"/>
      <c r="J4766" s="3"/>
    </row>
    <row r="4767" spans="5:10" ht="14.4" x14ac:dyDescent="0.3">
      <c r="E4767" s="3"/>
      <c r="F4767" s="3"/>
      <c r="G4767" s="3"/>
      <c r="H4767" s="3"/>
      <c r="I4767" s="3"/>
      <c r="J4767" s="3"/>
    </row>
    <row r="4768" spans="5:10" ht="14.4" x14ac:dyDescent="0.3">
      <c r="E4768" s="3"/>
      <c r="F4768" s="3"/>
      <c r="G4768" s="3"/>
      <c r="H4768" s="3"/>
      <c r="I4768" s="3"/>
      <c r="J4768" s="3"/>
    </row>
    <row r="4769" spans="5:10" ht="14.4" x14ac:dyDescent="0.3">
      <c r="E4769" s="3"/>
      <c r="F4769" s="3"/>
      <c r="G4769" s="3"/>
      <c r="H4769" s="3"/>
      <c r="I4769" s="3"/>
      <c r="J4769" s="3"/>
    </row>
  </sheetData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">
                <anchor moveWithCells="1" sizeWithCells="1">
                  <from>
                    <xdr:col>12</xdr:col>
                    <xdr:colOff>38100</xdr:colOff>
                    <xdr:row>1</xdr:row>
                    <xdr:rowOff>22860</xdr:rowOff>
                  </from>
                  <to>
                    <xdr:col>14</xdr:col>
                    <xdr:colOff>15240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output">
                <anchor moveWithCells="1" sizeWithCells="1">
                  <from>
                    <xdr:col>14</xdr:col>
                    <xdr:colOff>723900</xdr:colOff>
                    <xdr:row>1</xdr:row>
                    <xdr:rowOff>22860</xdr:rowOff>
                  </from>
                  <to>
                    <xdr:col>15</xdr:col>
                    <xdr:colOff>701040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388"/>
  <sheetViews>
    <sheetView zoomScaleNormal="100" workbookViewId="0">
      <pane ySplit="1608" topLeftCell="A311" activePane="bottomLeft"/>
      <selection activeCell="M6" sqref="M6:Q15"/>
      <selection pane="bottomLeft" activeCell="M6" sqref="M6:Q15"/>
    </sheetView>
  </sheetViews>
  <sheetFormatPr defaultRowHeight="13.2" x14ac:dyDescent="0.3"/>
  <cols>
    <col min="1" max="2" width="12.77734375" style="1" customWidth="1"/>
    <col min="3" max="7" width="10.77734375" style="1" customWidth="1"/>
    <col min="8" max="8" width="2.77734375" style="1" customWidth="1"/>
    <col min="9" max="11" width="8.88671875" style="1"/>
    <col min="12" max="12" width="2.77734375" style="1" customWidth="1"/>
    <col min="13" max="15" width="8.77734375" style="1" customWidth="1"/>
    <col min="16" max="16384" width="8.88671875" style="1"/>
  </cols>
  <sheetData>
    <row r="1" spans="1:17" ht="14.4" customHeight="1" x14ac:dyDescent="0.3">
      <c r="A1" s="5" t="s">
        <v>27</v>
      </c>
      <c r="B1" s="8">
        <v>27.5</v>
      </c>
      <c r="C1" s="9" t="s">
        <v>28</v>
      </c>
      <c r="D1" s="10">
        <f>B1*145.0377/1000</f>
        <v>3.9885367500000002</v>
      </c>
      <c r="E1" s="9" t="s">
        <v>29</v>
      </c>
      <c r="J1" s="37" t="s">
        <v>30</v>
      </c>
      <c r="K1" s="37" t="s">
        <v>31</v>
      </c>
    </row>
    <row r="2" spans="1:17" x14ac:dyDescent="0.3">
      <c r="A2" s="5" t="s">
        <v>32</v>
      </c>
      <c r="B2" s="8">
        <v>414</v>
      </c>
      <c r="C2" s="9" t="s">
        <v>28</v>
      </c>
      <c r="D2" s="10">
        <f>B2*145.0377/1000</f>
        <v>60.045607799999999</v>
      </c>
      <c r="E2" s="9" t="s">
        <v>29</v>
      </c>
      <c r="J2" s="37"/>
      <c r="K2" s="37"/>
    </row>
    <row r="3" spans="1:17" x14ac:dyDescent="0.3">
      <c r="A3" s="5" t="s">
        <v>33</v>
      </c>
      <c r="B3" s="8">
        <v>0.7</v>
      </c>
      <c r="J3" s="37"/>
      <c r="K3" s="37"/>
    </row>
    <row r="4" spans="1:17" x14ac:dyDescent="0.3">
      <c r="A4" s="5" t="s">
        <v>34</v>
      </c>
      <c r="B4" s="8">
        <v>0.8</v>
      </c>
      <c r="J4" s="37"/>
      <c r="K4" s="37"/>
    </row>
    <row r="5" spans="1:17" x14ac:dyDescent="0.3">
      <c r="A5" s="5"/>
      <c r="B5" s="8"/>
      <c r="J5" s="37"/>
      <c r="K5" s="37"/>
    </row>
    <row r="6" spans="1:17" x14ac:dyDescent="0.3">
      <c r="B6" s="1" t="s">
        <v>19</v>
      </c>
      <c r="C6" s="1" t="s">
        <v>20</v>
      </c>
      <c r="D6" s="1" t="s">
        <v>35</v>
      </c>
      <c r="E6" s="1" t="s">
        <v>36</v>
      </c>
      <c r="F6" s="1" t="s">
        <v>23</v>
      </c>
      <c r="G6" s="1" t="s">
        <v>24</v>
      </c>
      <c r="I6" s="1" t="s">
        <v>7</v>
      </c>
      <c r="J6" s="1" t="s">
        <v>37</v>
      </c>
      <c r="K6" s="1" t="s">
        <v>38</v>
      </c>
      <c r="M6" s="1" t="s">
        <v>39</v>
      </c>
    </row>
    <row r="7" spans="1:17" x14ac:dyDescent="0.3">
      <c r="A7" s="11"/>
      <c r="B7" s="12" t="s">
        <v>40</v>
      </c>
      <c r="C7" s="4">
        <v>90.77</v>
      </c>
      <c r="D7" s="1">
        <v>-9.08</v>
      </c>
      <c r="E7" s="1">
        <v>0</v>
      </c>
      <c r="F7" s="1">
        <v>-37.6</v>
      </c>
      <c r="G7" s="1">
        <v>0</v>
      </c>
      <c r="I7" s="13">
        <f>($C7*1000/$B$3)/$B10/$B$1</f>
        <v>1.2252526209977284E-2</v>
      </c>
      <c r="J7" s="13">
        <f>(ABS(($F7+0.1)*1000)/$C7)*($I7/$B9)</f>
        <v>7.231302552356004E-3</v>
      </c>
      <c r="K7" s="13">
        <f>(ABS(($G7+0.1)*1000)/$C7)*($I7/IF(B8="",$B9,$B8))</f>
        <v>1.9283473472949346E-5</v>
      </c>
      <c r="N7" s="14">
        <f>O7/Q7</f>
        <v>0</v>
      </c>
      <c r="O7" s="1">
        <f>B10*M7</f>
        <v>0</v>
      </c>
      <c r="P7" s="1" t="str">
        <f>IF(Q7=490, "D25",IF(Q7=314,"D20","D16"))</f>
        <v>D20</v>
      </c>
      <c r="Q7" s="1">
        <v>314</v>
      </c>
    </row>
    <row r="8" spans="1:17" x14ac:dyDescent="0.3">
      <c r="A8" s="5" t="s">
        <v>41</v>
      </c>
      <c r="B8" s="8"/>
      <c r="C8" s="4">
        <v>4471.76</v>
      </c>
      <c r="D8" s="1">
        <v>0</v>
      </c>
      <c r="E8" s="1">
        <v>-11.81</v>
      </c>
      <c r="F8" s="1">
        <v>0</v>
      </c>
      <c r="G8" s="1">
        <v>0</v>
      </c>
      <c r="I8" s="13">
        <f>($C8*1000/$B$3)/$B10/$B$1</f>
        <v>0.60361745736177164</v>
      </c>
      <c r="J8" s="13">
        <f>(ABS(($F8+0.1)*1000)/$C8)*($I8/$B9)</f>
        <v>1.9283473472949342E-5</v>
      </c>
      <c r="K8" s="13">
        <f>(ABS(($G8+0.1)*1000)/$C8)*($I8/IF(B8="",$B9,$B8))</f>
        <v>1.9283473472949342E-5</v>
      </c>
      <c r="N8" s="14">
        <f>O8/Q7</f>
        <v>0</v>
      </c>
      <c r="O8" s="1">
        <f>B10*M8</f>
        <v>0</v>
      </c>
      <c r="P8" s="1" t="str">
        <f>IF(Q7=490, "D25",IF(Q7=314,"D20","D16"))</f>
        <v>D20</v>
      </c>
      <c r="Q8" s="12" t="s">
        <v>42</v>
      </c>
    </row>
    <row r="9" spans="1:17" x14ac:dyDescent="0.3">
      <c r="A9" s="5" t="s">
        <v>43</v>
      </c>
      <c r="B9" s="8">
        <v>700</v>
      </c>
      <c r="C9" s="1">
        <v>3891.06</v>
      </c>
      <c r="D9" s="4">
        <v>-142.16</v>
      </c>
      <c r="E9" s="1">
        <v>-5.07</v>
      </c>
      <c r="F9" s="1">
        <v>9.8699999999999992</v>
      </c>
      <c r="G9" s="1">
        <v>354.27</v>
      </c>
      <c r="I9" s="13">
        <f>($C9*1000/$B$3)/$B10/$B$1</f>
        <v>0.52523206604158001</v>
      </c>
      <c r="J9" s="13">
        <f>(ABS(($F9+0.1)*1000)/$C9)*($I9/$B9)</f>
        <v>1.9225623052530497E-3</v>
      </c>
      <c r="K9" s="13">
        <f>(ABS(($G9+0.1)*1000)/$C9)*($I9/IF(B8="",$B9,$B8))</f>
        <v>6.83348449460906E-2</v>
      </c>
      <c r="N9" s="14">
        <f>O9/Q7</f>
        <v>0</v>
      </c>
      <c r="O9" s="1">
        <f>B10*M9</f>
        <v>0</v>
      </c>
      <c r="P9" s="1" t="str">
        <f>IF(Q7=490, "D25",IF(Q7=314,"D20","D16"))</f>
        <v>D20</v>
      </c>
    </row>
    <row r="10" spans="1:17" x14ac:dyDescent="0.3">
      <c r="A10" s="5" t="s">
        <v>44</v>
      </c>
      <c r="B10" s="15">
        <f>IF(B8="",(0.25*PI()*B9^2),B8*B9)</f>
        <v>384845.10006474965</v>
      </c>
      <c r="C10" s="1">
        <v>1221.69</v>
      </c>
      <c r="D10" s="4">
        <v>70.62</v>
      </c>
      <c r="E10" s="1">
        <v>-34.630000000000003</v>
      </c>
      <c r="F10" s="1">
        <v>-69.11</v>
      </c>
      <c r="G10" s="1">
        <v>-147.32</v>
      </c>
      <c r="I10" s="13">
        <f>($C10*1000/$B$3)/$B10/$B$1</f>
        <v>0.16490898695017239</v>
      </c>
      <c r="J10" s="13">
        <f>(ABS(($F10+0.1)*1000)/$C10)*($I10/$B9)</f>
        <v>1.3307525043682341E-2</v>
      </c>
      <c r="K10" s="13">
        <f>(ABS(($G10+0.1)*1000)/$C10)*($I10/IF(B8="",$B9,$B8))</f>
        <v>2.8389129646876021E-2</v>
      </c>
      <c r="N10" s="14">
        <f>O10/Q7</f>
        <v>0</v>
      </c>
      <c r="O10" s="1">
        <f>B10*M10</f>
        <v>0</v>
      </c>
      <c r="P10" s="1" t="str">
        <f>IF(Q7=490, "D25",IF(Q7=314,"D20","D16"))</f>
        <v>D20</v>
      </c>
    </row>
    <row r="11" spans="1:17" x14ac:dyDescent="0.3">
      <c r="C11" s="1">
        <v>701.67</v>
      </c>
      <c r="D11" s="1">
        <v>16.14</v>
      </c>
      <c r="E11" s="4">
        <v>-132.96</v>
      </c>
      <c r="F11" s="1">
        <v>-330.2</v>
      </c>
      <c r="G11" s="1">
        <v>-28.95</v>
      </c>
      <c r="I11" s="13">
        <f>($C11*1000/$B$3)/$B10/$B$1</f>
        <v>9.4714443822350558E-2</v>
      </c>
      <c r="J11" s="13">
        <f>(ABS(($F11+0.1)*1000)/$C11)*($I11/$B9)</f>
        <v>6.3654745934205781E-2</v>
      </c>
      <c r="K11" s="13">
        <f>(ABS(($G11+0.1)*1000)/$C11)*($I11/IF(B8="",$B9,$B8))</f>
        <v>5.5632820969458846E-3</v>
      </c>
      <c r="N11" s="14">
        <f>O11/Q7</f>
        <v>0</v>
      </c>
      <c r="O11" s="1">
        <f>B10*M11</f>
        <v>0</v>
      </c>
      <c r="P11" s="1" t="str">
        <f>IF(Q7=490, "D25",IF(Q7=314,"D20","D16"))</f>
        <v>D20</v>
      </c>
    </row>
    <row r="12" spans="1:17" x14ac:dyDescent="0.3">
      <c r="C12" s="1">
        <v>723.81</v>
      </c>
      <c r="D12" s="1">
        <v>-23.5</v>
      </c>
      <c r="E12" s="4">
        <v>94.68</v>
      </c>
      <c r="F12" s="1">
        <v>164.24</v>
      </c>
      <c r="G12" s="1">
        <v>19.52</v>
      </c>
      <c r="I12" s="13">
        <f>($C12*1000/$B$3)/$B10/$B$1</f>
        <v>9.7702996541188261E-2</v>
      </c>
      <c r="J12" s="13">
        <f>(ABS(($F12+0.1)*1000)/$C12)*($I12/$B9)</f>
        <v>3.1690460305444958E-2</v>
      </c>
      <c r="K12" s="13">
        <f>(ABS(($G12+0.1)*1000)/$C12)*($I12/IF(B8="",$B9,$B8))</f>
        <v>3.7834174953926621E-3</v>
      </c>
      <c r="N12" s="14">
        <f>O12/Q7</f>
        <v>0</v>
      </c>
      <c r="O12" s="1">
        <f>B10*M12</f>
        <v>0</v>
      </c>
      <c r="P12" s="1" t="str">
        <f>IF(Q7=490, "D25",IF(Q7=314,"D20","D16"))</f>
        <v>D20</v>
      </c>
    </row>
    <row r="13" spans="1:17" x14ac:dyDescent="0.3">
      <c r="C13" s="1">
        <v>701.67</v>
      </c>
      <c r="D13" s="1">
        <v>16.14</v>
      </c>
      <c r="E13" s="1">
        <v>-132.96</v>
      </c>
      <c r="F13" s="4">
        <v>-330.2</v>
      </c>
      <c r="G13" s="1">
        <v>-28.95</v>
      </c>
      <c r="I13" s="13">
        <f>($C13*1000/$B$3)/$B10/$B$1</f>
        <v>9.4714443822350558E-2</v>
      </c>
      <c r="J13" s="13">
        <f>(ABS(($F13+0.1)*1000)/$C13)*($I13/$B9)</f>
        <v>6.3654745934205781E-2</v>
      </c>
      <c r="K13" s="13">
        <f>(ABS(($G13+0.1)*1000)/$C13)*($I13/IF(B8="",$B9,$B8))</f>
        <v>5.5632820969458846E-3</v>
      </c>
      <c r="N13" s="14">
        <f>O13/Q7</f>
        <v>0</v>
      </c>
      <c r="O13" s="1">
        <f>B10*M13</f>
        <v>0</v>
      </c>
      <c r="P13" s="1" t="str">
        <f>IF(Q7=490, "D25",IF(Q7=314,"D20","D16"))</f>
        <v>D20</v>
      </c>
    </row>
    <row r="14" spans="1:17" x14ac:dyDescent="0.3">
      <c r="C14" s="1">
        <v>1265</v>
      </c>
      <c r="D14" s="1">
        <v>40.619999999999997</v>
      </c>
      <c r="E14" s="1">
        <v>-116.74</v>
      </c>
      <c r="F14" s="4">
        <v>214.24</v>
      </c>
      <c r="G14" s="1">
        <v>95.1</v>
      </c>
      <c r="I14" s="13">
        <f>($C14*1000/$B$3)/$B10/$B$1</f>
        <v>0.17075515760296645</v>
      </c>
      <c r="J14" s="13">
        <f>(ABS(($F14+0.1)*1000)/$C14)*($I14/$B9)</f>
        <v>4.1332197041919629E-2</v>
      </c>
      <c r="K14" s="13">
        <f>(ABS(($G14+0.1)*1000)/$C14)*($I14/IF(B8="",$B9,$B8))</f>
        <v>1.8357866746247776E-2</v>
      </c>
      <c r="N14" s="14">
        <f>O14/Q7</f>
        <v>0</v>
      </c>
      <c r="O14" s="1">
        <f>B10*M14</f>
        <v>0</v>
      </c>
      <c r="P14" s="1" t="str">
        <f>IF(Q7=490, "D25",IF(Q7=314,"D20","D16"))</f>
        <v>D20</v>
      </c>
    </row>
    <row r="15" spans="1:17" x14ac:dyDescent="0.3">
      <c r="C15" s="1">
        <v>2686.59</v>
      </c>
      <c r="D15" s="1">
        <v>-49.01</v>
      </c>
      <c r="E15" s="1">
        <v>-10.7</v>
      </c>
      <c r="F15" s="1">
        <v>-7.54</v>
      </c>
      <c r="G15" s="4">
        <v>-217.49</v>
      </c>
      <c r="I15" s="13">
        <f>($C15*1000/$B$3)/$B10/$B$1</f>
        <v>0.36264750898383685</v>
      </c>
      <c r="J15" s="13">
        <f>(ABS(($F15+0.1)*1000)/$C15)*($I15/$B9)</f>
        <v>1.4346904263874312E-3</v>
      </c>
      <c r="K15" s="13">
        <f>(ABS(($G15+0.1)*1000)/$C15)*($I15/IF(B8="",$B9,$B8))</f>
        <v>4.192034298284459E-2</v>
      </c>
      <c r="N15" s="14">
        <f>O15/Q7</f>
        <v>0</v>
      </c>
      <c r="O15" s="1">
        <f>B10*M15</f>
        <v>0</v>
      </c>
      <c r="P15" s="1" t="str">
        <f>IF(Q7=490, "D25",IF(Q7=314,"D20","D16"))</f>
        <v>D20</v>
      </c>
    </row>
    <row r="16" spans="1:17" x14ac:dyDescent="0.3">
      <c r="C16" s="1">
        <v>3891.06</v>
      </c>
      <c r="D16" s="1">
        <v>-142.16</v>
      </c>
      <c r="E16" s="1">
        <v>-5.07</v>
      </c>
      <c r="F16" s="1">
        <v>9.8699999999999992</v>
      </c>
      <c r="G16" s="4">
        <v>354.27</v>
      </c>
      <c r="I16" s="13">
        <f>($C16*1000/$B$3)/$B10/$B$1</f>
        <v>0.52523206604158001</v>
      </c>
      <c r="J16" s="13">
        <f>(ABS(($F16+0.1)*1000)/$C16)*($I16/$B9)</f>
        <v>1.9225623052530497E-3</v>
      </c>
      <c r="K16" s="13">
        <f>(ABS(($G16+0.1)*1000)/$C16)*($I16/IF(B8="",$B9,$B8))</f>
        <v>6.83348449460906E-2</v>
      </c>
      <c r="M16" s="1">
        <v>0.01</v>
      </c>
      <c r="N16" s="14">
        <f>O16/Q7</f>
        <v>12.25621337785827</v>
      </c>
      <c r="O16" s="1">
        <f>B10*M16</f>
        <v>3848.4510006474966</v>
      </c>
      <c r="P16" s="1" t="str">
        <f>IF(Q7=490, "D25",IF(Q7=314,"D20","D16"))</f>
        <v>D20</v>
      </c>
    </row>
    <row r="17" spans="1:17" x14ac:dyDescent="0.3">
      <c r="I17" s="13"/>
      <c r="J17" s="13"/>
      <c r="K17" s="13"/>
    </row>
    <row r="18" spans="1:17" x14ac:dyDescent="0.3">
      <c r="B18" s="1" t="s">
        <v>19</v>
      </c>
      <c r="C18" s="1" t="s">
        <v>20</v>
      </c>
      <c r="D18" s="1" t="s">
        <v>35</v>
      </c>
      <c r="E18" s="1" t="s">
        <v>36</v>
      </c>
      <c r="F18" s="1" t="s">
        <v>23</v>
      </c>
      <c r="G18" s="1" t="s">
        <v>24</v>
      </c>
      <c r="I18" s="13"/>
      <c r="J18" s="13"/>
      <c r="K18" s="13"/>
    </row>
    <row r="19" spans="1:17" x14ac:dyDescent="0.3">
      <c r="A19" s="11"/>
      <c r="B19" s="12" t="s">
        <v>45</v>
      </c>
      <c r="C19" s="4">
        <v>150.41</v>
      </c>
      <c r="D19" s="1">
        <v>-10.01</v>
      </c>
      <c r="E19" s="1">
        <v>0</v>
      </c>
      <c r="F19" s="1">
        <v>-262.13</v>
      </c>
      <c r="G19" s="1">
        <v>0</v>
      </c>
      <c r="I19" s="13">
        <f>($C19*1000/$B$3)/$B22/$B$1</f>
        <v>2.0302990715464177E-2</v>
      </c>
      <c r="J19" s="13">
        <f>(ABS(($F19+0.1)*1000)/$C19)*($I19/$B21)</f>
        <v>5.0528485541169163E-2</v>
      </c>
      <c r="K19" s="13">
        <f>(ABS(($G19+0.1)*1000)/$C19)*($I19/IF(B20="",$B21,$B20))</f>
        <v>1.9283473472949346E-5</v>
      </c>
      <c r="N19" s="14">
        <f>O19/Q19</f>
        <v>0</v>
      </c>
      <c r="O19" s="1">
        <f>B22*M19</f>
        <v>0</v>
      </c>
      <c r="P19" s="1" t="str">
        <f>IF(Q19=490, "D25",IF(Q19=314,"D20","D16"))</f>
        <v>D20</v>
      </c>
      <c r="Q19" s="1">
        <v>314</v>
      </c>
    </row>
    <row r="20" spans="1:17" x14ac:dyDescent="0.3">
      <c r="A20" s="5" t="s">
        <v>41</v>
      </c>
      <c r="B20" s="8"/>
      <c r="C20" s="4">
        <v>2096.96</v>
      </c>
      <c r="D20" s="1">
        <v>0</v>
      </c>
      <c r="E20" s="1">
        <v>-9.7200000000000006</v>
      </c>
      <c r="F20" s="1">
        <v>0</v>
      </c>
      <c r="G20" s="1">
        <v>0</v>
      </c>
      <c r="I20" s="13">
        <f>($C20*1000/$B$3)/$B22/$B$1</f>
        <v>0.28305670773685099</v>
      </c>
      <c r="J20" s="13">
        <f>(ABS(($F20+0.1)*1000)/$C20)*($I20/$B21)</f>
        <v>1.9283473472949346E-5</v>
      </c>
      <c r="K20" s="13">
        <f>(ABS(($G20+0.1)*1000)/$C20)*($I20/IF(B20="",$B21,$B20))</f>
        <v>1.9283473472949346E-5</v>
      </c>
      <c r="N20" s="14">
        <f>O20/Q19</f>
        <v>0</v>
      </c>
      <c r="O20" s="1">
        <f>B22*M20</f>
        <v>0</v>
      </c>
      <c r="P20" s="1" t="str">
        <f>IF(Q19=490, "D25",IF(Q19=314,"D20","D16"))</f>
        <v>D20</v>
      </c>
      <c r="Q20" s="12" t="s">
        <v>42</v>
      </c>
    </row>
    <row r="21" spans="1:17" x14ac:dyDescent="0.3">
      <c r="A21" s="5" t="s">
        <v>43</v>
      </c>
      <c r="B21" s="8">
        <v>700</v>
      </c>
      <c r="C21" s="1">
        <v>820.18</v>
      </c>
      <c r="D21" s="4">
        <v>-166.47</v>
      </c>
      <c r="E21" s="1">
        <v>-35.11</v>
      </c>
      <c r="F21" s="1">
        <v>-21.34</v>
      </c>
      <c r="G21" s="1">
        <v>34.299999999999997</v>
      </c>
      <c r="I21" s="13">
        <f>($C21*1000/$B$3)/$B22/$B$1</f>
        <v>0.11071143491130514</v>
      </c>
      <c r="J21" s="13">
        <f>(ABS(($F21+0.1)*1000)/$C21)*($I21/$B21)</f>
        <v>4.0958097656544406E-3</v>
      </c>
      <c r="K21" s="13">
        <f>(ABS(($G21+0.1)*1000)/$C21)*($I21/IF(B20="",$B21,$B20))</f>
        <v>6.6335148746945747E-3</v>
      </c>
      <c r="N21" s="14">
        <f>O21/Q19</f>
        <v>0</v>
      </c>
      <c r="O21" s="1">
        <f>B22*M21</f>
        <v>0</v>
      </c>
      <c r="P21" s="1" t="str">
        <f>IF(Q19=490, "D25",IF(Q19=314,"D20","D16"))</f>
        <v>D20</v>
      </c>
    </row>
    <row r="22" spans="1:17" x14ac:dyDescent="0.3">
      <c r="A22" s="5" t="s">
        <v>44</v>
      </c>
      <c r="B22" s="15">
        <f>IF(B20="",(0.25*PI()*B21^2),B20*B21)</f>
        <v>384845.10006474965</v>
      </c>
      <c r="C22" s="1">
        <v>975.49</v>
      </c>
      <c r="D22" s="4">
        <v>46.72</v>
      </c>
      <c r="E22" s="1">
        <v>-2.13</v>
      </c>
      <c r="F22" s="1">
        <v>-2.4</v>
      </c>
      <c r="G22" s="1">
        <v>-99.69</v>
      </c>
      <c r="I22" s="13">
        <f>($C22*1000/$B$3)/$B22/$B$1</f>
        <v>0.13167584876689151</v>
      </c>
      <c r="J22" s="13">
        <f>(ABS(($F22+0.1)*1000)/$C22)*($I22/$B21)</f>
        <v>4.4351988987783496E-4</v>
      </c>
      <c r="K22" s="13">
        <f>(ABS(($G22+0.1)*1000)/$C22)*($I22/IF(B20="",$B21,$B20))</f>
        <v>1.9204411231710253E-2</v>
      </c>
      <c r="N22" s="14">
        <f>O22/Q19</f>
        <v>0</v>
      </c>
      <c r="O22" s="1">
        <f>B22*M22</f>
        <v>0</v>
      </c>
      <c r="P22" s="1" t="str">
        <f>IF(Q19=490, "D25",IF(Q19=314,"D20","D16"))</f>
        <v>D20</v>
      </c>
    </row>
    <row r="23" spans="1:17" x14ac:dyDescent="0.3">
      <c r="C23" s="1">
        <v>327.44</v>
      </c>
      <c r="D23" s="1">
        <v>-14.13</v>
      </c>
      <c r="E23" s="4">
        <v>-152.30000000000001</v>
      </c>
      <c r="F23" s="1">
        <v>-62.87</v>
      </c>
      <c r="G23" s="1">
        <v>-53.08</v>
      </c>
      <c r="I23" s="13">
        <f>($C23*1000/$B$3)/$B22/$B$1</f>
        <v>4.4199263877877731E-2</v>
      </c>
      <c r="J23" s="13">
        <f>(ABS(($F23+0.1)*1000)/$C23)*($I23/$B21)</f>
        <v>1.2104236298970301E-2</v>
      </c>
      <c r="K23" s="13">
        <f>(ABS(($G23+0.1)*1000)/$C23)*($I23/IF(B20="",$B21,$B20))</f>
        <v>1.0216384245968562E-2</v>
      </c>
      <c r="N23" s="14">
        <f>O23/Q19</f>
        <v>0</v>
      </c>
      <c r="O23" s="1">
        <f>B22*M23</f>
        <v>0</v>
      </c>
      <c r="P23" s="1" t="str">
        <f>IF(Q19=490, "D25",IF(Q19=314,"D20","D16"))</f>
        <v>D20</v>
      </c>
    </row>
    <row r="24" spans="1:17" x14ac:dyDescent="0.3">
      <c r="C24" s="1">
        <v>174.94</v>
      </c>
      <c r="D24" s="1">
        <v>-10.01</v>
      </c>
      <c r="E24" s="4">
        <v>108.32</v>
      </c>
      <c r="F24" s="1">
        <v>59.44</v>
      </c>
      <c r="G24" s="1">
        <v>23.71</v>
      </c>
      <c r="I24" s="13">
        <f>($C24*1000/$B$3)/$B22/$B$1</f>
        <v>2.3614155945504308E-2</v>
      </c>
      <c r="J24" s="13">
        <f>(ABS(($F24+0.1)*1000)/$C24)*($I24/$B21)</f>
        <v>1.148138010579404E-2</v>
      </c>
      <c r="K24" s="13">
        <f>(ABS(($G24+0.1)*1000)/$C24)*($I24/IF(B20="",$B21,$B20))</f>
        <v>4.591395033909239E-3</v>
      </c>
      <c r="N24" s="14">
        <f>O24/Q19</f>
        <v>0</v>
      </c>
      <c r="O24" s="1">
        <f>B22*M24</f>
        <v>0</v>
      </c>
      <c r="P24" s="1" t="str">
        <f>IF(Q19=490, "D25",IF(Q19=314,"D20","D16"))</f>
        <v>D20</v>
      </c>
    </row>
    <row r="25" spans="1:17" x14ac:dyDescent="0.3">
      <c r="C25" s="1">
        <v>457.15</v>
      </c>
      <c r="D25" s="1">
        <v>-29.41</v>
      </c>
      <c r="E25" s="1">
        <v>83.93</v>
      </c>
      <c r="F25" s="4">
        <v>-313.55</v>
      </c>
      <c r="G25" s="1">
        <v>-123.67</v>
      </c>
      <c r="I25" s="13">
        <f>($C25*1000/$B$3)/$B22/$B$1</f>
        <v>6.1708079287111556E-2</v>
      </c>
      <c r="J25" s="13">
        <f>(ABS(($F25+0.1)*1000)/$C25)*($I25/$B21)</f>
        <v>6.044404760095972E-2</v>
      </c>
      <c r="K25" s="13">
        <f>(ABS(($G25+0.1)*1000)/$C25)*($I25/IF(B20="",$B21,$B20))</f>
        <v>2.3828588170523506E-2</v>
      </c>
      <c r="N25" s="14">
        <f>O25/Q19</f>
        <v>0</v>
      </c>
      <c r="O25" s="1">
        <f>B22*M25</f>
        <v>0</v>
      </c>
      <c r="P25" s="1" t="str">
        <f>IF(Q19=490, "D25",IF(Q19=314,"D20","D16"))</f>
        <v>D20</v>
      </c>
    </row>
    <row r="26" spans="1:17" x14ac:dyDescent="0.3">
      <c r="C26" s="1">
        <v>900.74</v>
      </c>
      <c r="D26" s="1">
        <v>-107.38</v>
      </c>
      <c r="E26" s="1">
        <v>-119.5</v>
      </c>
      <c r="F26" s="4">
        <v>413.7</v>
      </c>
      <c r="G26" s="1">
        <v>-268.26</v>
      </c>
      <c r="I26" s="13">
        <f>($C26*1000/$B$3)/$B22/$B$1</f>
        <v>0.12158577127217075</v>
      </c>
      <c r="J26" s="13">
        <f>(ABS(($F26+0.1)*1000)/$C26)*($I26/$B21)</f>
        <v>7.9795013231064402E-2</v>
      </c>
      <c r="K26" s="13">
        <f>(ABS(($G26+0.1)*1000)/$C26)*($I26/IF(B20="",$B21,$B20))</f>
        <v>5.1710562465060957E-2</v>
      </c>
      <c r="N26" s="14">
        <f>O26/Q19</f>
        <v>0</v>
      </c>
      <c r="O26" s="1">
        <f>B22*M26</f>
        <v>0</v>
      </c>
      <c r="P26" s="1" t="str">
        <f>IF(Q19=490, "D25",IF(Q19=314,"D20","D16"))</f>
        <v>D20</v>
      </c>
    </row>
    <row r="27" spans="1:17" x14ac:dyDescent="0.3">
      <c r="C27" s="1">
        <v>787.47</v>
      </c>
      <c r="D27" s="1">
        <v>-162.44999999999999</v>
      </c>
      <c r="E27" s="1">
        <v>-35.11</v>
      </c>
      <c r="F27" s="1">
        <v>83.99</v>
      </c>
      <c r="G27" s="4">
        <v>-461.09</v>
      </c>
      <c r="I27" s="13">
        <f>($C27*1000/$B$3)/$B22/$B$1</f>
        <v>0.10629609799020394</v>
      </c>
      <c r="J27" s="13">
        <f>(ABS(($F27+0.1)*1000)/$C27)*($I27/$B21)</f>
        <v>1.6215472843403099E-2</v>
      </c>
      <c r="K27" s="13">
        <f>(ABS(($G27+0.1)*1000)/$C27)*($I27/IF(B20="",$B21,$B20))</f>
        <v>8.8894884362949178E-2</v>
      </c>
      <c r="M27" s="1">
        <v>1.4999999999999999E-2</v>
      </c>
      <c r="N27" s="14">
        <f>O27/Q19</f>
        <v>18.384320066787403</v>
      </c>
      <c r="O27" s="1">
        <f>B22*M27</f>
        <v>5772.6765009712444</v>
      </c>
      <c r="P27" s="1" t="str">
        <f>IF(Q19=490, "D25",IF(Q19=314,"D20","D16"))</f>
        <v>D20</v>
      </c>
    </row>
    <row r="28" spans="1:17" x14ac:dyDescent="0.3">
      <c r="C28" s="1">
        <v>872.03</v>
      </c>
      <c r="D28" s="1">
        <v>-68.150000000000006</v>
      </c>
      <c r="E28" s="1">
        <v>-10.72</v>
      </c>
      <c r="F28" s="1">
        <v>-28.06</v>
      </c>
      <c r="G28" s="4">
        <v>174.18</v>
      </c>
      <c r="I28" s="13">
        <f>($C28*1000/$B$3)/$B22/$B$1</f>
        <v>0.11771037160831212</v>
      </c>
      <c r="J28" s="13">
        <f>(ABS(($F28+0.1)*1000)/$C28)*($I28/$B21)</f>
        <v>5.3916591830366354E-3</v>
      </c>
      <c r="K28" s="13">
        <f>(ABS(($G28+0.1)*1000)/$C28)*($I28/IF(B20="",$B21,$B20))</f>
        <v>3.360723756865612E-2</v>
      </c>
      <c r="N28" s="14">
        <f>O28/Q19</f>
        <v>0</v>
      </c>
      <c r="O28" s="1">
        <f>B22*M28</f>
        <v>0</v>
      </c>
      <c r="P28" s="1" t="str">
        <f>IF(Q19=490, "D25",IF(Q19=314,"D20","D16"))</f>
        <v>D20</v>
      </c>
    </row>
    <row r="30" spans="1:17" x14ac:dyDescent="0.3">
      <c r="B30" s="1" t="s">
        <v>19</v>
      </c>
      <c r="C30" s="1" t="s">
        <v>20</v>
      </c>
      <c r="D30" s="1" t="s">
        <v>35</v>
      </c>
      <c r="E30" s="1" t="s">
        <v>36</v>
      </c>
      <c r="F30" s="1" t="s">
        <v>23</v>
      </c>
      <c r="G30" s="1" t="s">
        <v>24</v>
      </c>
    </row>
    <row r="31" spans="1:17" x14ac:dyDescent="0.3">
      <c r="A31" s="11"/>
      <c r="B31" s="12" t="s">
        <v>46</v>
      </c>
      <c r="C31" s="4">
        <v>578.41999999999996</v>
      </c>
      <c r="D31" s="1">
        <v>-262.43</v>
      </c>
      <c r="E31" s="1">
        <v>0</v>
      </c>
      <c r="F31" s="1">
        <v>175.22</v>
      </c>
      <c r="G31" s="1">
        <v>0</v>
      </c>
      <c r="I31" s="13">
        <f>($C31*1000/$B$3)/$B34/$B$1</f>
        <v>7.8077627083563528E-2</v>
      </c>
      <c r="J31" s="13">
        <f>(ABS(($F31+0.1)*1000)/$C31)*($I31/$B33)</f>
        <v>3.3807785692774803E-2</v>
      </c>
      <c r="K31" s="13">
        <f>(ABS(($G31+0.1)*1000)/$C31)*($I31/IF(B32="",$B33,$B32))</f>
        <v>1.9283473472949349E-5</v>
      </c>
      <c r="N31" s="14">
        <f>O31/Q31</f>
        <v>0</v>
      </c>
      <c r="O31" s="1">
        <f>B34*M31</f>
        <v>0</v>
      </c>
      <c r="P31" s="1" t="str">
        <f>IF(Q31=490, "D25",IF(Q31=314,"D20","D16"))</f>
        <v>D25</v>
      </c>
      <c r="Q31" s="1">
        <v>490</v>
      </c>
    </row>
    <row r="32" spans="1:17" x14ac:dyDescent="0.3">
      <c r="A32" s="5" t="s">
        <v>41</v>
      </c>
      <c r="B32" s="8"/>
      <c r="C32" s="4">
        <v>3495.65</v>
      </c>
      <c r="D32" s="1">
        <v>0</v>
      </c>
      <c r="E32" s="1">
        <v>-146.6</v>
      </c>
      <c r="F32" s="1">
        <v>0</v>
      </c>
      <c r="G32" s="1">
        <v>0</v>
      </c>
      <c r="I32" s="13">
        <f>($C32*1000/$B$3)/$B34/$B$1</f>
        <v>0.47185791832000762</v>
      </c>
      <c r="J32" s="13">
        <f>(ABS(($F32+0.1)*1000)/$C32)*($I32/$B33)</f>
        <v>1.9283473472949342E-5</v>
      </c>
      <c r="K32" s="13">
        <f>(ABS(($G32+0.1)*1000)/$C32)*($I32/IF(B32="",$B33,$B32))</f>
        <v>1.9283473472949342E-5</v>
      </c>
      <c r="N32" s="14">
        <f>O32/Q31</f>
        <v>0</v>
      </c>
      <c r="O32" s="1">
        <f>B34*M32</f>
        <v>0</v>
      </c>
      <c r="P32" s="1" t="str">
        <f>IF(Q31=490, "D25",IF(Q31=314,"D20","D16"))</f>
        <v>D25</v>
      </c>
      <c r="Q32" s="12" t="s">
        <v>42</v>
      </c>
    </row>
    <row r="33" spans="1:17" x14ac:dyDescent="0.3">
      <c r="A33" s="5" t="s">
        <v>43</v>
      </c>
      <c r="B33" s="8">
        <v>700</v>
      </c>
      <c r="C33" s="1">
        <v>1254.6099999999999</v>
      </c>
      <c r="D33" s="4">
        <v>-450.58</v>
      </c>
      <c r="E33" s="1">
        <v>-266.49</v>
      </c>
      <c r="F33" s="1">
        <v>-101.47</v>
      </c>
      <c r="G33" s="1">
        <v>-135.91999999999999</v>
      </c>
      <c r="I33" s="13">
        <f>($C33*1000/$B$3)/$B34/$B$1</f>
        <v>0.16935267057727882</v>
      </c>
      <c r="J33" s="13">
        <f>(ABS(($F33+0.1)*1000)/$C33)*($I33/$B33)</f>
        <v>1.954765705952875E-2</v>
      </c>
      <c r="K33" s="13">
        <f>(ABS(($G33+0.1)*1000)/$C33)*($I33/IF(B32="",$B33,$B32))</f>
        <v>2.6190813670959798E-2</v>
      </c>
      <c r="N33" s="14">
        <f>O33/Q31</f>
        <v>0</v>
      </c>
      <c r="O33" s="1">
        <f>B34*M33</f>
        <v>0</v>
      </c>
      <c r="P33" s="1" t="str">
        <f>IF(Q31=490, "D25",IF(Q31=314,"D20","D16"))</f>
        <v>D25</v>
      </c>
    </row>
    <row r="34" spans="1:17" x14ac:dyDescent="0.3">
      <c r="A34" s="5" t="s">
        <v>44</v>
      </c>
      <c r="B34" s="15">
        <f>IF(B32="",(0.25*PI()*B33^2),B32*B33)</f>
        <v>384845.10006474965</v>
      </c>
      <c r="C34" s="1">
        <v>1101.4000000000001</v>
      </c>
      <c r="D34" s="4">
        <v>62.03</v>
      </c>
      <c r="E34" s="1">
        <v>-4.33</v>
      </c>
      <c r="F34" s="1">
        <v>18.79</v>
      </c>
      <c r="G34" s="1">
        <v>-144.09</v>
      </c>
      <c r="I34" s="13">
        <f>($C34*1000/$B$3)/$B34/$B$1</f>
        <v>0.14867172378174487</v>
      </c>
      <c r="J34" s="13">
        <f>(ABS(($F34+0.1)*1000)/$C34)*($I34/$B33)</f>
        <v>3.642648139040131E-3</v>
      </c>
      <c r="K34" s="13">
        <f>(ABS(($G34+0.1)*1000)/$C34)*($I34/IF(B32="",$B33,$B32))</f>
        <v>2.7766273453699759E-2</v>
      </c>
      <c r="N34" s="14">
        <f>O34/Q31</f>
        <v>0</v>
      </c>
      <c r="O34" s="1">
        <f>B34*M34</f>
        <v>0</v>
      </c>
      <c r="P34" s="1" t="str">
        <f>IF(Q31=490, "D25",IF(Q31=314,"D20","D16"))</f>
        <v>D25</v>
      </c>
    </row>
    <row r="35" spans="1:17" x14ac:dyDescent="0.3">
      <c r="C35" s="1">
        <v>1765.27</v>
      </c>
      <c r="D35" s="1">
        <v>-444.89</v>
      </c>
      <c r="E35" s="4">
        <v>-339.41</v>
      </c>
      <c r="F35" s="1">
        <v>77.599999999999994</v>
      </c>
      <c r="G35" s="1">
        <v>-233.86</v>
      </c>
      <c r="I35" s="13">
        <f>($C35*1000/$B$3)/$B34/$B$1</f>
        <v>0.238283760523153</v>
      </c>
      <c r="J35" s="13">
        <f>(ABS(($F35+0.1)*1000)/$C35)*($I35/$B33)</f>
        <v>1.4983258888481638E-2</v>
      </c>
      <c r="K35" s="13">
        <f>(ABS(($G35+0.1)*1000)/$C35)*($I35/IF(B32="",$B33,$B32))</f>
        <v>4.507704759036639E-2</v>
      </c>
      <c r="N35" s="14">
        <f>O35/Q31</f>
        <v>0</v>
      </c>
      <c r="O35" s="1">
        <f>B34*M35</f>
        <v>0</v>
      </c>
      <c r="P35" s="1" t="str">
        <f>IF(Q31=490, "D25",IF(Q31=314,"D20","D16"))</f>
        <v>D25</v>
      </c>
    </row>
    <row r="36" spans="1:17" x14ac:dyDescent="0.3">
      <c r="C36" s="1">
        <v>1411.02</v>
      </c>
      <c r="D36" s="1">
        <v>-14.13</v>
      </c>
      <c r="E36" s="4">
        <v>142.21</v>
      </c>
      <c r="F36" s="1">
        <v>215.91</v>
      </c>
      <c r="G36" s="1">
        <v>8.7200000000000006</v>
      </c>
      <c r="I36" s="13">
        <f>($C36*1000/$B$3)/$B34/$B$1</f>
        <v>0.19046556717860688</v>
      </c>
      <c r="J36" s="13">
        <f>(ABS(($F36+0.1)*1000)/$C36)*($I36/$B33)</f>
        <v>4.1654231048917877E-2</v>
      </c>
      <c r="K36" s="13">
        <f>(ABS(($G36+0.1)*1000)/$C36)*($I36/IF(B32="",$B33,$B32))</f>
        <v>1.7008023603141322E-3</v>
      </c>
      <c r="N36" s="14">
        <f>O36/Q31</f>
        <v>0</v>
      </c>
      <c r="O36" s="1">
        <f>B34*M36</f>
        <v>0</v>
      </c>
      <c r="P36" s="1" t="str">
        <f>IF(Q31=490, "D25",IF(Q31=314,"D20","D16"))</f>
        <v>D25</v>
      </c>
    </row>
    <row r="37" spans="1:17" x14ac:dyDescent="0.3">
      <c r="C37" s="1">
        <v>1550.57</v>
      </c>
      <c r="D37" s="1">
        <v>-50.42</v>
      </c>
      <c r="E37" s="1">
        <v>-268.45999999999998</v>
      </c>
      <c r="F37" s="4">
        <v>-312.60000000000002</v>
      </c>
      <c r="G37" s="1">
        <v>54.46</v>
      </c>
      <c r="I37" s="13">
        <f>($C37*1000/$B$3)/$B34/$B$1</f>
        <v>0.20930262824065746</v>
      </c>
      <c r="J37" s="13">
        <f>(ABS(($F37+0.1)*1000)/$C37)*($I37/$B33)</f>
        <v>6.0260854602966714E-2</v>
      </c>
      <c r="K37" s="13">
        <f>(ABS(($G37+0.1)*1000)/$C37)*($I37/IF(B32="",$B33,$B32))</f>
        <v>1.0521063126841163E-2</v>
      </c>
      <c r="N37" s="14">
        <f>O37/Q31</f>
        <v>0</v>
      </c>
      <c r="O37" s="1">
        <f>B34*M37</f>
        <v>0</v>
      </c>
      <c r="P37" s="1" t="str">
        <f>IF(Q31=490, "D25",IF(Q31=314,"D20","D16"))</f>
        <v>D25</v>
      </c>
    </row>
    <row r="38" spans="1:17" x14ac:dyDescent="0.3">
      <c r="C38" s="1">
        <v>1520.04</v>
      </c>
      <c r="D38" s="1">
        <v>-50.42</v>
      </c>
      <c r="E38" s="1">
        <v>-268.45999999999998</v>
      </c>
      <c r="F38" s="4">
        <v>439.08</v>
      </c>
      <c r="G38" s="1">
        <v>-86.71</v>
      </c>
      <c r="I38" s="13">
        <f>($C38*1000/$B$3)/$B34/$B$1</f>
        <v>0.20518155712475347</v>
      </c>
      <c r="J38" s="13">
        <f>(ABS(($F38+0.1)*1000)/$C38)*($I38/$B33)</f>
        <v>8.4689158798498934E-2</v>
      </c>
      <c r="K38" s="13">
        <f>(ABS(($G38+0.1)*1000)/$C38)*($I38/IF(B32="",$B33,$B32))</f>
        <v>1.6701416374921427E-2</v>
      </c>
      <c r="N38" s="14">
        <f>O38/Q31</f>
        <v>0</v>
      </c>
      <c r="O38" s="1">
        <f>B34*M38</f>
        <v>0</v>
      </c>
      <c r="P38" s="1" t="str">
        <f>IF(Q31=490, "D25",IF(Q31=314,"D20","D16"))</f>
        <v>D25</v>
      </c>
    </row>
    <row r="39" spans="1:17" x14ac:dyDescent="0.3">
      <c r="C39" s="1">
        <v>1739.83</v>
      </c>
      <c r="D39" s="1">
        <v>-444.89</v>
      </c>
      <c r="E39" s="1">
        <v>-339.41</v>
      </c>
      <c r="F39" s="1">
        <v>417</v>
      </c>
      <c r="G39" s="4">
        <v>-678.74</v>
      </c>
      <c r="I39" s="13">
        <f>($C39*1000/$B$3)/$B34/$B$1</f>
        <v>0.2348497595670902</v>
      </c>
      <c r="J39" s="13">
        <f>(ABS(($F39+0.1)*1000)/$C39)*($I39/$B33)</f>
        <v>8.0431367855671718E-2</v>
      </c>
      <c r="K39" s="13">
        <f>(ABS(($G39+0.1)*1000)/$C39)*($I39/IF(B32="",$B33,$B32))</f>
        <v>0.13086536437682345</v>
      </c>
      <c r="M39" s="1">
        <v>0.02</v>
      </c>
      <c r="N39" s="14">
        <f>O39/Q31</f>
        <v>15.707963267948966</v>
      </c>
      <c r="O39" s="1">
        <f>B34*M39</f>
        <v>7696.9020012949932</v>
      </c>
      <c r="P39" s="1" t="str">
        <f>IF(Q31=490, "D25",IF(Q31=314,"D20","D16"))</f>
        <v>D25</v>
      </c>
    </row>
    <row r="40" spans="1:17" x14ac:dyDescent="0.3">
      <c r="C40" s="1">
        <v>1965.46</v>
      </c>
      <c r="D40" s="1">
        <v>-343.23</v>
      </c>
      <c r="E40" s="1">
        <v>-130.07</v>
      </c>
      <c r="F40" s="1">
        <v>-170.19</v>
      </c>
      <c r="G40" s="4">
        <v>484.7</v>
      </c>
      <c r="I40" s="13">
        <f>($C40*1000/$B$3)/$B34/$B$1</f>
        <v>0.2653062704050011</v>
      </c>
      <c r="J40" s="13">
        <f>(ABS(($F40+0.1)*1000)/$C40)*($I40/$B33)</f>
        <v>3.2799260030139533E-2</v>
      </c>
      <c r="K40" s="13">
        <f>(ABS(($G40+0.1)*1000)/$C40)*($I40/IF(B32="",$B33,$B32))</f>
        <v>9.3486279396858399E-2</v>
      </c>
      <c r="N40" s="14">
        <f>O40/Q31</f>
        <v>0</v>
      </c>
      <c r="O40" s="1">
        <f>B34*M40</f>
        <v>0</v>
      </c>
      <c r="P40" s="1" t="str">
        <f>IF(Q31=490, "D25",IF(Q31=314,"D20","D16"))</f>
        <v>D25</v>
      </c>
    </row>
    <row r="41" spans="1:17" x14ac:dyDescent="0.3">
      <c r="G41" s="16"/>
      <c r="I41" s="13"/>
      <c r="J41" s="13"/>
      <c r="K41" s="13"/>
    </row>
    <row r="42" spans="1:17" x14ac:dyDescent="0.3">
      <c r="B42" s="1" t="s">
        <v>19</v>
      </c>
      <c r="C42" s="1" t="s">
        <v>20</v>
      </c>
      <c r="D42" s="1" t="s">
        <v>35</v>
      </c>
      <c r="E42" s="1" t="s">
        <v>36</v>
      </c>
      <c r="F42" s="1" t="s">
        <v>23</v>
      </c>
      <c r="G42" s="1" t="s">
        <v>24</v>
      </c>
    </row>
    <row r="43" spans="1:17" x14ac:dyDescent="0.3">
      <c r="A43" s="11"/>
      <c r="B43" s="12" t="s">
        <v>47</v>
      </c>
      <c r="C43" s="4">
        <v>548.63</v>
      </c>
      <c r="D43" s="1">
        <v>-17.11</v>
      </c>
      <c r="E43" s="1">
        <v>0</v>
      </c>
      <c r="F43" s="1">
        <v>243.84</v>
      </c>
      <c r="G43" s="1">
        <v>0</v>
      </c>
      <c r="I43" s="13">
        <f>($C43*1000/$B$3)/$B46/$B$1</f>
        <v>0.10079904926811722</v>
      </c>
      <c r="J43" s="13">
        <f>(ABS(($F43+0.1)*1000)/$C43)*($I43/$B45)</f>
        <v>7.4697944815463102E-2</v>
      </c>
      <c r="K43" s="13">
        <f>(ABS(($G43+0.1)*1000)/$C43)*($I43/IF(B44="",$B45,$B44))</f>
        <v>3.0621441672322336E-5</v>
      </c>
      <c r="N43" s="14">
        <f>O43/Q43</f>
        <v>0</v>
      </c>
      <c r="O43" s="1">
        <f>B46*M43</f>
        <v>0</v>
      </c>
      <c r="P43" s="1" t="str">
        <f>IF(Q43=490, "D25",IF(Q43=314,"D20","D16"))</f>
        <v>D20</v>
      </c>
      <c r="Q43" s="1">
        <v>314</v>
      </c>
    </row>
    <row r="44" spans="1:17" x14ac:dyDescent="0.3">
      <c r="A44" s="5" t="s">
        <v>41</v>
      </c>
      <c r="B44" s="8"/>
      <c r="C44" s="4">
        <v>2448.1</v>
      </c>
      <c r="D44" s="1">
        <v>0</v>
      </c>
      <c r="E44" s="1">
        <v>-37.01</v>
      </c>
      <c r="F44" s="1">
        <v>0</v>
      </c>
      <c r="G44" s="1">
        <v>0</v>
      </c>
      <c r="I44" s="13">
        <f>($C44*1000/$B$3)/$B46/$B$1</f>
        <v>0.44978610814807385</v>
      </c>
      <c r="J44" s="13">
        <f>(ABS(($F44+0.1)*1000)/$C44)*($I44/$B45)</f>
        <v>3.0621441672322336E-5</v>
      </c>
      <c r="K44" s="13">
        <f>(ABS(($G44+0.1)*1000)/$C44)*($I44/IF(B44="",$B45,$B44))</f>
        <v>3.0621441672322336E-5</v>
      </c>
      <c r="N44" s="14">
        <f>O44/Q43</f>
        <v>0</v>
      </c>
      <c r="O44" s="1">
        <f>B46*M44</f>
        <v>0</v>
      </c>
      <c r="P44" s="1" t="str">
        <f>IF(Q43=490, "D25",IF(Q43=314,"D20","D16"))</f>
        <v>D20</v>
      </c>
      <c r="Q44" s="12" t="s">
        <v>42</v>
      </c>
    </row>
    <row r="45" spans="1:17" x14ac:dyDescent="0.3">
      <c r="A45" s="5" t="s">
        <v>43</v>
      </c>
      <c r="B45" s="8">
        <v>600</v>
      </c>
      <c r="C45" s="1">
        <v>779.15</v>
      </c>
      <c r="D45" s="4">
        <v>-62.47</v>
      </c>
      <c r="E45" s="1">
        <v>87.98</v>
      </c>
      <c r="F45" s="1">
        <v>-0.76</v>
      </c>
      <c r="G45" s="1">
        <v>23.07</v>
      </c>
      <c r="I45" s="13">
        <f>($C45*1000/$B$3)/$B46/$B$1</f>
        <v>0.1431521776739397</v>
      </c>
      <c r="J45" s="13">
        <f>(ABS(($F45+0.1)*1000)/$C45)*($I45/$B45)</f>
        <v>2.0210151503732745E-4</v>
      </c>
      <c r="K45" s="13">
        <f>(ABS(($G45+0.1)*1000)/$C45)*($I45/IF(B44="",$B45,$B44))</f>
        <v>7.0949880354770865E-3</v>
      </c>
      <c r="N45" s="14">
        <f>O45/Q43</f>
        <v>0</v>
      </c>
      <c r="O45" s="1">
        <f>B46*M45</f>
        <v>0</v>
      </c>
      <c r="P45" s="1" t="str">
        <f>IF(Q43=490, "D25",IF(Q43=314,"D20","D16"))</f>
        <v>D20</v>
      </c>
    </row>
    <row r="46" spans="1:17" x14ac:dyDescent="0.3">
      <c r="A46" s="5" t="s">
        <v>44</v>
      </c>
      <c r="B46" s="15">
        <f>IF(B44="",(0.25*PI()*B45^2),B44*B45)</f>
        <v>282743.3388230814</v>
      </c>
      <c r="C46" s="1">
        <v>1094.06</v>
      </c>
      <c r="D46" s="4">
        <v>314.06</v>
      </c>
      <c r="E46" s="1">
        <v>-126.82</v>
      </c>
      <c r="F46" s="1">
        <v>-126.38</v>
      </c>
      <c r="G46" s="1">
        <v>-276.13</v>
      </c>
      <c r="I46" s="13">
        <f>($C46*1000/$B$3)/$B46/$B$1</f>
        <v>0.20101016685612585</v>
      </c>
      <c r="J46" s="13">
        <f>(ABS(($F46+0.1)*1000)/$C46)*($I46/$B45)</f>
        <v>3.8668756543808649E-2</v>
      </c>
      <c r="K46" s="13">
        <f>(ABS(($G46+0.1)*1000)/$C46)*($I46/IF(B44="",$B45,$B44))</f>
        <v>8.4524365448111358E-2</v>
      </c>
      <c r="N46" s="14">
        <f>O46/Q43</f>
        <v>0</v>
      </c>
      <c r="O46" s="1">
        <f>B46*M46</f>
        <v>0</v>
      </c>
      <c r="P46" s="1" t="str">
        <f>IF(Q43=490, "D25",IF(Q43=314,"D20","D16"))</f>
        <v>D20</v>
      </c>
    </row>
    <row r="47" spans="1:17" x14ac:dyDescent="0.3">
      <c r="C47" s="1">
        <v>1324.58</v>
      </c>
      <c r="D47" s="1">
        <v>268.7</v>
      </c>
      <c r="E47" s="4">
        <v>-446.44</v>
      </c>
      <c r="F47" s="1">
        <v>-370.98</v>
      </c>
      <c r="G47" s="1">
        <v>-214.86</v>
      </c>
      <c r="I47" s="13">
        <f>($C47*1000/$B$3)/$B46/$B$1</f>
        <v>0.2433632952619483</v>
      </c>
      <c r="J47" s="13">
        <f>(ABS(($F47+0.1)*1000)/$C47)*($I47/$B45)</f>
        <v>0.11356880287430908</v>
      </c>
      <c r="K47" s="13">
        <f>(ABS(($G47+0.1)*1000)/$C47)*($I47/IF(B44="",$B45,$B44))</f>
        <v>6.5762608135479447E-2</v>
      </c>
      <c r="N47" s="14">
        <f>O47/Q43</f>
        <v>0</v>
      </c>
      <c r="O47" s="1">
        <f>B46*M47</f>
        <v>0</v>
      </c>
      <c r="P47" s="1" t="str">
        <f>IF(Q43=490, "D25",IF(Q43=314,"D20","D16"))</f>
        <v>D20</v>
      </c>
    </row>
    <row r="48" spans="1:17" x14ac:dyDescent="0.3">
      <c r="C48" s="1">
        <v>548.63</v>
      </c>
      <c r="D48" s="1">
        <v>-17.11</v>
      </c>
      <c r="E48" s="4">
        <v>407.6</v>
      </c>
      <c r="F48" s="1">
        <v>243.84</v>
      </c>
      <c r="G48" s="1">
        <v>-38.200000000000003</v>
      </c>
      <c r="I48" s="13">
        <f>($C48*1000/$B$3)/$B46/$B$1</f>
        <v>0.10079904926811722</v>
      </c>
      <c r="J48" s="13">
        <f>(ABS(($F48+0.1)*1000)/$C48)*($I48/$B45)</f>
        <v>7.4697944815463102E-2</v>
      </c>
      <c r="K48" s="13">
        <f>(ABS(($G48+0.1)*1000)/$C48)*($I48/IF(B44="",$B45,$B44))</f>
        <v>1.166676927715481E-2</v>
      </c>
      <c r="N48" s="14">
        <f>O48/Q43</f>
        <v>0</v>
      </c>
      <c r="O48" s="1">
        <f>B46*M48</f>
        <v>0</v>
      </c>
      <c r="P48" s="1" t="str">
        <f>IF(Q43=490, "D25",IF(Q43=314,"D20","D16"))</f>
        <v>D20</v>
      </c>
    </row>
    <row r="49" spans="1:16" x14ac:dyDescent="0.3">
      <c r="C49" s="1">
        <v>1324.58</v>
      </c>
      <c r="D49" s="1">
        <v>268.7</v>
      </c>
      <c r="E49" s="1">
        <v>-446.44</v>
      </c>
      <c r="F49" s="4">
        <v>-370.98</v>
      </c>
      <c r="G49" s="1">
        <v>-214.86</v>
      </c>
      <c r="I49" s="13">
        <f>($C49*1000/$B$3)/$B46/$B$1</f>
        <v>0.2433632952619483</v>
      </c>
      <c r="J49" s="13">
        <f>(ABS(($F49+0.1)*1000)/$C49)*($I49/$B45)</f>
        <v>0.11356880287430908</v>
      </c>
      <c r="K49" s="13">
        <f>(ABS(($G49+0.1)*1000)/$C49)*($I49/IF(B44="",$B45,$B44))</f>
        <v>6.5762608135479447E-2</v>
      </c>
      <c r="M49" s="1">
        <v>1.4999999999999999E-2</v>
      </c>
      <c r="N49" s="14">
        <f>O49/Q43</f>
        <v>13.506847396007073</v>
      </c>
      <c r="O49" s="1">
        <f>B46*M49</f>
        <v>4241.1500823462211</v>
      </c>
      <c r="P49" s="1" t="str">
        <f>IF(Q43=490, "D25",IF(Q43=314,"D20","D16"))</f>
        <v>D20</v>
      </c>
    </row>
    <row r="50" spans="1:16" x14ac:dyDescent="0.3">
      <c r="C50" s="1">
        <v>548.63</v>
      </c>
      <c r="D50" s="1">
        <v>-17.11</v>
      </c>
      <c r="E50" s="1">
        <v>407.6</v>
      </c>
      <c r="F50" s="4">
        <v>243.84</v>
      </c>
      <c r="G50" s="1">
        <v>-38.200000000000003</v>
      </c>
      <c r="I50" s="13">
        <f>($C50*1000/$B$3)/$B46/$B$1</f>
        <v>0.10079904926811722</v>
      </c>
      <c r="J50" s="13">
        <f>(ABS(($F50+0.1)*1000)/$C50)*($I50/$B45)</f>
        <v>7.4697944815463102E-2</v>
      </c>
      <c r="K50" s="13">
        <f>(ABS(($G50+0.1)*1000)/$C50)*($I50/IF(B44="",$B45,$B44))</f>
        <v>1.166676927715481E-2</v>
      </c>
      <c r="N50" s="14">
        <f>O50/Q43</f>
        <v>0</v>
      </c>
      <c r="O50" s="1">
        <f>B46*M50</f>
        <v>0</v>
      </c>
      <c r="P50" s="1" t="str">
        <f>IF(Q43=490, "D25",IF(Q43=314,"D20","D16"))</f>
        <v>D20</v>
      </c>
    </row>
    <row r="51" spans="1:16" x14ac:dyDescent="0.3">
      <c r="C51" s="1">
        <v>1094.06</v>
      </c>
      <c r="D51" s="1">
        <v>314.06</v>
      </c>
      <c r="E51" s="1">
        <v>-126.82</v>
      </c>
      <c r="F51" s="1">
        <v>-126.38</v>
      </c>
      <c r="G51" s="4">
        <v>-276.13</v>
      </c>
      <c r="I51" s="13">
        <f>($C51*1000/$B$3)/$B46/$B$1</f>
        <v>0.20101016685612585</v>
      </c>
      <c r="J51" s="13">
        <f>(ABS(($F51+0.1)*1000)/$C51)*($I51/$B45)</f>
        <v>3.8668756543808649E-2</v>
      </c>
      <c r="K51" s="13">
        <f>(ABS(($G51+0.1)*1000)/$C51)*($I51/IF(B44="",$B45,$B44))</f>
        <v>8.4524365448111358E-2</v>
      </c>
      <c r="N51" s="14">
        <f>O51/Q43</f>
        <v>0</v>
      </c>
      <c r="O51" s="1">
        <f>B46*M51</f>
        <v>0</v>
      </c>
      <c r="P51" s="1" t="str">
        <f>IF(Q43=490, "D25",IF(Q43=314,"D20","D16"))</f>
        <v>D20</v>
      </c>
    </row>
    <row r="52" spans="1:16" x14ac:dyDescent="0.3">
      <c r="C52" s="1">
        <v>1339.62</v>
      </c>
      <c r="D52" s="1">
        <v>44.02</v>
      </c>
      <c r="E52" s="1">
        <v>-7.82</v>
      </c>
      <c r="F52" s="1">
        <v>7</v>
      </c>
      <c r="G52" s="4">
        <v>104.7</v>
      </c>
      <c r="I52" s="13">
        <f>($C52*1000/$B$3)/$B46/$B$1</f>
        <v>0.24612657415845871</v>
      </c>
      <c r="J52" s="13">
        <f>(ABS(($F52+0.1)*1000)/$C52)*($I52/$B45)</f>
        <v>2.1741223587348861E-3</v>
      </c>
      <c r="K52" s="13">
        <f>(ABS(($G52+0.1)*1000)/$C52)*($I52/IF(B44="",$B45,$B44))</f>
        <v>3.2091270872593815E-2</v>
      </c>
      <c r="N52" s="14">
        <f>O52/Q43</f>
        <v>0</v>
      </c>
      <c r="O52" s="1">
        <f>B46*M52</f>
        <v>0</v>
      </c>
      <c r="P52" s="1" t="str">
        <f>IF(Q43=490, "D25",IF(Q43=314,"D20","D16"))</f>
        <v>D20</v>
      </c>
    </row>
    <row r="54" spans="1:16" x14ac:dyDescent="0.3">
      <c r="B54" s="1" t="s">
        <v>19</v>
      </c>
      <c r="C54" s="1" t="s">
        <v>20</v>
      </c>
      <c r="D54" s="1" t="s">
        <v>35</v>
      </c>
      <c r="E54" s="1" t="s">
        <v>36</v>
      </c>
      <c r="F54" s="1" t="s">
        <v>23</v>
      </c>
      <c r="G54" s="1" t="s">
        <v>24</v>
      </c>
    </row>
    <row r="55" spans="1:16" x14ac:dyDescent="0.3">
      <c r="A55" s="17"/>
      <c r="B55" s="18" t="s">
        <v>48</v>
      </c>
      <c r="C55" s="4">
        <v>78.53</v>
      </c>
      <c r="D55" s="1">
        <v>-148.18</v>
      </c>
      <c r="E55" s="1">
        <v>0</v>
      </c>
      <c r="F55" s="1">
        <v>-470.91</v>
      </c>
      <c r="G55" s="1">
        <v>0</v>
      </c>
      <c r="I55" s="13">
        <f>($C55*1000/$B$3)/$B58/$B$1</f>
        <v>1.0600318202814983E-2</v>
      </c>
      <c r="J55" s="13">
        <f>(ABS(($F55+0.1)*1000)/$C55)*($I55/$B57)</f>
        <v>9.0788521457992793E-2</v>
      </c>
      <c r="K55" s="13">
        <f>(ABS(($G55+0.1)*1000)/$C55)*($I55/IF(B56="",$B57,$B56))</f>
        <v>1.9283473472949342E-5</v>
      </c>
    </row>
    <row r="56" spans="1:16" x14ac:dyDescent="0.3">
      <c r="A56" s="5" t="s">
        <v>41</v>
      </c>
      <c r="B56" s="8"/>
      <c r="C56" s="4">
        <v>3868.53</v>
      </c>
      <c r="D56" s="1">
        <v>0</v>
      </c>
      <c r="E56" s="1">
        <v>30.29</v>
      </c>
      <c r="F56" s="1">
        <v>0</v>
      </c>
      <c r="G56" s="1">
        <v>0</v>
      </c>
      <c r="I56" s="13">
        <f>($C56*1000/$B$3)/$B58/$B$1</f>
        <v>0.52219086944016102</v>
      </c>
      <c r="J56" s="13">
        <f>(ABS(($F56+0.1)*1000)/$C56)*($I56/$B57)</f>
        <v>1.9283473472949342E-5</v>
      </c>
      <c r="K56" s="13">
        <f>(ABS(($G56+0.1)*1000)/$C56)*($I56/IF(B56="",$B57,$B56))</f>
        <v>1.9283473472949342E-5</v>
      </c>
    </row>
    <row r="57" spans="1:16" x14ac:dyDescent="0.3">
      <c r="A57" s="5" t="s">
        <v>43</v>
      </c>
      <c r="B57" s="8">
        <v>700</v>
      </c>
      <c r="C57" s="1">
        <v>602.79999999999995</v>
      </c>
      <c r="D57" s="4">
        <v>-230.39</v>
      </c>
      <c r="E57" s="1">
        <v>13.58</v>
      </c>
      <c r="F57" s="1">
        <v>32.42</v>
      </c>
      <c r="G57" s="1">
        <v>-141.87</v>
      </c>
      <c r="I57" s="13">
        <f>($C57*1000/$B$3)/$B58/$B$1</f>
        <v>8.1368544666457043E-2</v>
      </c>
      <c r="J57" s="13">
        <f>(ABS(($F57+0.1)*1000)/$C57)*($I57/$B57)</f>
        <v>6.2709855734031268E-3</v>
      </c>
      <c r="K57" s="13">
        <f>(ABS(($G57+0.1)*1000)/$C57)*($I57/IF(B56="",$B57,$B56))</f>
        <v>2.7338180342600282E-2</v>
      </c>
    </row>
    <row r="58" spans="1:16" x14ac:dyDescent="0.3">
      <c r="A58" s="5" t="s">
        <v>44</v>
      </c>
      <c r="B58" s="15">
        <f>IF(B56="",(0.25*PI()*B57^2),B56*B57)</f>
        <v>384845.10006474965</v>
      </c>
      <c r="C58" s="1">
        <v>980.48</v>
      </c>
      <c r="D58" s="4">
        <v>77.459999999999994</v>
      </c>
      <c r="E58" s="1">
        <v>371.95</v>
      </c>
      <c r="F58" s="1">
        <v>721.97</v>
      </c>
      <c r="G58" s="1">
        <v>441.14</v>
      </c>
      <c r="I58" s="13">
        <f>($C58*1000/$B$3)/$B58/$B$1</f>
        <v>0.1323494204953016</v>
      </c>
      <c r="J58" s="13">
        <f>(ABS(($F58+0.1)*1000)/$C58)*($I58/$B57)</f>
        <v>0.13924017690612531</v>
      </c>
      <c r="K58" s="13">
        <f>(ABS(($G58+0.1)*1000)/$C58)*($I58/IF(B56="",$B57,$B56))</f>
        <v>8.5086398352041681E-2</v>
      </c>
    </row>
    <row r="59" spans="1:16" x14ac:dyDescent="0.3">
      <c r="C59" s="1">
        <v>2358.27</v>
      </c>
      <c r="D59" s="1">
        <v>-17.850000000000001</v>
      </c>
      <c r="E59" s="4">
        <v>-29.7</v>
      </c>
      <c r="F59" s="1">
        <v>-58.24</v>
      </c>
      <c r="G59" s="1">
        <v>-103.97</v>
      </c>
      <c r="I59" s="13">
        <f>($C59*1000/$B$3)/$B58/$B$1</f>
        <v>0.31832945890936576</v>
      </c>
      <c r="J59" s="13">
        <f>(ABS(($F59+0.1)*1000)/$C59)*($I59/$B57)</f>
        <v>1.1211411477172748E-2</v>
      </c>
      <c r="K59" s="13">
        <f>(ABS(($G59+0.1)*1000)/$C59)*($I59/IF(B56="",$B57,$B56))</f>
        <v>2.0029743896352484E-2</v>
      </c>
    </row>
    <row r="60" spans="1:16" x14ac:dyDescent="0.3">
      <c r="C60" s="1">
        <v>980.48</v>
      </c>
      <c r="D60" s="1">
        <v>77.459999999999994</v>
      </c>
      <c r="E60" s="4">
        <v>371.95</v>
      </c>
      <c r="F60" s="1">
        <v>721.97</v>
      </c>
      <c r="G60" s="1">
        <v>441.14</v>
      </c>
      <c r="I60" s="13">
        <f>($C60*1000/$B$3)/$B58/$B$1</f>
        <v>0.1323494204953016</v>
      </c>
      <c r="J60" s="13">
        <f>(ABS(($F60+0.1)*1000)/$C60)*($I60/$B57)</f>
        <v>0.13924017690612531</v>
      </c>
      <c r="K60" s="13">
        <f>(ABS(($G60+0.1)*1000)/$C60)*($I60/IF(B56="",$B57,$B56))</f>
        <v>8.5086398352041681E-2</v>
      </c>
    </row>
    <row r="61" spans="1:16" x14ac:dyDescent="0.3">
      <c r="C61" s="1">
        <v>560.08000000000004</v>
      </c>
      <c r="D61" s="1">
        <v>-230.39</v>
      </c>
      <c r="E61" s="1">
        <v>13.58</v>
      </c>
      <c r="F61" s="4">
        <v>-766.17</v>
      </c>
      <c r="G61" s="1">
        <v>-480.41</v>
      </c>
      <c r="I61" s="13">
        <f>($C61*1000/$B$3)/$B58/$B$1</f>
        <v>7.5602014759106287E-2</v>
      </c>
      <c r="J61" s="13">
        <f>(ABS(($F61+0.1)*1000)/$C61)*($I61/$B57)</f>
        <v>0.14772490523422302</v>
      </c>
      <c r="K61" s="13">
        <f>(ABS(($G61+0.1)*1000)/$C61)*($I61/IF(B56="",$B57,$B56))</f>
        <v>9.2620451437922996E-2</v>
      </c>
    </row>
    <row r="62" spans="1:16" x14ac:dyDescent="0.3">
      <c r="C62" s="1">
        <v>1749.39</v>
      </c>
      <c r="D62" s="1">
        <v>76.81</v>
      </c>
      <c r="E62" s="1">
        <v>366.71</v>
      </c>
      <c r="F62" s="4">
        <v>736.63</v>
      </c>
      <c r="G62" s="1">
        <v>462.7</v>
      </c>
      <c r="I62" s="13">
        <f>($C62*1000/$B$3)/$B58/$B$1</f>
        <v>0.23614020961189994</v>
      </c>
      <c r="J62" s="13">
        <f>(ABS(($F62+0.1)*1000)/$C62)*($I62/$B57)</f>
        <v>0.14206713411725966</v>
      </c>
      <c r="K62" s="13">
        <f>(ABS(($G62+0.1)*1000)/$C62)*($I62/IF(B56="",$B57,$B56))</f>
        <v>8.9243915232809543E-2</v>
      </c>
    </row>
    <row r="63" spans="1:16" x14ac:dyDescent="0.3">
      <c r="C63" s="1">
        <v>560.08000000000004</v>
      </c>
      <c r="D63" s="1">
        <v>-230.39</v>
      </c>
      <c r="E63" s="1">
        <v>13.58</v>
      </c>
      <c r="F63" s="1">
        <v>-766.17</v>
      </c>
      <c r="G63" s="4">
        <v>-480.41</v>
      </c>
      <c r="I63" s="13">
        <f>($C63*1000/$B$3)/$B58/$B$1</f>
        <v>7.5602014759106287E-2</v>
      </c>
      <c r="J63" s="13">
        <f>(ABS(($F63+0.1)*1000)/$C63)*($I63/$B57)</f>
        <v>0.14772490523422302</v>
      </c>
      <c r="K63" s="13">
        <f>(ABS(($G63+0.1)*1000)/$C63)*($I63/IF(B56="",$B57,$B56))</f>
        <v>9.2620451437922996E-2</v>
      </c>
    </row>
    <row r="64" spans="1:16" x14ac:dyDescent="0.3">
      <c r="C64" s="1">
        <v>1749.39</v>
      </c>
      <c r="D64" s="1">
        <v>76.81</v>
      </c>
      <c r="E64" s="1">
        <v>366.71</v>
      </c>
      <c r="F64" s="1">
        <v>736.63</v>
      </c>
      <c r="G64" s="4">
        <v>462.7</v>
      </c>
      <c r="I64" s="13">
        <f>($C64*1000/$B$3)/$B58/$B$1</f>
        <v>0.23614020961189994</v>
      </c>
      <c r="J64" s="13">
        <f>(ABS(($F64+0.1)*1000)/$C64)*($I64/$B57)</f>
        <v>0.14206713411725966</v>
      </c>
      <c r="K64" s="13">
        <f>(ABS(($G64+0.1)*1000)/$C64)*($I64/IF(B56="",$B57,$B56))</f>
        <v>8.9243915232809543E-2</v>
      </c>
    </row>
    <row r="66" spans="1:17" x14ac:dyDescent="0.3">
      <c r="B66" s="1" t="s">
        <v>19</v>
      </c>
      <c r="C66" s="1" t="s">
        <v>20</v>
      </c>
      <c r="D66" s="1" t="s">
        <v>35</v>
      </c>
      <c r="E66" s="1" t="s">
        <v>36</v>
      </c>
      <c r="F66" s="1" t="s">
        <v>23</v>
      </c>
      <c r="G66" s="1" t="s">
        <v>24</v>
      </c>
    </row>
    <row r="67" spans="1:17" x14ac:dyDescent="0.3">
      <c r="A67" s="11"/>
      <c r="B67" s="12" t="s">
        <v>49</v>
      </c>
      <c r="C67" s="4">
        <v>-0.02</v>
      </c>
      <c r="D67" s="1">
        <v>-2.31</v>
      </c>
      <c r="E67" s="1">
        <v>0</v>
      </c>
      <c r="F67" s="1">
        <v>0</v>
      </c>
      <c r="G67" s="1">
        <v>0</v>
      </c>
      <c r="I67" s="13">
        <f>($C67*1000/$B$3)/$B70/$B$1</f>
        <v>-2.6996862862129078E-6</v>
      </c>
      <c r="J67" s="13">
        <f>(ABS(($F67+0.1)*1000)/$C67)*($I67/$B69)</f>
        <v>1.9283473472949342E-5</v>
      </c>
      <c r="K67" s="13">
        <f>(ABS(($G67+0.1)*1000)/$C67)*($I67/IF(B68="",$B69,$B68))</f>
        <v>1.9283473472949342E-5</v>
      </c>
      <c r="N67" s="14">
        <f>O67/Q67</f>
        <v>0</v>
      </c>
      <c r="O67" s="1">
        <f>B70*M67</f>
        <v>0</v>
      </c>
      <c r="P67" s="1" t="str">
        <f>IF(Q67=490, "D25",IF(Q67=314,"D20","D16"))</f>
        <v>D25</v>
      </c>
      <c r="Q67" s="1">
        <v>490</v>
      </c>
    </row>
    <row r="68" spans="1:17" x14ac:dyDescent="0.3">
      <c r="A68" s="5" t="s">
        <v>41</v>
      </c>
      <c r="C68" s="4">
        <v>2528.5700000000002</v>
      </c>
      <c r="D68" s="1">
        <v>0</v>
      </c>
      <c r="E68" s="1">
        <v>6.62</v>
      </c>
      <c r="F68" s="1">
        <v>0</v>
      </c>
      <c r="G68" s="1">
        <v>0</v>
      </c>
      <c r="I68" s="13">
        <f>($C68*1000/$B$3)/$B70/$B$1</f>
        <v>0.34131728763646868</v>
      </c>
      <c r="J68" s="13">
        <f>(ABS(($F68+0.1)*1000)/$C68)*($I68/$B69)</f>
        <v>1.9283473472949342E-5</v>
      </c>
      <c r="K68" s="13">
        <f>(ABS(($G68+0.1)*1000)/$C68)*($I68/IF(B68="",$B69,$B68))</f>
        <v>1.9283473472949342E-5</v>
      </c>
      <c r="N68" s="14">
        <f>O68/Q67</f>
        <v>0</v>
      </c>
      <c r="O68" s="1">
        <f>B70*M68</f>
        <v>0</v>
      </c>
      <c r="P68" s="1" t="str">
        <f>IF(Q67=490, "D25",IF(Q67=314,"D20","D16"))</f>
        <v>D25</v>
      </c>
      <c r="Q68" s="12" t="s">
        <v>42</v>
      </c>
    </row>
    <row r="69" spans="1:17" x14ac:dyDescent="0.3">
      <c r="A69" s="5" t="s">
        <v>43</v>
      </c>
      <c r="B69" s="8">
        <v>700</v>
      </c>
      <c r="C69" s="1">
        <v>560.98</v>
      </c>
      <c r="D69" s="4">
        <v>-571.91</v>
      </c>
      <c r="E69" s="1">
        <v>125.68</v>
      </c>
      <c r="F69" s="1">
        <v>20.420000000000002</v>
      </c>
      <c r="G69" s="1">
        <v>396.37</v>
      </c>
      <c r="I69" s="13">
        <f>($C69*1000/$B$3)/$B70/$B$1</f>
        <v>7.5723500641985853E-2</v>
      </c>
      <c r="J69" s="13">
        <f>(ABS(($F69+0.1)*1000)/$C69)*($I69/$B69)</f>
        <v>3.956968756649205E-3</v>
      </c>
      <c r="K69" s="13">
        <f>(ABS(($G69+0.1)*1000)/$C69)*($I69/IF(B68="",$B69,$B68))</f>
        <v>7.6453187278202245E-2</v>
      </c>
      <c r="N69" s="14">
        <f>O69/Q67</f>
        <v>0</v>
      </c>
      <c r="O69" s="1">
        <f>B70*M69</f>
        <v>0</v>
      </c>
      <c r="P69" s="1" t="str">
        <f>IF(Q67=490, "D25",IF(Q67=314,"D20","D16"))</f>
        <v>D25</v>
      </c>
    </row>
    <row r="70" spans="1:17" x14ac:dyDescent="0.3">
      <c r="A70" s="5" t="s">
        <v>44</v>
      </c>
      <c r="B70" s="15">
        <f>IF(B68="",(0.25*PI()*B69^2),B68*B69)</f>
        <v>384845.10006474965</v>
      </c>
      <c r="C70" s="1">
        <v>288.51</v>
      </c>
      <c r="D70" s="4">
        <v>238.02</v>
      </c>
      <c r="E70" s="1">
        <v>224.8</v>
      </c>
      <c r="F70" s="1">
        <v>103.27</v>
      </c>
      <c r="G70" s="1">
        <v>105.34</v>
      </c>
      <c r="I70" s="13">
        <f>($C70*1000/$B$3)/$B70/$B$1</f>
        <v>3.8944324521764308E-2</v>
      </c>
      <c r="J70" s="13">
        <f>(ABS(($F70+0.1)*1000)/$C70)*($I70/$B69)</f>
        <v>1.9933326528987737E-2</v>
      </c>
      <c r="K70" s="13">
        <f>(ABS(($G70+0.1)*1000)/$C70)*($I70/IF(B68="",$B69,$B68))</f>
        <v>2.0332494429877793E-2</v>
      </c>
      <c r="N70" s="14">
        <f>O70/Q67</f>
        <v>0</v>
      </c>
      <c r="O70" s="1">
        <f>B70*M70</f>
        <v>0</v>
      </c>
      <c r="P70" s="1" t="str">
        <f>IF(Q67=490, "D25",IF(Q67=314,"D20","D16"))</f>
        <v>D25</v>
      </c>
    </row>
    <row r="71" spans="1:17" x14ac:dyDescent="0.3">
      <c r="C71" s="1">
        <v>393.8</v>
      </c>
      <c r="D71" s="1">
        <v>-94.63</v>
      </c>
      <c r="E71" s="4">
        <v>-253.7</v>
      </c>
      <c r="F71" s="1">
        <v>-617.57000000000005</v>
      </c>
      <c r="G71" s="1">
        <v>77.64</v>
      </c>
      <c r="I71" s="13">
        <f>($C71*1000/$B$3)/$B70/$B$1</f>
        <v>5.3156822975532161E-2</v>
      </c>
      <c r="J71" s="13">
        <f>(ABS(($F71+0.1)*1000)/$C71)*($I71/$B69)</f>
        <v>0.11906966365342031</v>
      </c>
      <c r="K71" s="13">
        <f>(ABS(($G71+0.1)*1000)/$C71)*($I71/IF(B68="",$B69,$B68))</f>
        <v>1.499097227787082E-2</v>
      </c>
      <c r="N71" s="14">
        <f>O71/Q67</f>
        <v>0</v>
      </c>
      <c r="O71" s="1">
        <f>B70*M71</f>
        <v>0</v>
      </c>
      <c r="P71" s="1" t="str">
        <f>IF(Q67=490, "D25",IF(Q67=314,"D20","D16"))</f>
        <v>D25</v>
      </c>
    </row>
    <row r="72" spans="1:17" x14ac:dyDescent="0.3">
      <c r="C72" s="1">
        <v>447.94</v>
      </c>
      <c r="D72" s="1">
        <v>-148.18</v>
      </c>
      <c r="E72" s="4">
        <v>450.3</v>
      </c>
      <c r="F72" s="1">
        <v>77.260000000000005</v>
      </c>
      <c r="G72" s="1">
        <v>274.8</v>
      </c>
      <c r="I72" s="13">
        <f>($C72*1000/$B$3)/$B70/$B$1</f>
        <v>6.0464873752310515E-2</v>
      </c>
      <c r="J72" s="13">
        <f>(ABS(($F72+0.1)*1000)/$C72)*($I72/$B69)</f>
        <v>1.4917695078673614E-2</v>
      </c>
      <c r="K72" s="13">
        <f>(ABS(($G72+0.1)*1000)/$C72)*($I72/IF(B68="",$B69,$B68))</f>
        <v>5.301026857713776E-2</v>
      </c>
      <c r="N72" s="14">
        <f>O72/Q67</f>
        <v>0</v>
      </c>
      <c r="O72" s="1">
        <f>B70*M72</f>
        <v>0</v>
      </c>
      <c r="P72" s="1" t="str">
        <f>IF(Q67=490, "D25",IF(Q67=314,"D20","D16"))</f>
        <v>D25</v>
      </c>
    </row>
    <row r="73" spans="1:17" x14ac:dyDescent="0.3">
      <c r="C73" s="1">
        <v>393.8</v>
      </c>
      <c r="D73" s="1">
        <v>-94.63</v>
      </c>
      <c r="E73" s="1">
        <v>-253.7</v>
      </c>
      <c r="F73" s="4">
        <v>-617.57000000000005</v>
      </c>
      <c r="G73" s="1">
        <v>77.64</v>
      </c>
      <c r="I73" s="13">
        <f>($C73*1000/$B$3)/$B70/$B$1</f>
        <v>5.3156822975532161E-2</v>
      </c>
      <c r="J73" s="13">
        <f>(ABS(($F73+0.1)*1000)/$C73)*($I73/$B69)</f>
        <v>0.11906966365342031</v>
      </c>
      <c r="K73" s="13">
        <f>(ABS(($G73+0.1)*1000)/$C73)*($I73/IF(B68="",$B69,$B68))</f>
        <v>1.499097227787082E-2</v>
      </c>
      <c r="M73" s="1">
        <v>0.02</v>
      </c>
      <c r="N73" s="14">
        <f>O73/Q67</f>
        <v>15.707963267948966</v>
      </c>
      <c r="O73" s="1">
        <f>B70*M73</f>
        <v>7696.9020012949932</v>
      </c>
      <c r="P73" s="1" t="str">
        <f>IF(Q67=490, "D25",IF(Q67=314,"D20","D16"))</f>
        <v>D25</v>
      </c>
    </row>
    <row r="74" spans="1:17" x14ac:dyDescent="0.3">
      <c r="C74" s="1">
        <v>271.52999999999997</v>
      </c>
      <c r="D74" s="1">
        <v>-114.89</v>
      </c>
      <c r="E74" s="1">
        <v>168.44</v>
      </c>
      <c r="F74" s="4">
        <v>399.73</v>
      </c>
      <c r="G74" s="1">
        <v>62.33</v>
      </c>
      <c r="I74" s="13">
        <f>($C74*1000/$B$3)/$B70/$B$1</f>
        <v>3.6652290864769545E-2</v>
      </c>
      <c r="J74" s="13">
        <f>(ABS(($F74+0.1)*1000)/$C74)*($I74/$B69)</f>
        <v>7.7101111986893373E-2</v>
      </c>
      <c r="K74" s="13">
        <f>(ABS(($G74+0.1)*1000)/$C74)*($I74/IF(B68="",$B69,$B68))</f>
        <v>1.2038672489162275E-2</v>
      </c>
      <c r="N74" s="14">
        <f>O74/Q67</f>
        <v>0</v>
      </c>
      <c r="O74" s="1">
        <f>B70*M74</f>
        <v>0</v>
      </c>
      <c r="P74" s="1" t="str">
        <f>IF(Q67=490, "D25",IF(Q67=314,"D20","D16"))</f>
        <v>D25</v>
      </c>
    </row>
    <row r="75" spans="1:17" x14ac:dyDescent="0.3">
      <c r="C75" s="1">
        <v>616.75</v>
      </c>
      <c r="D75" s="1">
        <v>-214.55</v>
      </c>
      <c r="E75" s="1">
        <v>-92.33</v>
      </c>
      <c r="F75" s="1">
        <v>109.41</v>
      </c>
      <c r="G75" s="4">
        <v>-596.54999999999995</v>
      </c>
      <c r="I75" s="13">
        <f>($C75*1000/$B$3)/$B70/$B$1</f>
        <v>8.3251575851090567E-2</v>
      </c>
      <c r="J75" s="13">
        <f>(ABS(($F75+0.1)*1000)/$C75)*($I75/$B69)</f>
        <v>2.1117331800226825E-2</v>
      </c>
      <c r="K75" s="13">
        <f>(ABS(($G75+0.1)*1000)/$C75)*($I75/IF(B68="",$B69,$B68))</f>
        <v>0.11501627752940635</v>
      </c>
      <c r="N75" s="14">
        <f>O75/Q67</f>
        <v>0</v>
      </c>
      <c r="O75" s="1">
        <f>B70*M75</f>
        <v>0</v>
      </c>
      <c r="P75" s="1" t="str">
        <f>IF(Q67=490, "D25",IF(Q67=314,"D20","D16"))</f>
        <v>D25</v>
      </c>
    </row>
    <row r="76" spans="1:17" x14ac:dyDescent="0.3">
      <c r="C76" s="1">
        <v>332.89</v>
      </c>
      <c r="D76" s="1">
        <v>-337.07</v>
      </c>
      <c r="E76" s="1">
        <v>-53.56</v>
      </c>
      <c r="F76" s="1">
        <v>-185.06</v>
      </c>
      <c r="G76" s="4">
        <v>602.20000000000005</v>
      </c>
      <c r="I76" s="13">
        <f>($C76*1000/$B$3)/$B70/$B$1</f>
        <v>4.4934928390870758E-2</v>
      </c>
      <c r="J76" s="13">
        <f>(ABS(($F76+0.1)*1000)/$C76)*($I76/$B69)</f>
        <v>3.5666712535567115E-2</v>
      </c>
      <c r="K76" s="13">
        <f>(ABS(($G76+0.1)*1000)/$C76)*($I76/IF(B68="",$B69,$B68))</f>
        <v>0.11614436072757395</v>
      </c>
      <c r="N76" s="14">
        <f>O76/Q67</f>
        <v>0</v>
      </c>
      <c r="O76" s="1">
        <f>B70*M76</f>
        <v>0</v>
      </c>
      <c r="P76" s="1" t="str">
        <f>IF(Q67=490, "D25",IF(Q67=314,"D20","D16"))</f>
        <v>D25</v>
      </c>
    </row>
    <row r="78" spans="1:17" x14ac:dyDescent="0.3">
      <c r="B78" s="1" t="s">
        <v>19</v>
      </c>
      <c r="C78" s="1" t="s">
        <v>20</v>
      </c>
      <c r="D78" s="1" t="s">
        <v>35</v>
      </c>
      <c r="E78" s="1" t="s">
        <v>36</v>
      </c>
      <c r="F78" s="1" t="s">
        <v>23</v>
      </c>
      <c r="G78" s="1" t="s">
        <v>24</v>
      </c>
    </row>
    <row r="79" spans="1:17" x14ac:dyDescent="0.3">
      <c r="A79" s="11"/>
      <c r="B79" s="12" t="s">
        <v>50</v>
      </c>
      <c r="C79" s="4">
        <v>7.62</v>
      </c>
      <c r="D79" s="1">
        <v>-21.29</v>
      </c>
      <c r="E79" s="1">
        <v>0</v>
      </c>
      <c r="F79" s="1">
        <v>159.41</v>
      </c>
      <c r="G79" s="1">
        <v>0</v>
      </c>
      <c r="I79" s="13">
        <f>($C79*1000/$B$3)/$B82/$B$1</f>
        <v>2.0160177310923513E-3</v>
      </c>
      <c r="J79" s="13">
        <f>(ABS(($F79+0.1)*1000)/$C79)*($I79/$B81)</f>
        <v>8.4402884064708916E-2</v>
      </c>
      <c r="K79" s="13">
        <f>(ABS(($G79+0.1)*1000)/$C79)*($I79/IF(B80="",$B81,$B80))</f>
        <v>5.2913851209773003E-5</v>
      </c>
      <c r="N79" s="14">
        <f>O79/Q79</f>
        <v>0</v>
      </c>
      <c r="O79" s="1">
        <f>B82*M79</f>
        <v>0</v>
      </c>
      <c r="P79" s="1" t="str">
        <f>IF(Q79=490, "D25",IF(Q79=314,"D20","D16"))</f>
        <v>D20</v>
      </c>
      <c r="Q79" s="1">
        <v>314</v>
      </c>
    </row>
    <row r="80" spans="1:17" x14ac:dyDescent="0.3">
      <c r="A80" s="5" t="s">
        <v>41</v>
      </c>
      <c r="C80" s="4">
        <v>1569.93</v>
      </c>
      <c r="D80" s="1">
        <v>0</v>
      </c>
      <c r="E80" s="1">
        <v>5.72</v>
      </c>
      <c r="F80" s="1">
        <v>0</v>
      </c>
      <c r="G80" s="1">
        <v>0</v>
      </c>
      <c r="I80" s="13">
        <f>($C80*1000/$B$3)/$B82/$B$1</f>
        <v>0.41535521214879467</v>
      </c>
      <c r="J80" s="13">
        <f>(ABS(($F80+0.1)*1000)/$C80)*($I80/$B81)</f>
        <v>5.2913851209773009E-5</v>
      </c>
      <c r="K80" s="13">
        <f>(ABS(($G80+0.1)*1000)/$C80)*($I80/IF(B80="",$B81,$B80))</f>
        <v>5.2913851209773009E-5</v>
      </c>
      <c r="N80" s="14">
        <f>O80/Q79</f>
        <v>0</v>
      </c>
      <c r="O80" s="1">
        <f>B82*M80</f>
        <v>0</v>
      </c>
      <c r="P80" s="1" t="str">
        <f>IF(Q79=490, "D25",IF(Q79=314,"D20","D16"))</f>
        <v>D20</v>
      </c>
      <c r="Q80" s="12" t="s">
        <v>42</v>
      </c>
    </row>
    <row r="81" spans="1:17" x14ac:dyDescent="0.3">
      <c r="A81" s="5" t="s">
        <v>43</v>
      </c>
      <c r="B81" s="8">
        <v>500</v>
      </c>
      <c r="C81" s="1">
        <v>195.19</v>
      </c>
      <c r="D81" s="4">
        <v>-84.05</v>
      </c>
      <c r="E81" s="1">
        <v>-3.43</v>
      </c>
      <c r="F81" s="1">
        <v>-6.72</v>
      </c>
      <c r="G81" s="1">
        <v>195.92</v>
      </c>
      <c r="I81" s="13">
        <f>($C81*1000/$B$3)/$B82/$B$1</f>
        <v>5.1641273088177959E-2</v>
      </c>
      <c r="J81" s="13">
        <f>(ABS(($F81+0.1)*1000)/$C81)*($I81/$B81)</f>
        <v>3.5028969500869728E-3</v>
      </c>
      <c r="K81" s="13">
        <f>(ABS(($G81+0.1)*1000)/$C81)*($I81/IF(B80="",$B81,$B80))</f>
        <v>0.10372173114139703</v>
      </c>
      <c r="N81" s="14">
        <f>O81/Q79</f>
        <v>0</v>
      </c>
      <c r="O81" s="1">
        <f>B82*M81</f>
        <v>0</v>
      </c>
      <c r="P81" s="1" t="str">
        <f>IF(Q79=490, "D25",IF(Q79=314,"D20","D16"))</f>
        <v>D20</v>
      </c>
    </row>
    <row r="82" spans="1:17" x14ac:dyDescent="0.3">
      <c r="A82" s="5" t="s">
        <v>44</v>
      </c>
      <c r="B82" s="15">
        <f>IF(B80="",(0.25*PI()*B81^2),B80*B81)</f>
        <v>196349.54084936206</v>
      </c>
      <c r="C82" s="1">
        <v>243.01</v>
      </c>
      <c r="D82" s="4">
        <v>67.73</v>
      </c>
      <c r="E82" s="1">
        <v>19.13</v>
      </c>
      <c r="F82" s="1">
        <v>56.69</v>
      </c>
      <c r="G82" s="1">
        <v>-179.94</v>
      </c>
      <c r="I82" s="13">
        <f>($C82*1000/$B$3)/$B82/$B$1</f>
        <v>6.4292974912434686E-2</v>
      </c>
      <c r="J82" s="13">
        <f>(ABS(($F82+0.1)*1000)/$C82)*($I82/$B81)</f>
        <v>3.004977610203009E-2</v>
      </c>
      <c r="K82" s="13">
        <f>(ABS(($G82+0.1)*1000)/$C82)*($I82/IF(B80="",$B81,$B80))</f>
        <v>9.5160270015655787E-2</v>
      </c>
      <c r="N82" s="14">
        <f>O82/Q79</f>
        <v>0</v>
      </c>
      <c r="O82" s="1">
        <f>B82*M82</f>
        <v>0</v>
      </c>
      <c r="P82" s="1" t="str">
        <f>IF(Q79=490, "D25",IF(Q79=314,"D20","D16"))</f>
        <v>D20</v>
      </c>
    </row>
    <row r="83" spans="1:17" x14ac:dyDescent="0.3">
      <c r="C83" s="1">
        <v>544.91</v>
      </c>
      <c r="D83" s="1">
        <v>27.14</v>
      </c>
      <c r="E83" s="4">
        <v>-90.86</v>
      </c>
      <c r="F83" s="1">
        <v>0</v>
      </c>
      <c r="G83" s="1">
        <v>0</v>
      </c>
      <c r="I83" s="13">
        <f>($C83*1000/$B$3)/$B82/$B$1</f>
        <v>0.14416643331358703</v>
      </c>
      <c r="J83" s="13">
        <f>(ABS(($F83+0.1)*1000)/$C83)*($I83/$B81)</f>
        <v>5.2913851209773009E-5</v>
      </c>
      <c r="K83" s="13">
        <f>(ABS(($G83+0.1)*1000)/$C83)*($I83/IF(B80="",$B81,$B80))</f>
        <v>5.2913851209773009E-5</v>
      </c>
      <c r="N83" s="14">
        <f>O83/Q79</f>
        <v>0</v>
      </c>
      <c r="O83" s="1">
        <f>B82*M83</f>
        <v>0</v>
      </c>
      <c r="P83" s="1" t="str">
        <f>IF(Q79=490, "D25",IF(Q79=314,"D20","D16"))</f>
        <v>D20</v>
      </c>
    </row>
    <row r="84" spans="1:17" x14ac:dyDescent="0.3">
      <c r="C84" s="1">
        <v>1103.02</v>
      </c>
      <c r="D84" s="1">
        <v>24.18</v>
      </c>
      <c r="E84" s="4">
        <v>99.58</v>
      </c>
      <c r="F84" s="1">
        <v>0</v>
      </c>
      <c r="G84" s="1">
        <v>0</v>
      </c>
      <c r="I84" s="13">
        <f>($C84*1000/$B$3)/$B82/$B$1</f>
        <v>0.29182518080701908</v>
      </c>
      <c r="J84" s="13">
        <f>(ABS(($F84+0.1)*1000)/$C84)*($I84/$B81)</f>
        <v>5.2913851209773003E-5</v>
      </c>
      <c r="K84" s="13">
        <f>(ABS(($G84+0.1)*1000)/$C84)*($I84/IF(B80="",$B81,$B80))</f>
        <v>5.2913851209773003E-5</v>
      </c>
      <c r="N84" s="14">
        <f>O84/Q79</f>
        <v>0</v>
      </c>
      <c r="O84" s="1">
        <f>B82*M84</f>
        <v>0</v>
      </c>
      <c r="P84" s="1" t="str">
        <f>IF(Q79=490, "D25",IF(Q79=314,"D20","D16"))</f>
        <v>D20</v>
      </c>
    </row>
    <row r="85" spans="1:17" x14ac:dyDescent="0.3">
      <c r="C85" s="1">
        <v>245.76</v>
      </c>
      <c r="D85" s="1">
        <v>28.39</v>
      </c>
      <c r="E85" s="1">
        <v>71.78</v>
      </c>
      <c r="F85" s="4">
        <v>-177.75</v>
      </c>
      <c r="G85" s="1">
        <v>62.28</v>
      </c>
      <c r="I85" s="13">
        <f>($C85*1000/$B$3)/$B82/$B$1</f>
        <v>6.5020540366569068E-2</v>
      </c>
      <c r="J85" s="13">
        <f>(ABS(($F85+0.1)*1000)/$C85)*($I85/$B81)</f>
        <v>9.4001456674161751E-2</v>
      </c>
      <c r="K85" s="13">
        <f>(ABS(($G85+0.1)*1000)/$C85)*($I85/IF(B80="",$B81,$B80))</f>
        <v>3.3007660384656405E-2</v>
      </c>
      <c r="N85" s="14">
        <f>O85/Q79</f>
        <v>0</v>
      </c>
      <c r="O85" s="1">
        <f>B82*M85</f>
        <v>0</v>
      </c>
      <c r="P85" s="1" t="str">
        <f>IF(Q79=490, "D25",IF(Q79=314,"D20","D16"))</f>
        <v>D20</v>
      </c>
    </row>
    <row r="86" spans="1:17" x14ac:dyDescent="0.3">
      <c r="C86" s="1">
        <v>273.57</v>
      </c>
      <c r="D86" s="1">
        <v>28.39</v>
      </c>
      <c r="E86" s="1">
        <v>75.28</v>
      </c>
      <c r="F86" s="4">
        <v>186.38</v>
      </c>
      <c r="G86" s="1">
        <v>-79.650000000000006</v>
      </c>
      <c r="I86" s="13">
        <f>($C86*1000/$B$3)/$B82/$B$1</f>
        <v>7.2378211377288004E-2</v>
      </c>
      <c r="J86" s="13">
        <f>(ABS(($F86+0.1)*1000)/$C86)*($I86/$B81)</f>
        <v>9.8673749735984695E-2</v>
      </c>
      <c r="K86" s="13">
        <f>(ABS(($G86+0.1)*1000)/$C86)*($I86/IF(B80="",$B81,$B80))</f>
        <v>4.2092968637374432E-2</v>
      </c>
      <c r="N86" s="14">
        <f>O86/Q79</f>
        <v>0</v>
      </c>
      <c r="O86" s="1">
        <f>B82*M86</f>
        <v>0</v>
      </c>
      <c r="P86" s="1" t="str">
        <f>IF(Q79=490, "D25",IF(Q79=314,"D20","D16"))</f>
        <v>D20</v>
      </c>
    </row>
    <row r="87" spans="1:17" x14ac:dyDescent="0.3">
      <c r="C87" s="1">
        <v>167.38</v>
      </c>
      <c r="D87" s="1">
        <v>-80.53</v>
      </c>
      <c r="E87" s="1">
        <v>-3.43</v>
      </c>
      <c r="F87" s="1">
        <v>10.41</v>
      </c>
      <c r="G87" s="4">
        <v>-212.01</v>
      </c>
      <c r="I87" s="13">
        <f>($C87*1000/$B$3)/$B82/$B$1</f>
        <v>4.4283602077459024E-2</v>
      </c>
      <c r="J87" s="13">
        <f>(ABS(($F87+0.1)*1000)/$C87)*($I87/$B81)</f>
        <v>5.5612457621471425E-3</v>
      </c>
      <c r="K87" s="13">
        <f>(ABS(($G87+0.1)*1000)/$C87)*($I87/IF(B80="",$B81,$B80))</f>
        <v>0.11212974209862997</v>
      </c>
      <c r="M87" s="1">
        <v>0.02</v>
      </c>
      <c r="N87" s="14">
        <f>O87/Q79</f>
        <v>12.50634018148803</v>
      </c>
      <c r="O87" s="1">
        <f>B82*M87</f>
        <v>3926.9908169872415</v>
      </c>
      <c r="P87" s="1" t="str">
        <f>IF(Q79=490, "D25",IF(Q79=314,"D20","D16"))</f>
        <v>D20</v>
      </c>
    </row>
    <row r="88" spans="1:17" x14ac:dyDescent="0.3">
      <c r="C88" s="1">
        <v>195.19</v>
      </c>
      <c r="D88" s="1">
        <v>-84.05</v>
      </c>
      <c r="E88" s="1">
        <v>-3.43</v>
      </c>
      <c r="F88" s="1">
        <v>-6.72</v>
      </c>
      <c r="G88" s="4">
        <v>195.92</v>
      </c>
      <c r="I88" s="13">
        <f>($C88*1000/$B$3)/$B82/$B$1</f>
        <v>5.1641273088177959E-2</v>
      </c>
      <c r="J88" s="13">
        <f>(ABS(($F88+0.1)*1000)/$C88)*($I88/$B81)</f>
        <v>3.5028969500869728E-3</v>
      </c>
      <c r="K88" s="13">
        <f>(ABS(($G88+0.1)*1000)/$C88)*($I88/IF(B80="",$B81,$B80))</f>
        <v>0.10372173114139703</v>
      </c>
      <c r="N88" s="14">
        <f>O88/Q79</f>
        <v>0</v>
      </c>
      <c r="O88" s="1">
        <f>B82*M88</f>
        <v>0</v>
      </c>
      <c r="P88" s="1" t="str">
        <f>IF(Q79=490, "D25",IF(Q79=314,"D20","D16"))</f>
        <v>D20</v>
      </c>
    </row>
    <row r="89" spans="1:17" x14ac:dyDescent="0.3">
      <c r="G89" s="16"/>
      <c r="I89" s="13"/>
      <c r="J89" s="13"/>
      <c r="K89" s="13"/>
    </row>
    <row r="90" spans="1:17" x14ac:dyDescent="0.3">
      <c r="B90" s="1" t="s">
        <v>19</v>
      </c>
      <c r="C90" s="1" t="s">
        <v>20</v>
      </c>
      <c r="D90" s="1" t="s">
        <v>35</v>
      </c>
      <c r="E90" s="1" t="s">
        <v>36</v>
      </c>
      <c r="F90" s="1" t="s">
        <v>23</v>
      </c>
      <c r="G90" s="1" t="s">
        <v>24</v>
      </c>
    </row>
    <row r="91" spans="1:17" x14ac:dyDescent="0.3">
      <c r="A91" s="11"/>
      <c r="B91" s="12" t="s">
        <v>51</v>
      </c>
      <c r="C91" s="4">
        <v>-0.02</v>
      </c>
      <c r="D91" s="1">
        <v>-2.31</v>
      </c>
      <c r="E91" s="1">
        <v>0</v>
      </c>
      <c r="F91" s="1">
        <v>0</v>
      </c>
      <c r="G91" s="1">
        <v>0</v>
      </c>
      <c r="I91" s="13">
        <f>($C91*1000/$B$3)/$B94/$B$1</f>
        <v>-2.6996862862129078E-6</v>
      </c>
      <c r="J91" s="13">
        <f>(ABS(($F91+0.1)*1000)/$C91)*($I91/$B93)</f>
        <v>1.9283473472949342E-5</v>
      </c>
      <c r="K91" s="13">
        <f>(ABS(($G91+0.1)*1000)/$C91)*($I91/IF(B92="",$B93,$B92))</f>
        <v>1.9283473472949342E-5</v>
      </c>
      <c r="N91" s="14">
        <f>O91/Q91</f>
        <v>0</v>
      </c>
      <c r="O91" s="1">
        <f>B94*M91</f>
        <v>0</v>
      </c>
      <c r="P91" s="1" t="str">
        <f>IF(Q91=490, "D25",IF(Q91=314,"D20","D16"))</f>
        <v>D25</v>
      </c>
      <c r="Q91" s="1">
        <v>490</v>
      </c>
    </row>
    <row r="92" spans="1:17" x14ac:dyDescent="0.3">
      <c r="A92" s="5" t="s">
        <v>41</v>
      </c>
      <c r="C92" s="4">
        <v>2528.5700000000002</v>
      </c>
      <c r="D92" s="1">
        <v>0</v>
      </c>
      <c r="E92" s="1">
        <v>6.62</v>
      </c>
      <c r="F92" s="1">
        <v>0</v>
      </c>
      <c r="G92" s="1">
        <v>0</v>
      </c>
      <c r="I92" s="13">
        <f>($C92*1000/$B$3)/$B94/$B$1</f>
        <v>0.34131728763646868</v>
      </c>
      <c r="J92" s="13">
        <f>(ABS(($F92+0.1)*1000)/$C92)*($I92/$B93)</f>
        <v>1.9283473472949342E-5</v>
      </c>
      <c r="K92" s="13">
        <f>(ABS(($G92+0.1)*1000)/$C92)*($I92/IF(B92="",$B93,$B92))</f>
        <v>1.9283473472949342E-5</v>
      </c>
      <c r="N92" s="14">
        <f>O92/Q91</f>
        <v>0</v>
      </c>
      <c r="O92" s="1">
        <f>B94*M92</f>
        <v>0</v>
      </c>
      <c r="P92" s="1" t="str">
        <f>IF(Q91=490, "D25",IF(Q91=314,"D20","D16"))</f>
        <v>D25</v>
      </c>
      <c r="Q92" s="12" t="s">
        <v>42</v>
      </c>
    </row>
    <row r="93" spans="1:17" x14ac:dyDescent="0.3">
      <c r="A93" s="5" t="s">
        <v>43</v>
      </c>
      <c r="B93" s="8">
        <v>700</v>
      </c>
      <c r="C93" s="1">
        <v>560.98</v>
      </c>
      <c r="D93" s="4">
        <v>-571.91</v>
      </c>
      <c r="E93" s="1">
        <v>125.68</v>
      </c>
      <c r="F93" s="1">
        <v>20.420000000000002</v>
      </c>
      <c r="G93" s="1">
        <v>396.37</v>
      </c>
      <c r="I93" s="13">
        <f>($C93*1000/$B$3)/$B94/$B$1</f>
        <v>7.5723500641985853E-2</v>
      </c>
      <c r="J93" s="13">
        <f>(ABS(($F93+0.1)*1000)/$C93)*($I93/$B93)</f>
        <v>3.956968756649205E-3</v>
      </c>
      <c r="K93" s="13">
        <f>(ABS(($G93+0.1)*1000)/$C93)*($I93/IF(B92="",$B93,$B92))</f>
        <v>7.6453187278202245E-2</v>
      </c>
      <c r="N93" s="14">
        <f>O93/Q91</f>
        <v>0</v>
      </c>
      <c r="O93" s="1">
        <f>B94*M93</f>
        <v>0</v>
      </c>
      <c r="P93" s="1" t="str">
        <f>IF(Q91=490, "D25",IF(Q91=314,"D20","D16"))</f>
        <v>D25</v>
      </c>
    </row>
    <row r="94" spans="1:17" x14ac:dyDescent="0.3">
      <c r="A94" s="5" t="s">
        <v>44</v>
      </c>
      <c r="B94" s="15">
        <f>IF(B92="",(0.25*PI()*B93^2),B92*B93)</f>
        <v>384845.10006474965</v>
      </c>
      <c r="C94" s="1">
        <v>288.51</v>
      </c>
      <c r="D94" s="4">
        <v>238.02</v>
      </c>
      <c r="E94" s="1">
        <v>224.8</v>
      </c>
      <c r="F94" s="1">
        <v>103.27</v>
      </c>
      <c r="G94" s="1">
        <v>105.34</v>
      </c>
      <c r="I94" s="13">
        <f>($C94*1000/$B$3)/$B94/$B$1</f>
        <v>3.8944324521764308E-2</v>
      </c>
      <c r="J94" s="13">
        <f>(ABS(($F94+0.1)*1000)/$C94)*($I94/$B93)</f>
        <v>1.9933326528987737E-2</v>
      </c>
      <c r="K94" s="13">
        <f>(ABS(($G94+0.1)*1000)/$C94)*($I94/IF(B92="",$B93,$B92))</f>
        <v>2.0332494429877793E-2</v>
      </c>
      <c r="N94" s="14">
        <f>O94/Q91</f>
        <v>0</v>
      </c>
      <c r="O94" s="1">
        <f>B94*M94</f>
        <v>0</v>
      </c>
      <c r="P94" s="1" t="str">
        <f>IF(Q91=490, "D25",IF(Q91=314,"D20","D16"))</f>
        <v>D25</v>
      </c>
    </row>
    <row r="95" spans="1:17" x14ac:dyDescent="0.3">
      <c r="C95" s="1">
        <v>393.8</v>
      </c>
      <c r="D95" s="1">
        <v>-94.63</v>
      </c>
      <c r="E95" s="4">
        <v>-253.7</v>
      </c>
      <c r="F95" s="1">
        <v>-617.57000000000005</v>
      </c>
      <c r="G95" s="1">
        <v>77.64</v>
      </c>
      <c r="I95" s="13">
        <f>($C95*1000/$B$3)/$B94/$B$1</f>
        <v>5.3156822975532161E-2</v>
      </c>
      <c r="J95" s="13">
        <f>(ABS(($F95+0.1)*1000)/$C95)*($I95/$B93)</f>
        <v>0.11906966365342031</v>
      </c>
      <c r="K95" s="13">
        <f>(ABS(($G95+0.1)*1000)/$C95)*($I95/IF(B92="",$B93,$B92))</f>
        <v>1.499097227787082E-2</v>
      </c>
      <c r="N95" s="14">
        <f>O95/Q91</f>
        <v>0</v>
      </c>
      <c r="O95" s="1">
        <f>B94*M95</f>
        <v>0</v>
      </c>
      <c r="P95" s="1" t="str">
        <f>IF(Q91=490, "D25",IF(Q91=314,"D20","D16"))</f>
        <v>D25</v>
      </c>
    </row>
    <row r="96" spans="1:17" x14ac:dyDescent="0.3">
      <c r="C96" s="1">
        <v>368.25</v>
      </c>
      <c r="D96" s="1">
        <v>-97.92</v>
      </c>
      <c r="E96" s="4">
        <v>463.5</v>
      </c>
      <c r="F96" s="1">
        <v>416.28</v>
      </c>
      <c r="G96" s="1">
        <v>-24.54</v>
      </c>
      <c r="I96" s="13">
        <f>($C96*1000/$B$3)/$B94/$B$1</f>
        <v>4.9707973744895176E-2</v>
      </c>
      <c r="J96" s="13">
        <f>(ABS(($F96+0.1)*1000)/$C96)*($I96/$B93)</f>
        <v>8.029252684666649E-2</v>
      </c>
      <c r="K96" s="13">
        <f>(ABS(($G96+0.1)*1000)/$C96)*($I96/IF(B92="",$B93,$B92))</f>
        <v>4.7128809167888194E-3</v>
      </c>
      <c r="N96" s="14">
        <f>O96/Q91</f>
        <v>0</v>
      </c>
      <c r="O96" s="1">
        <f>B94*M96</f>
        <v>0</v>
      </c>
      <c r="P96" s="1" t="str">
        <f>IF(Q91=490, "D25",IF(Q91=314,"D20","D16"))</f>
        <v>D25</v>
      </c>
    </row>
    <row r="97" spans="1:17" x14ac:dyDescent="0.3">
      <c r="C97" s="1">
        <v>393.8</v>
      </c>
      <c r="D97" s="1">
        <v>-94.63</v>
      </c>
      <c r="E97" s="1">
        <v>-253.7</v>
      </c>
      <c r="F97" s="4">
        <v>-617.57000000000005</v>
      </c>
      <c r="G97" s="1">
        <v>77.64</v>
      </c>
      <c r="I97" s="13">
        <f>($C97*1000/$B$3)/$B94/$B$1</f>
        <v>5.3156822975532161E-2</v>
      </c>
      <c r="J97" s="13">
        <f>(ABS(($F97+0.1)*1000)/$C97)*($I97/$B93)</f>
        <v>0.11906966365342031</v>
      </c>
      <c r="K97" s="13">
        <f>(ABS(($G97+0.1)*1000)/$C97)*($I97/IF(B92="",$B93,$B92))</f>
        <v>1.499097227787082E-2</v>
      </c>
      <c r="N97" s="14">
        <f>O97/Q91</f>
        <v>0</v>
      </c>
      <c r="O97" s="1">
        <f>B94*M97</f>
        <v>0</v>
      </c>
      <c r="P97" s="1" t="str">
        <f>IF(Q91=490, "D25",IF(Q91=314,"D20","D16"))</f>
        <v>D25</v>
      </c>
    </row>
    <row r="98" spans="1:17" x14ac:dyDescent="0.3">
      <c r="C98" s="1">
        <v>368.25</v>
      </c>
      <c r="D98" s="1">
        <v>-97.92</v>
      </c>
      <c r="E98" s="1">
        <v>463.5</v>
      </c>
      <c r="F98" s="4">
        <v>416.28</v>
      </c>
      <c r="G98" s="1">
        <v>-24.54</v>
      </c>
      <c r="I98" s="13">
        <f>($C98*1000/$B$3)/$B94/$B$1</f>
        <v>4.9707973744895176E-2</v>
      </c>
      <c r="J98" s="13">
        <f>(ABS(($F98+0.1)*1000)/$C98)*($I98/$B93)</f>
        <v>8.029252684666649E-2</v>
      </c>
      <c r="K98" s="13">
        <f>(ABS(($G98+0.1)*1000)/$C98)*($I98/IF(B92="",$B93,$B92))</f>
        <v>4.7128809167888194E-3</v>
      </c>
      <c r="N98" s="14">
        <f>O98/Q91</f>
        <v>0</v>
      </c>
      <c r="O98" s="1">
        <f>B94*M98</f>
        <v>0</v>
      </c>
      <c r="P98" s="1" t="str">
        <f>IF(Q91=490, "D25",IF(Q91=314,"D20","D16"))</f>
        <v>D25</v>
      </c>
    </row>
    <row r="99" spans="1:17" x14ac:dyDescent="0.3">
      <c r="C99" s="1">
        <v>616.75</v>
      </c>
      <c r="D99" s="1">
        <v>-214.55</v>
      </c>
      <c r="E99" s="1">
        <v>-92.33</v>
      </c>
      <c r="F99" s="1">
        <v>109.41</v>
      </c>
      <c r="G99" s="4">
        <v>-596.54999999999995</v>
      </c>
      <c r="I99" s="13">
        <f>($C99*1000/$B$3)/$B94/$B$1</f>
        <v>8.3251575851090567E-2</v>
      </c>
      <c r="J99" s="13">
        <f>(ABS(($F99+0.1)*1000)/$C99)*($I99/$B93)</f>
        <v>2.1117331800226825E-2</v>
      </c>
      <c r="K99" s="13">
        <f>(ABS(($G99+0.1)*1000)/$C99)*($I99/IF(B92="",$B93,$B92))</f>
        <v>0.11501627752940635</v>
      </c>
      <c r="N99" s="14">
        <f>O99/Q91</f>
        <v>0</v>
      </c>
      <c r="O99" s="1">
        <f>B94*M99</f>
        <v>0</v>
      </c>
      <c r="P99" s="1" t="str">
        <f>IF(Q91=490, "D25",IF(Q91=314,"D20","D16"))</f>
        <v>D25</v>
      </c>
    </row>
    <row r="100" spans="1:17" x14ac:dyDescent="0.3">
      <c r="C100" s="1">
        <v>332.89</v>
      </c>
      <c r="D100" s="1">
        <v>-337.07</v>
      </c>
      <c r="E100" s="1">
        <v>-53.56</v>
      </c>
      <c r="F100" s="1">
        <v>-185.06</v>
      </c>
      <c r="G100" s="4">
        <v>602.20000000000005</v>
      </c>
      <c r="I100" s="13">
        <f>($C100*1000/$B$3)/$B94/$B$1</f>
        <v>4.4934928390870758E-2</v>
      </c>
      <c r="J100" s="13">
        <f>(ABS(($F100+0.1)*1000)/$C100)*($I100/$B93)</f>
        <v>3.5666712535567115E-2</v>
      </c>
      <c r="K100" s="13">
        <f>(ABS(($G100+0.1)*1000)/$C100)*($I100/IF(B92="",$B93,$B92))</f>
        <v>0.11614436072757395</v>
      </c>
      <c r="M100" s="1">
        <v>2.5000000000000001E-2</v>
      </c>
      <c r="N100" s="14">
        <f>O100/Q91</f>
        <v>19.634954084936208</v>
      </c>
      <c r="O100" s="1">
        <f>B94*M100</f>
        <v>9621.127501618741</v>
      </c>
      <c r="P100" s="1" t="str">
        <f>IF(Q91=490, "D25",IF(Q91=314,"D20","D16"))</f>
        <v>D25</v>
      </c>
    </row>
    <row r="102" spans="1:17" x14ac:dyDescent="0.3">
      <c r="B102" s="1" t="s">
        <v>19</v>
      </c>
      <c r="C102" s="1" t="s">
        <v>20</v>
      </c>
      <c r="D102" s="1" t="s">
        <v>35</v>
      </c>
      <c r="E102" s="1" t="s">
        <v>36</v>
      </c>
      <c r="F102" s="1" t="s">
        <v>23</v>
      </c>
      <c r="G102" s="1" t="s">
        <v>24</v>
      </c>
    </row>
    <row r="103" spans="1:17" x14ac:dyDescent="0.3">
      <c r="A103" s="11"/>
      <c r="B103" s="12" t="s">
        <v>52</v>
      </c>
      <c r="C103" s="4">
        <v>-48.25</v>
      </c>
      <c r="D103" s="1">
        <v>6.04</v>
      </c>
      <c r="E103" s="1">
        <v>0</v>
      </c>
      <c r="F103" s="1">
        <v>-114.65</v>
      </c>
      <c r="G103" s="1">
        <v>0</v>
      </c>
      <c r="I103" s="13">
        <f>($C103*1000/$B$3)/$B106/$B$1</f>
        <v>-8.8649073641373175E-3</v>
      </c>
      <c r="J103" s="13">
        <f>(ABS(($F103+0.1)*1000)/$C103)*($I103/$B105)</f>
        <v>3.507686143564525E-2</v>
      </c>
      <c r="K103" s="13">
        <f>(ABS(($G103+0.1)*1000)/$C103)*($I103/IF(B104="",$B105,$B104))</f>
        <v>3.0621441672322336E-5</v>
      </c>
      <c r="N103" s="14">
        <f>O103/Q103</f>
        <v>0</v>
      </c>
      <c r="O103" s="1">
        <f>B106*M103</f>
        <v>0</v>
      </c>
      <c r="P103" s="1" t="str">
        <f>IF(Q103=490, "D25",IF(Q103=314,"D20","D16"))</f>
        <v>D20</v>
      </c>
      <c r="Q103" s="1">
        <v>314</v>
      </c>
    </row>
    <row r="104" spans="1:17" x14ac:dyDescent="0.3">
      <c r="A104" s="5" t="s">
        <v>41</v>
      </c>
      <c r="C104" s="4">
        <v>2448.1</v>
      </c>
      <c r="D104" s="1">
        <v>0</v>
      </c>
      <c r="E104" s="1">
        <v>-37.01</v>
      </c>
      <c r="F104" s="1">
        <v>0</v>
      </c>
      <c r="G104" s="1">
        <v>0</v>
      </c>
      <c r="I104" s="13">
        <f>($C104*1000/$B$3)/$B106/$B$1</f>
        <v>0.44978610814807385</v>
      </c>
      <c r="J104" s="13">
        <f>(ABS(($F104+0.1)*1000)/$C104)*($I104/$B105)</f>
        <v>3.0621441672322336E-5</v>
      </c>
      <c r="K104" s="13">
        <f>(ABS(($G104+0.1)*1000)/$C104)*($I104/IF(B104="",$B105,$B104))</f>
        <v>3.0621441672322336E-5</v>
      </c>
      <c r="N104" s="14">
        <f>O104/Q103</f>
        <v>0</v>
      </c>
      <c r="O104" s="1">
        <f>B106*M104</f>
        <v>0</v>
      </c>
      <c r="P104" s="1" t="str">
        <f>IF(Q103=490, "D25",IF(Q103=314,"D20","D16"))</f>
        <v>D20</v>
      </c>
      <c r="Q104" s="12" t="s">
        <v>42</v>
      </c>
    </row>
    <row r="105" spans="1:17" x14ac:dyDescent="0.3">
      <c r="A105" s="5" t="s">
        <v>43</v>
      </c>
      <c r="B105" s="8">
        <v>600</v>
      </c>
      <c r="C105" s="1">
        <v>150.47999999999999</v>
      </c>
      <c r="D105" s="4">
        <v>-214.7</v>
      </c>
      <c r="E105" s="1">
        <v>96.54</v>
      </c>
      <c r="F105" s="1">
        <v>67.290000000000006</v>
      </c>
      <c r="G105" s="1">
        <v>53.95</v>
      </c>
      <c r="I105" s="13">
        <f>($C105*1000/$B$3)/$B106/$B$1</f>
        <v>2.764748725710639E-2</v>
      </c>
      <c r="J105" s="13">
        <f>(ABS(($F105+0.1)*1000)/$C105)*($I105/$B105)</f>
        <v>2.0635789542978022E-2</v>
      </c>
      <c r="K105" s="13">
        <f>(ABS(($G105+0.1)*1000)/$C105)*($I105/IF(B104="",$B105,$B104))</f>
        <v>1.6550889223890225E-2</v>
      </c>
      <c r="N105" s="14">
        <f>O105/Q103</f>
        <v>0</v>
      </c>
      <c r="O105" s="1">
        <f>B106*M105</f>
        <v>0</v>
      </c>
      <c r="P105" s="1" t="str">
        <f>IF(Q103=490, "D25",IF(Q103=314,"D20","D16"))</f>
        <v>D20</v>
      </c>
    </row>
    <row r="106" spans="1:17" x14ac:dyDescent="0.3">
      <c r="A106" s="5" t="s">
        <v>44</v>
      </c>
      <c r="B106" s="15">
        <f>IF(B104="",(0.25*PI()*B105^2),B104*B105)</f>
        <v>282743.3388230814</v>
      </c>
      <c r="C106" s="1">
        <v>1094.06</v>
      </c>
      <c r="D106" s="4">
        <v>314.06</v>
      </c>
      <c r="E106" s="1">
        <v>-126.82</v>
      </c>
      <c r="F106" s="1">
        <v>-126.38</v>
      </c>
      <c r="G106" s="1">
        <v>-276.13</v>
      </c>
      <c r="I106" s="13">
        <f>($C106*1000/$B$3)/$B106/$B$1</f>
        <v>0.20101016685612585</v>
      </c>
      <c r="J106" s="13">
        <f>(ABS(($F106+0.1)*1000)/$C106)*($I106/$B105)</f>
        <v>3.8668756543808649E-2</v>
      </c>
      <c r="K106" s="13">
        <f>(ABS(($G106+0.1)*1000)/$C106)*($I106/IF(B104="",$B105,$B104))</f>
        <v>8.4524365448111358E-2</v>
      </c>
      <c r="N106" s="14">
        <f>O106/Q103</f>
        <v>0</v>
      </c>
      <c r="O106" s="1">
        <f>B106*M106</f>
        <v>0</v>
      </c>
      <c r="P106" s="1" t="str">
        <f>IF(Q103=490, "D25",IF(Q103=314,"D20","D16"))</f>
        <v>D20</v>
      </c>
    </row>
    <row r="107" spans="1:17" x14ac:dyDescent="0.3">
      <c r="C107" s="1">
        <v>1324.58</v>
      </c>
      <c r="D107" s="1">
        <v>268.7</v>
      </c>
      <c r="E107" s="4">
        <v>-446.44</v>
      </c>
      <c r="F107" s="1">
        <v>-370.98</v>
      </c>
      <c r="G107" s="1">
        <v>-214.86</v>
      </c>
      <c r="I107" s="13">
        <f>($C107*1000/$B$3)/$B106/$B$1</f>
        <v>0.2433632952619483</v>
      </c>
      <c r="J107" s="13">
        <f>(ABS(($F107+0.1)*1000)/$C107)*($I107/$B105)</f>
        <v>0.11356880287430908</v>
      </c>
      <c r="K107" s="13">
        <f>(ABS(($G107+0.1)*1000)/$C107)*($I107/IF(B104="",$B105,$B104))</f>
        <v>6.5762608135479447E-2</v>
      </c>
      <c r="N107" s="14">
        <f>O107/Q103</f>
        <v>0</v>
      </c>
      <c r="O107" s="1">
        <f>B106*M107</f>
        <v>0</v>
      </c>
      <c r="P107" s="1" t="str">
        <f>IF(Q103=490, "D25",IF(Q103=314,"D20","D16"))</f>
        <v>D20</v>
      </c>
    </row>
    <row r="108" spans="1:17" x14ac:dyDescent="0.3">
      <c r="C108" s="1">
        <v>1071.04</v>
      </c>
      <c r="D108" s="1">
        <v>263.58999999999997</v>
      </c>
      <c r="E108" s="4">
        <v>530.16</v>
      </c>
      <c r="F108" s="1">
        <v>262.39</v>
      </c>
      <c r="G108" s="1">
        <v>-134.09</v>
      </c>
      <c r="I108" s="13">
        <f>($C108*1000/$B$3)/$B106/$B$1</f>
        <v>0.19678073333234467</v>
      </c>
      <c r="J108" s="13">
        <f>(ABS(($F108+0.1)*1000)/$C108)*($I108/$B105)</f>
        <v>8.0378222245678893E-2</v>
      </c>
      <c r="K108" s="13">
        <f>(ABS(($G108+0.1)*1000)/$C108)*($I108/IF(B104="",$B105,$B104))</f>
        <v>4.1029669696744694E-2</v>
      </c>
      <c r="N108" s="14">
        <f>O108/Q103</f>
        <v>0</v>
      </c>
      <c r="O108" s="1">
        <f>B106*M108</f>
        <v>0</v>
      </c>
      <c r="P108" s="1" t="str">
        <f>IF(Q103=490, "D25",IF(Q103=314,"D20","D16"))</f>
        <v>D20</v>
      </c>
    </row>
    <row r="109" spans="1:17" x14ac:dyDescent="0.3">
      <c r="C109" s="1">
        <v>1324.58</v>
      </c>
      <c r="D109" s="1">
        <v>268.7</v>
      </c>
      <c r="E109" s="1">
        <v>-446.44</v>
      </c>
      <c r="F109" s="4">
        <v>-370.98</v>
      </c>
      <c r="G109" s="1">
        <v>-214.86</v>
      </c>
      <c r="I109" s="13">
        <f>($C109*1000/$B$3)/$B106/$B$1</f>
        <v>0.2433632952619483</v>
      </c>
      <c r="J109" s="13">
        <f>(ABS(($F109+0.1)*1000)/$C109)*($I109/$B105)</f>
        <v>0.11356880287430908</v>
      </c>
      <c r="K109" s="13">
        <f>(ABS(($G109+0.1)*1000)/$C109)*($I109/IF(B104="",$B105,$B104))</f>
        <v>6.5762608135479447E-2</v>
      </c>
      <c r="N109" s="14">
        <f>O109/Q103</f>
        <v>0</v>
      </c>
      <c r="O109" s="1">
        <f>B106*M109</f>
        <v>0</v>
      </c>
      <c r="P109" s="1" t="str">
        <f>IF(Q103=490, "D25",IF(Q103=314,"D20","D16"))</f>
        <v>D20</v>
      </c>
    </row>
    <row r="110" spans="1:17" x14ac:dyDescent="0.3">
      <c r="C110" s="1">
        <v>57.28</v>
      </c>
      <c r="D110" s="1">
        <v>8.27</v>
      </c>
      <c r="E110" s="1">
        <v>111.08</v>
      </c>
      <c r="F110" s="4">
        <v>302.17</v>
      </c>
      <c r="G110" s="1">
        <v>-36.58</v>
      </c>
      <c r="I110" s="13">
        <f>($C110*1000/$B$3)/$B106/$B$1</f>
        <v>1.052397707394374E-2</v>
      </c>
      <c r="J110" s="13">
        <f>(ABS(($F110+0.1)*1000)/$C110)*($I110/$B105)</f>
        <v>9.2559431742928744E-2</v>
      </c>
      <c r="K110" s="13">
        <f>(ABS(($G110+0.1)*1000)/$C110)*($I110/IF(B104="",$B105,$B104))</f>
        <v>1.1170701922063188E-2</v>
      </c>
      <c r="N110" s="14">
        <f>O110/Q103</f>
        <v>0</v>
      </c>
      <c r="O110" s="1">
        <f>B106*M110</f>
        <v>0</v>
      </c>
      <c r="P110" s="1" t="str">
        <f>IF(Q103=490, "D25",IF(Q103=314,"D20","D16"))</f>
        <v>D20</v>
      </c>
    </row>
    <row r="111" spans="1:17" x14ac:dyDescent="0.3">
      <c r="C111" s="1">
        <v>94.51</v>
      </c>
      <c r="D111" s="1">
        <v>149.72</v>
      </c>
      <c r="E111" s="1">
        <v>-43.16</v>
      </c>
      <c r="F111" s="1">
        <v>-72.540000000000006</v>
      </c>
      <c r="G111" s="4">
        <v>-345.19</v>
      </c>
      <c r="I111" s="13">
        <f>($C111*1000/$B$3)/$B106/$B$1</f>
        <v>1.7364194714707102E-2</v>
      </c>
      <c r="J111" s="13">
        <f>(ABS(($F111+0.1)*1000)/$C111)*($I111/$B105)</f>
        <v>2.21821723474303E-2</v>
      </c>
      <c r="K111" s="13">
        <f>(ABS(($G111+0.1)*1000)/$C111)*($I111/IF(B104="",$B105,$B104))</f>
        <v>0.10567153306701713</v>
      </c>
      <c r="M111" s="1">
        <v>0.02</v>
      </c>
      <c r="N111" s="14">
        <f>O111/Q103</f>
        <v>18.009129861342764</v>
      </c>
      <c r="O111" s="1">
        <f>B106*M111</f>
        <v>5654.8667764616284</v>
      </c>
      <c r="P111" s="1" t="str">
        <f>IF(Q103=490, "D25",IF(Q103=314,"D20","D16"))</f>
        <v>D20</v>
      </c>
    </row>
    <row r="112" spans="1:17" x14ac:dyDescent="0.3">
      <c r="C112" s="1">
        <v>85.67</v>
      </c>
      <c r="D112" s="1">
        <v>-142.30000000000001</v>
      </c>
      <c r="E112" s="1">
        <v>-8.9700000000000006</v>
      </c>
      <c r="F112" s="1">
        <v>-28.71</v>
      </c>
      <c r="G112" s="4">
        <v>324.94</v>
      </c>
      <c r="I112" s="13">
        <f>($C112*1000/$B$3)/$B106/$B$1</f>
        <v>1.5740033448407128E-2</v>
      </c>
      <c r="J112" s="13">
        <f>(ABS(($F112+0.1)*1000)/$C112)*($I112/$B105)</f>
        <v>8.7607944624514197E-3</v>
      </c>
      <c r="K112" s="13">
        <f>(ABS(($G112+0.1)*1000)/$C112)*($I112/IF(B104="",$B105,$B104))</f>
        <v>9.9531934011716519E-2</v>
      </c>
      <c r="N112" s="14">
        <f>O112/Q103</f>
        <v>0</v>
      </c>
      <c r="O112" s="1">
        <f>B106*M112</f>
        <v>0</v>
      </c>
      <c r="P112" s="1" t="str">
        <f>IF(Q103=490, "D25",IF(Q103=314,"D20","D16"))</f>
        <v>D20</v>
      </c>
    </row>
    <row r="114" spans="1:11" x14ac:dyDescent="0.3">
      <c r="B114" s="19" t="s">
        <v>19</v>
      </c>
      <c r="C114" s="1" t="s">
        <v>20</v>
      </c>
      <c r="D114" s="1" t="s">
        <v>35</v>
      </c>
      <c r="E114" s="1" t="s">
        <v>36</v>
      </c>
      <c r="F114" s="1" t="s">
        <v>23</v>
      </c>
      <c r="G114" s="1" t="s">
        <v>24</v>
      </c>
    </row>
    <row r="115" spans="1:11" x14ac:dyDescent="0.3">
      <c r="A115" s="20"/>
      <c r="B115" s="18" t="s">
        <v>53</v>
      </c>
      <c r="C115" s="4">
        <v>78.959999999999994</v>
      </c>
      <c r="D115" s="1">
        <v>-127.76</v>
      </c>
      <c r="E115" s="1">
        <v>0</v>
      </c>
      <c r="F115" s="1">
        <v>-128.04</v>
      </c>
      <c r="G115" s="1">
        <v>0</v>
      </c>
      <c r="I115" s="13">
        <f>($C115*1000/$B$3)/$B118/$B$1</f>
        <v>8.5454545454545453E-3</v>
      </c>
      <c r="J115" s="13">
        <f>(ABS(($F115+0.1)*1000)/$C115)*($I115/$B117)</f>
        <v>1.7307900432900435E-2</v>
      </c>
      <c r="K115" s="13">
        <f>(ABS(($G115+0.1)*1000)/$C115)*($I115/IF(B116="",$B117,$B116))</f>
        <v>1.8037518037518038E-5</v>
      </c>
    </row>
    <row r="116" spans="1:11" x14ac:dyDescent="0.3">
      <c r="A116" s="5" t="s">
        <v>41</v>
      </c>
      <c r="B116" s="21">
        <v>600</v>
      </c>
      <c r="C116" s="4">
        <v>5050.8900000000003</v>
      </c>
      <c r="D116" s="1">
        <v>0</v>
      </c>
      <c r="E116" s="1">
        <v>29.26</v>
      </c>
      <c r="F116" s="1">
        <v>0</v>
      </c>
      <c r="G116" s="1">
        <v>0</v>
      </c>
      <c r="I116" s="13">
        <f>($C116*1000/$B$3)/$B118/$B$1</f>
        <v>0.54663311688311689</v>
      </c>
      <c r="J116" s="13">
        <f>(ABS(($F116+0.1)*1000)/$C116)*($I116/$B117)</f>
        <v>1.3528138528138528E-5</v>
      </c>
      <c r="K116" s="13">
        <f>(ABS(($G116+0.1)*1000)/$C116)*($I116/IF(B116="",$B117,$B116))</f>
        <v>1.8037518037518038E-5</v>
      </c>
    </row>
    <row r="117" spans="1:11" x14ac:dyDescent="0.3">
      <c r="A117" s="5" t="s">
        <v>43</v>
      </c>
      <c r="B117" s="21">
        <v>800</v>
      </c>
      <c r="C117" s="1">
        <v>1449.27</v>
      </c>
      <c r="D117" s="4">
        <v>-215.59</v>
      </c>
      <c r="E117" s="1">
        <v>-166.74</v>
      </c>
      <c r="F117" s="1">
        <v>-340.77</v>
      </c>
      <c r="G117" s="1">
        <v>-333.6</v>
      </c>
      <c r="I117" s="13">
        <f>($C117*1000/$B$3)/$B118/$B$1</f>
        <v>0.1568474025974026</v>
      </c>
      <c r="J117" s="13">
        <f>(ABS(($F117+0.1)*1000)/$C117)*($I117/$B117)</f>
        <v>4.6086309523809516E-2</v>
      </c>
      <c r="K117" s="13">
        <f>(ABS(($G117+0.1)*1000)/$C117)*($I117/IF(B116="",$B117,$B116))</f>
        <v>6.0155122655122656E-2</v>
      </c>
    </row>
    <row r="118" spans="1:11" x14ac:dyDescent="0.3">
      <c r="A118" s="5" t="s">
        <v>44</v>
      </c>
      <c r="B118" s="22">
        <f>IF(B116="",(0.25*PI()*B117^2),B116*B117)</f>
        <v>480000</v>
      </c>
      <c r="C118" s="1">
        <v>2066.16</v>
      </c>
      <c r="D118" s="4">
        <v>163.29</v>
      </c>
      <c r="E118" s="1">
        <v>74.14</v>
      </c>
      <c r="F118" s="1">
        <v>159.13999999999999</v>
      </c>
      <c r="G118" s="1">
        <v>435.96</v>
      </c>
      <c r="I118" s="13">
        <f>($C118*1000/$B$3)/$B118/$B$1</f>
        <v>0.22361038961038959</v>
      </c>
      <c r="J118" s="13">
        <f>(ABS(($F118+0.1)*1000)/$C118)*($I118/$B117)</f>
        <v>2.154220779220779E-2</v>
      </c>
      <c r="K118" s="13">
        <f>(ABS(($G118+0.1)*1000)/$C118)*($I118/IF(B116="",$B117,$B116))</f>
        <v>7.8654401154401157E-2</v>
      </c>
    </row>
    <row r="119" spans="1:11" x14ac:dyDescent="0.3">
      <c r="B119" s="19"/>
      <c r="C119" s="1">
        <v>778.66</v>
      </c>
      <c r="D119" s="1">
        <v>-204.85</v>
      </c>
      <c r="E119" s="4">
        <v>-179.64</v>
      </c>
      <c r="F119" s="1">
        <v>-337.69</v>
      </c>
      <c r="G119" s="1">
        <v>-307.56</v>
      </c>
      <c r="I119" s="13">
        <f>($C119*1000/$B$3)/$B118/$B$1</f>
        <v>8.4270562770562774E-2</v>
      </c>
      <c r="J119" s="13">
        <f>(ABS(($F119+0.1)*1000)/$C119)*($I119/$B117)</f>
        <v>4.566964285714286E-2</v>
      </c>
      <c r="K119" s="13">
        <f>(ABS(($G119+0.1)*1000)/$C119)*($I119/IF(B116="",$B117,$B116))</f>
        <v>5.5458152958152956E-2</v>
      </c>
    </row>
    <row r="120" spans="1:11" x14ac:dyDescent="0.3">
      <c r="B120" s="19"/>
      <c r="C120" s="1">
        <v>976.82</v>
      </c>
      <c r="D120" s="1">
        <v>92.11</v>
      </c>
      <c r="E120" s="4">
        <v>98.31</v>
      </c>
      <c r="F120" s="1">
        <v>196.9</v>
      </c>
      <c r="G120" s="1">
        <v>239.98</v>
      </c>
      <c r="I120" s="13">
        <f>($C120*1000/$B$3)/$B118/$B$1</f>
        <v>0.10571645021645022</v>
      </c>
      <c r="J120" s="13">
        <f>(ABS(($F120+0.1)*1000)/$C120)*($I120/$B117)</f>
        <v>2.6650432900432904E-2</v>
      </c>
      <c r="K120" s="13">
        <f>(ABS(($G120+0.1)*1000)/$C120)*($I120/IF(B116="",$B117,$B116))</f>
        <v>4.3304473304473304E-2</v>
      </c>
    </row>
    <row r="121" spans="1:11" x14ac:dyDescent="0.3">
      <c r="B121" s="19"/>
      <c r="C121" s="1">
        <v>2132.27</v>
      </c>
      <c r="D121" s="1">
        <v>-145.62</v>
      </c>
      <c r="E121" s="1">
        <v>-128.81</v>
      </c>
      <c r="F121" s="4">
        <v>-343.44</v>
      </c>
      <c r="G121" s="1">
        <v>-278.19</v>
      </c>
      <c r="I121" s="13">
        <f>($C121*1000/$B$3)/$B118/$B$1</f>
        <v>0.23076515151515151</v>
      </c>
      <c r="J121" s="13">
        <f>(ABS(($F121+0.1)*1000)/$C121)*($I121/$B117)</f>
        <v>4.6447510822510828E-2</v>
      </c>
      <c r="K121" s="13">
        <f>(ABS(($G121+0.1)*1000)/$C121)*($I121/IF(B116="",$B117,$B116))</f>
        <v>5.0160533910533905E-2</v>
      </c>
    </row>
    <row r="122" spans="1:11" x14ac:dyDescent="0.3">
      <c r="B122" s="19"/>
      <c r="C122" s="1">
        <v>1249.01</v>
      </c>
      <c r="D122" s="1">
        <v>116.44</v>
      </c>
      <c r="E122" s="1">
        <v>-0.51</v>
      </c>
      <c r="F122" s="4">
        <v>401.15</v>
      </c>
      <c r="G122" s="1">
        <v>254.8</v>
      </c>
      <c r="I122" s="13">
        <f>($C122*1000/$B$3)/$B118/$B$1</f>
        <v>0.13517424242424242</v>
      </c>
      <c r="J122" s="13">
        <f>(ABS(($F122+0.1)*1000)/$C122)*($I122/$B117)</f>
        <v>5.4281655844155841E-2</v>
      </c>
      <c r="K122" s="13">
        <f>(ABS(($G122+0.1)*1000)/$C122)*($I122/IF(B116="",$B117,$B116))</f>
        <v>4.5977633477633478E-2</v>
      </c>
    </row>
    <row r="123" spans="1:11" x14ac:dyDescent="0.3">
      <c r="B123" s="19"/>
      <c r="C123" s="1">
        <v>1408.47</v>
      </c>
      <c r="D123" s="1">
        <v>-215.59</v>
      </c>
      <c r="E123" s="1">
        <v>-166.74</v>
      </c>
      <c r="F123" s="1">
        <v>-137.57</v>
      </c>
      <c r="G123" s="4">
        <v>-426.6</v>
      </c>
      <c r="I123" s="13">
        <f>($C123*1000/$B$3)/$B118/$B$1</f>
        <v>0.1524318181818182</v>
      </c>
      <c r="J123" s="13">
        <f>(ABS(($F123+0.1)*1000)/$C123)*($I123/$B117)</f>
        <v>1.8597132034632036E-2</v>
      </c>
      <c r="K123" s="13">
        <f>(ABS(($G123+0.1)*1000)/$C123)*($I123/IF(B116="",$B117,$B116))</f>
        <v>7.6930014430014446E-2</v>
      </c>
    </row>
    <row r="124" spans="1:11" x14ac:dyDescent="0.3">
      <c r="B124" s="19"/>
      <c r="C124" s="1">
        <v>2066.16</v>
      </c>
      <c r="D124" s="1">
        <v>163.29</v>
      </c>
      <c r="E124" s="1">
        <v>74.14</v>
      </c>
      <c r="F124" s="1">
        <v>159.13999999999999</v>
      </c>
      <c r="G124" s="4">
        <v>435.96</v>
      </c>
      <c r="I124" s="13">
        <f>($C124*1000/$B$3)/$B118/$B$1</f>
        <v>0.22361038961038959</v>
      </c>
      <c r="J124" s="13">
        <f>(ABS(($F124+0.1)*1000)/$C124)*($I124/$B117)</f>
        <v>2.154220779220779E-2</v>
      </c>
      <c r="K124" s="13">
        <f>(ABS(($G124+0.1)*1000)/$C124)*($I124/IF(B116="",$B117,$B116))</f>
        <v>7.8654401154401157E-2</v>
      </c>
    </row>
    <row r="125" spans="1:11" x14ac:dyDescent="0.3">
      <c r="B125" s="19"/>
    </row>
    <row r="126" spans="1:11" x14ac:dyDescent="0.3">
      <c r="B126" s="19" t="s">
        <v>19</v>
      </c>
      <c r="C126" s="1" t="s">
        <v>20</v>
      </c>
      <c r="D126" s="1" t="s">
        <v>35</v>
      </c>
      <c r="E126" s="1" t="s">
        <v>36</v>
      </c>
      <c r="F126" s="1" t="s">
        <v>23</v>
      </c>
      <c r="G126" s="1" t="s">
        <v>24</v>
      </c>
    </row>
    <row r="127" spans="1:11" x14ac:dyDescent="0.3">
      <c r="A127" s="20"/>
      <c r="B127" s="18" t="s">
        <v>54</v>
      </c>
      <c r="C127" s="4">
        <v>60.84</v>
      </c>
      <c r="D127" s="1">
        <v>-50.22</v>
      </c>
      <c r="E127" s="1">
        <v>0</v>
      </c>
      <c r="F127" s="1">
        <v>-92.82</v>
      </c>
      <c r="G127" s="1">
        <v>0</v>
      </c>
      <c r="I127" s="13">
        <f>($C127*1000/$B$3)/$B130/$B$1</f>
        <v>6.5844155844155859E-3</v>
      </c>
      <c r="J127" s="13">
        <f>(ABS(($F127+0.1)*1000)/$C127)*($I127/$B129)</f>
        <v>1.2543290043290046E-2</v>
      </c>
      <c r="K127" s="13">
        <f>(ABS(($G127+0.1)*1000)/$C127)*($I127/IF(B128="",$B129,$B128))</f>
        <v>1.8037518037518041E-5</v>
      </c>
    </row>
    <row r="128" spans="1:11" x14ac:dyDescent="0.3">
      <c r="A128" s="5" t="s">
        <v>41</v>
      </c>
      <c r="B128" s="21">
        <v>600</v>
      </c>
      <c r="C128" s="4">
        <v>3991.53</v>
      </c>
      <c r="D128" s="1">
        <v>0</v>
      </c>
      <c r="E128" s="1">
        <v>2.06</v>
      </c>
      <c r="F128" s="1">
        <v>0</v>
      </c>
      <c r="G128" s="1">
        <v>0</v>
      </c>
      <c r="I128" s="13">
        <f>($C128*1000/$B$3)/$B130/$B$1</f>
        <v>0.43198376623376622</v>
      </c>
      <c r="J128" s="13">
        <f>(ABS(($F128+0.1)*1000)/$C128)*($I128/$B129)</f>
        <v>1.3528138528138526E-5</v>
      </c>
      <c r="K128" s="13">
        <f>(ABS(($G128+0.1)*1000)/$C128)*($I128/IF(B128="",$B129,$B128))</f>
        <v>1.8037518037518034E-5</v>
      </c>
    </row>
    <row r="129" spans="1:11" x14ac:dyDescent="0.3">
      <c r="A129" s="5" t="s">
        <v>43</v>
      </c>
      <c r="B129" s="21">
        <v>800</v>
      </c>
      <c r="C129" s="1">
        <v>960.44</v>
      </c>
      <c r="D129" s="4">
        <v>-127.82</v>
      </c>
      <c r="E129" s="1">
        <v>-75.83</v>
      </c>
      <c r="F129" s="1">
        <v>-157.97999999999999</v>
      </c>
      <c r="G129" s="1">
        <v>-206.47</v>
      </c>
      <c r="I129" s="13">
        <f>($C129*1000/$B$3)/$B130/$B$1</f>
        <v>0.10394372294372295</v>
      </c>
      <c r="J129" s="13">
        <f>(ABS(($F129+0.1)*1000)/$C129)*($I129/$B129)</f>
        <v>2.1358225108225107E-2</v>
      </c>
      <c r="K129" s="13">
        <f>(ABS(($G129+0.1)*1000)/$C129)*($I129/IF(B128="",$B129,$B128))</f>
        <v>3.7224025974025979E-2</v>
      </c>
    </row>
    <row r="130" spans="1:11" x14ac:dyDescent="0.3">
      <c r="A130" s="5" t="s">
        <v>44</v>
      </c>
      <c r="B130" s="22">
        <f>IF(B128="",(0.25*PI()*B129^2),B128*B129)</f>
        <v>480000</v>
      </c>
      <c r="C130" s="1">
        <v>1641.16</v>
      </c>
      <c r="D130" s="4">
        <v>117.88</v>
      </c>
      <c r="E130" s="1">
        <v>40.299999999999997</v>
      </c>
      <c r="F130" s="1">
        <v>78.489999999999995</v>
      </c>
      <c r="G130" s="1">
        <v>223.17</v>
      </c>
      <c r="I130" s="13">
        <f>($C130*1000/$B$3)/$B130/$B$1</f>
        <v>0.17761471861471864</v>
      </c>
      <c r="J130" s="13">
        <f>(ABS(($F130+0.1)*1000)/$C130)*($I130/$B129)</f>
        <v>1.0631764069264069E-2</v>
      </c>
      <c r="K130" s="13">
        <f>(ABS(($G130+0.1)*1000)/$C130)*($I130/IF(B128="",$B129,$B128))</f>
        <v>4.0272366522366522E-2</v>
      </c>
    </row>
    <row r="131" spans="1:11" x14ac:dyDescent="0.3">
      <c r="B131" s="19"/>
      <c r="C131" s="1">
        <v>530.76</v>
      </c>
      <c r="D131" s="1">
        <v>-94.73</v>
      </c>
      <c r="E131" s="4">
        <v>-97.42</v>
      </c>
      <c r="F131" s="1">
        <v>-145.72999999999999</v>
      </c>
      <c r="G131" s="1">
        <v>-202.73</v>
      </c>
      <c r="I131" s="13">
        <f>($C131*1000/$B$3)/$B130/$B$1</f>
        <v>5.7441558441558446E-2</v>
      </c>
      <c r="J131" s="13">
        <f>(ABS(($F131+0.1)*1000)/$C131)*($I131/$B129)</f>
        <v>1.9701028138528143E-2</v>
      </c>
      <c r="K131" s="13">
        <f>(ABS(($G131+0.1)*1000)/$C131)*($I131/IF(B128="",$B129,$B128))</f>
        <v>3.6549422799422804E-2</v>
      </c>
    </row>
    <row r="132" spans="1:11" x14ac:dyDescent="0.3">
      <c r="B132" s="19"/>
      <c r="C132" s="1">
        <v>185.46</v>
      </c>
      <c r="D132" s="1">
        <v>46.26</v>
      </c>
      <c r="E132" s="4">
        <v>102.17</v>
      </c>
      <c r="F132" s="1">
        <v>317.52</v>
      </c>
      <c r="G132" s="1">
        <v>114.04</v>
      </c>
      <c r="I132" s="13">
        <f>($C132*1000/$B$3)/$B130/$B$1</f>
        <v>2.0071428571428573E-2</v>
      </c>
      <c r="J132" s="13">
        <f>(ABS(($F132+0.1)*1000)/$C132)*($I132/$B129)</f>
        <v>4.2968073593073593E-2</v>
      </c>
      <c r="K132" s="13">
        <f>(ABS(($G132+0.1)*1000)/$C132)*($I132/IF(B128="",$B129,$B128))</f>
        <v>2.0588023088023086E-2</v>
      </c>
    </row>
    <row r="133" spans="1:11" x14ac:dyDescent="0.3">
      <c r="B133" s="19"/>
      <c r="C133" s="1">
        <v>1489.73</v>
      </c>
      <c r="D133" s="1">
        <v>-71.45</v>
      </c>
      <c r="E133" s="1">
        <v>-67.989999999999995</v>
      </c>
      <c r="F133" s="4">
        <v>-196.15</v>
      </c>
      <c r="G133" s="1">
        <v>-191.68</v>
      </c>
      <c r="I133" s="13">
        <f>($C133*1000/$B$3)/$B130/$B$1</f>
        <v>0.1612261904761905</v>
      </c>
      <c r="J133" s="13">
        <f>(ABS(($F133+0.1)*1000)/$C133)*($I133/$B129)</f>
        <v>2.6521915584415589E-2</v>
      </c>
      <c r="K133" s="13">
        <f>(ABS(($G133+0.1)*1000)/$C133)*($I133/IF(B128="",$B129,$B128))</f>
        <v>3.4556277056277063E-2</v>
      </c>
    </row>
    <row r="134" spans="1:11" x14ac:dyDescent="0.3">
      <c r="B134" s="19"/>
      <c r="C134" s="1">
        <v>185.46</v>
      </c>
      <c r="D134" s="1">
        <v>46.26</v>
      </c>
      <c r="E134" s="1">
        <v>102.17</v>
      </c>
      <c r="F134" s="4">
        <v>317.52</v>
      </c>
      <c r="G134" s="1">
        <v>114.04</v>
      </c>
      <c r="I134" s="13">
        <f>($C134*1000/$B$3)/$B130/$B$1</f>
        <v>2.0071428571428573E-2</v>
      </c>
      <c r="J134" s="13">
        <f>(ABS(($F134+0.1)*1000)/$C134)*($I134/$B129)</f>
        <v>4.2968073593073593E-2</v>
      </c>
      <c r="K134" s="13">
        <f>(ABS(($G134+0.1)*1000)/$C134)*($I134/IF(B128="",$B129,$B128))</f>
        <v>2.0588023088023086E-2</v>
      </c>
    </row>
    <row r="135" spans="1:11" x14ac:dyDescent="0.3">
      <c r="B135" s="19"/>
      <c r="C135" s="1">
        <v>500.73</v>
      </c>
      <c r="D135" s="1">
        <v>-119.84</v>
      </c>
      <c r="E135" s="1">
        <v>-88.83</v>
      </c>
      <c r="F135" s="1">
        <v>-105.72</v>
      </c>
      <c r="G135" s="4">
        <v>-259.79000000000002</v>
      </c>
      <c r="I135" s="13">
        <f>($C135*1000/$B$3)/$B130/$B$1</f>
        <v>5.4191558441558443E-2</v>
      </c>
      <c r="J135" s="13">
        <f>(ABS(($F135+0.1)*1000)/$C135)*($I135/$B129)</f>
        <v>1.4288419913419913E-2</v>
      </c>
      <c r="K135" s="13">
        <f>(ABS(($G135+0.1)*1000)/$C135)*($I135/IF(B128="",$B129,$B128))</f>
        <v>4.6841630591630587E-2</v>
      </c>
    </row>
    <row r="136" spans="1:11" x14ac:dyDescent="0.3">
      <c r="B136" s="19"/>
      <c r="C136" s="1">
        <v>1692.43</v>
      </c>
      <c r="D136" s="1">
        <v>99.99</v>
      </c>
      <c r="E136" s="1">
        <v>25.85</v>
      </c>
      <c r="F136" s="1">
        <v>60.7</v>
      </c>
      <c r="G136" s="4">
        <v>257.92</v>
      </c>
      <c r="I136" s="13">
        <f>($C136*1000/$B$3)/$B130/$B$1</f>
        <v>0.18316341991341994</v>
      </c>
      <c r="J136" s="13">
        <f>(ABS(($F136+0.1)*1000)/$C136)*($I136/$B129)</f>
        <v>8.225108225108229E-3</v>
      </c>
      <c r="K136" s="13">
        <f>(ABS(($G136+0.1)*1000)/$C136)*($I136/IF(B128="",$B129,$B128))</f>
        <v>4.6540404040404056E-2</v>
      </c>
    </row>
    <row r="137" spans="1:11" x14ac:dyDescent="0.3">
      <c r="B137" s="19"/>
    </row>
    <row r="138" spans="1:11" x14ac:dyDescent="0.3">
      <c r="B138" s="19" t="s">
        <v>19</v>
      </c>
      <c r="C138" s="1" t="s">
        <v>20</v>
      </c>
      <c r="D138" s="1" t="s">
        <v>35</v>
      </c>
      <c r="E138" s="1" t="s">
        <v>36</v>
      </c>
      <c r="F138" s="1" t="s">
        <v>23</v>
      </c>
      <c r="G138" s="1" t="s">
        <v>24</v>
      </c>
    </row>
    <row r="139" spans="1:11" x14ac:dyDescent="0.3">
      <c r="A139" s="20"/>
      <c r="B139" s="18" t="s">
        <v>55</v>
      </c>
      <c r="C139" s="4">
        <v>-3331.93</v>
      </c>
      <c r="D139" s="1">
        <v>-74.34</v>
      </c>
      <c r="E139" s="1">
        <v>0</v>
      </c>
      <c r="F139" s="1">
        <v>-45.13</v>
      </c>
      <c r="G139" s="1">
        <v>0</v>
      </c>
      <c r="I139" s="13">
        <f>($C139*1000/$B$3)/$B142/$B$1</f>
        <v>-0.36059848484848483</v>
      </c>
      <c r="J139" s="13">
        <f>(ABS(($F139+0.1)*1000)/$C139)*($I139/$B141)</f>
        <v>6.0917207792207792E-3</v>
      </c>
      <c r="K139" s="13">
        <f>(ABS(($G139+0.1)*1000)/$C139)*($I139/IF(B140="",$B141,$B140))</f>
        <v>1.8037518037518041E-5</v>
      </c>
    </row>
    <row r="140" spans="1:11" x14ac:dyDescent="0.3">
      <c r="A140" s="5" t="s">
        <v>41</v>
      </c>
      <c r="B140" s="21">
        <v>600</v>
      </c>
      <c r="C140" s="4">
        <v>4495.3900000000003</v>
      </c>
      <c r="D140" s="1">
        <v>0</v>
      </c>
      <c r="E140" s="1">
        <v>27.68</v>
      </c>
      <c r="F140" s="1">
        <v>0</v>
      </c>
      <c r="G140" s="1">
        <v>40.07</v>
      </c>
      <c r="I140" s="13">
        <f>($C140*1000/$B$3)/$B142/$B$1</f>
        <v>0.48651406926406926</v>
      </c>
      <c r="J140" s="13">
        <f>(ABS(($F140+0.1)*1000)/$C140)*($I140/$B141)</f>
        <v>1.3528138528138526E-5</v>
      </c>
      <c r="K140" s="13">
        <f>(ABS(($G140+0.1)*1000)/$C140)*($I140/IF(B140="",$B141,$B140))</f>
        <v>7.2456709956709954E-3</v>
      </c>
    </row>
    <row r="141" spans="1:11" x14ac:dyDescent="0.3">
      <c r="A141" s="5" t="s">
        <v>43</v>
      </c>
      <c r="B141" s="21">
        <v>800</v>
      </c>
      <c r="C141" s="1">
        <v>-247.45</v>
      </c>
      <c r="D141" s="4">
        <v>-497.84</v>
      </c>
      <c r="E141" s="1">
        <v>-27.68</v>
      </c>
      <c r="F141" s="1">
        <v>-160.19999999999999</v>
      </c>
      <c r="G141" s="1">
        <v>-241.58</v>
      </c>
      <c r="I141" s="13">
        <f>($C141*1000/$B$3)/$B142/$B$1</f>
        <v>-2.6780303030303029E-2</v>
      </c>
      <c r="J141" s="13">
        <f>(ABS(($F141+0.1)*1000)/$C141)*($I141/$B141)</f>
        <v>2.1658549783549787E-2</v>
      </c>
      <c r="K141" s="13">
        <f>(ABS(($G141+0.1)*1000)/$C141)*($I141/IF(B140="",$B141,$B140))</f>
        <v>4.3556998556998565E-2</v>
      </c>
    </row>
    <row r="142" spans="1:11" x14ac:dyDescent="0.3">
      <c r="A142" s="5" t="s">
        <v>44</v>
      </c>
      <c r="B142" s="22">
        <f>IF(B140="",(0.25*PI()*B141^2),B140*B141)</f>
        <v>480000</v>
      </c>
      <c r="C142" s="1">
        <v>1229.5</v>
      </c>
      <c r="D142" s="4">
        <v>336.25</v>
      </c>
      <c r="E142" s="1">
        <v>19.47</v>
      </c>
      <c r="F142" s="1">
        <v>26.52</v>
      </c>
      <c r="G142" s="1">
        <v>-39.68</v>
      </c>
      <c r="I142" s="13">
        <f>($C142*1000/$B$3)/$B142/$B$1</f>
        <v>0.13306277056277058</v>
      </c>
      <c r="J142" s="13">
        <f>(ABS(($F142+0.1)*1000)/$C142)*($I142/$B141)</f>
        <v>3.6011904761904766E-3</v>
      </c>
      <c r="K142" s="13">
        <f>(ABS(($G142+0.1)*1000)/$C142)*($I142/IF(B140="",$B141,$B140))</f>
        <v>7.1392496392496405E-3</v>
      </c>
    </row>
    <row r="143" spans="1:11" x14ac:dyDescent="0.3">
      <c r="B143" s="19"/>
      <c r="C143" s="1">
        <v>-301.31</v>
      </c>
      <c r="D143" s="1">
        <v>-43.87</v>
      </c>
      <c r="E143" s="4">
        <v>-816.88</v>
      </c>
      <c r="F143" s="1">
        <v>-186.64</v>
      </c>
      <c r="G143" s="1">
        <v>-5.0999999999999996</v>
      </c>
      <c r="I143" s="13">
        <f>($C143*1000/$B$3)/$B142/$B$1</f>
        <v>-3.2609307359307359E-2</v>
      </c>
      <c r="J143" s="13">
        <f>(ABS(($F143+0.1)*1000)/$C143)*($I143/$B141)</f>
        <v>2.5235389610389607E-2</v>
      </c>
      <c r="K143" s="13">
        <f>(ABS(($G143+0.1)*1000)/$C143)*($I143/IF(B140="",$B141,$B140))</f>
        <v>9.0187590187590188E-4</v>
      </c>
    </row>
    <row r="144" spans="1:11" x14ac:dyDescent="0.3">
      <c r="B144" s="19"/>
      <c r="C144" s="1">
        <v>1089.1400000000001</v>
      </c>
      <c r="D144" s="1">
        <v>31.06</v>
      </c>
      <c r="E144" s="4">
        <v>624.41</v>
      </c>
      <c r="F144" s="1">
        <v>9.5500000000000007</v>
      </c>
      <c r="G144" s="1">
        <v>13.96</v>
      </c>
      <c r="I144" s="13">
        <f>($C144*1000/$B$3)/$B142/$B$1</f>
        <v>0.11787229437229438</v>
      </c>
      <c r="J144" s="13">
        <f>(ABS(($F144+0.1)*1000)/$C144)*($I144/$B141)</f>
        <v>1.305465367965368E-3</v>
      </c>
      <c r="K144" s="13">
        <f>(ABS(($G144+0.1)*1000)/$C144)*($I144/IF(B140="",$B141,$B140))</f>
        <v>2.5360750360750362E-3</v>
      </c>
    </row>
    <row r="145" spans="1:14" x14ac:dyDescent="0.3">
      <c r="B145" s="19"/>
      <c r="C145" s="1">
        <v>-20.68</v>
      </c>
      <c r="D145" s="1">
        <v>-36.880000000000003</v>
      </c>
      <c r="E145" s="1">
        <v>-571.54</v>
      </c>
      <c r="F145" s="4">
        <v>-266.88</v>
      </c>
      <c r="G145" s="1">
        <v>-11.8</v>
      </c>
      <c r="I145" s="13">
        <f>($C145*1000/$B$3)/$B142/$B$1</f>
        <v>-2.2380952380952382E-3</v>
      </c>
      <c r="J145" s="13">
        <f>(ABS(($F145+0.1)*1000)/$C145)*($I145/$B141)</f>
        <v>3.6090367965367971E-2</v>
      </c>
      <c r="K145" s="13">
        <f>(ABS(($G145+0.1)*1000)/$C145)*($I145/IF(B140="",$B141,$B140))</f>
        <v>2.1103896103896111E-3</v>
      </c>
    </row>
    <row r="146" spans="1:14" x14ac:dyDescent="0.3">
      <c r="B146" s="19"/>
      <c r="C146" s="1">
        <v>406.41</v>
      </c>
      <c r="D146" s="1">
        <v>0.31</v>
      </c>
      <c r="E146" s="1">
        <v>-88.82</v>
      </c>
      <c r="F146" s="4">
        <v>232.8</v>
      </c>
      <c r="G146" s="1">
        <v>-2.41</v>
      </c>
      <c r="I146" s="13">
        <f>($C146*1000/$B$3)/$B142/$B$1</f>
        <v>4.3983766233766236E-2</v>
      </c>
      <c r="J146" s="13">
        <f>(ABS(($F146+0.1)*1000)/$C146)*($I146/$B141)</f>
        <v>3.1507034632034629E-2</v>
      </c>
      <c r="K146" s="13">
        <f>(ABS(($G146+0.1)*1000)/$C146)*($I146/IF(B140="",$B141,$B140))</f>
        <v>4.1666666666666664E-4</v>
      </c>
    </row>
    <row r="147" spans="1:14" x14ac:dyDescent="0.3">
      <c r="B147" s="19"/>
      <c r="C147" s="1">
        <v>-84.9</v>
      </c>
      <c r="D147" s="1">
        <v>-441.72</v>
      </c>
      <c r="E147" s="1">
        <v>-18.059999999999999</v>
      </c>
      <c r="F147" s="1">
        <v>-169.06</v>
      </c>
      <c r="G147" s="4">
        <v>-268.08</v>
      </c>
      <c r="I147" s="13">
        <f>($C147*1000/$B$3)/$B142/$B$1</f>
        <v>-9.1883116883116882E-3</v>
      </c>
      <c r="J147" s="13">
        <f>(ABS(($F147+0.1)*1000)/$C147)*($I147/$B141)</f>
        <v>2.2857142857142857E-2</v>
      </c>
      <c r="K147" s="13">
        <f>(ABS(($G147+0.1)*1000)/$C147)*($I147/IF(B140="",$B141,$B140))</f>
        <v>4.8336940836940831E-2</v>
      </c>
    </row>
    <row r="148" spans="1:14" x14ac:dyDescent="0.3">
      <c r="B148" s="19"/>
      <c r="C148" s="1">
        <v>2061.56</v>
      </c>
      <c r="D148" s="1">
        <v>135.43</v>
      </c>
      <c r="E148" s="1">
        <v>150.47</v>
      </c>
      <c r="F148" s="1">
        <v>146.31</v>
      </c>
      <c r="G148" s="4">
        <v>175.29</v>
      </c>
      <c r="I148" s="13">
        <f>($C148*1000/$B$3)/$B142/$B$1</f>
        <v>0.22311255411255415</v>
      </c>
      <c r="J148" s="13">
        <f>(ABS(($F148+0.1)*1000)/$C148)*($I148/$B141)</f>
        <v>1.9806547619047623E-2</v>
      </c>
      <c r="K148" s="13">
        <f>(ABS(($G148+0.1)*1000)/$C148)*($I148/IF(B140="",$B141,$B140))</f>
        <v>3.1636002886002892E-2</v>
      </c>
    </row>
    <row r="149" spans="1:14" x14ac:dyDescent="0.3">
      <c r="B149" s="19"/>
    </row>
    <row r="150" spans="1:14" x14ac:dyDescent="0.3">
      <c r="B150" s="19" t="s">
        <v>19</v>
      </c>
      <c r="C150" s="23" t="s">
        <v>20</v>
      </c>
      <c r="D150" s="23" t="s">
        <v>35</v>
      </c>
      <c r="E150" s="23" t="s">
        <v>36</v>
      </c>
      <c r="F150" s="23" t="s">
        <v>23</v>
      </c>
      <c r="G150" s="23" t="s">
        <v>24</v>
      </c>
    </row>
    <row r="151" spans="1:14" x14ac:dyDescent="0.3">
      <c r="A151" s="20"/>
      <c r="B151" s="18" t="s">
        <v>56</v>
      </c>
      <c r="C151" s="24">
        <v>54.92</v>
      </c>
      <c r="D151" s="25">
        <v>-114.21</v>
      </c>
      <c r="E151" s="25">
        <v>0</v>
      </c>
      <c r="F151" s="25">
        <v>244.66</v>
      </c>
      <c r="G151" s="25">
        <v>0</v>
      </c>
      <c r="I151" s="13">
        <f>($C151*1000/$B$3)/$B154/$B$1</f>
        <v>5.9437229437229438E-3</v>
      </c>
      <c r="J151" s="13">
        <f>(ABS(($F151+0.1)*1000)/$C151)*($I151/$B153)</f>
        <v>3.3111471861471856E-2</v>
      </c>
      <c r="K151" s="13">
        <f>(ABS(($G151+0.1)*1000)/$C151)*($I151/IF(B152="",$B153,$B152))</f>
        <v>1.8037518037518038E-5</v>
      </c>
    </row>
    <row r="152" spans="1:14" x14ac:dyDescent="0.3">
      <c r="A152" s="5" t="s">
        <v>41</v>
      </c>
      <c r="B152" s="21">
        <v>600</v>
      </c>
      <c r="C152" s="24">
        <v>8581.99</v>
      </c>
      <c r="D152" s="25">
        <v>0</v>
      </c>
      <c r="E152" s="25">
        <v>-19.86</v>
      </c>
      <c r="F152" s="25">
        <v>0</v>
      </c>
      <c r="G152" s="25">
        <v>0</v>
      </c>
      <c r="I152" s="13">
        <f>($C152*1000/$B$3)/$B154/$B$1</f>
        <v>0.92878679653679652</v>
      </c>
      <c r="J152" s="13">
        <f>(ABS(($F152+0.1)*1000)/$C152)*($I152/$B153)</f>
        <v>1.3528138528138526E-5</v>
      </c>
      <c r="K152" s="13">
        <f>(ABS(($G152+0.1)*1000)/$C152)*($I152/IF(B152="",$B153,$B152))</f>
        <v>1.8037518037518038E-5</v>
      </c>
      <c r="M152" s="1">
        <v>0.01</v>
      </c>
    </row>
    <row r="153" spans="1:14" x14ac:dyDescent="0.3">
      <c r="A153" s="5" t="s">
        <v>43</v>
      </c>
      <c r="B153" s="21">
        <v>800</v>
      </c>
      <c r="C153" s="25">
        <v>1474.73</v>
      </c>
      <c r="D153" s="24">
        <v>-154.47999999999999</v>
      </c>
      <c r="E153" s="25">
        <v>-195.82</v>
      </c>
      <c r="F153" s="25">
        <v>220.16</v>
      </c>
      <c r="G153" s="25">
        <v>-661.63</v>
      </c>
      <c r="I153" s="13">
        <f>($C153*1000/$B$3)/$B154/$B$1</f>
        <v>0.15960281385281389</v>
      </c>
      <c r="J153" s="13">
        <f>(ABS(($F153+0.1)*1000)/$C153)*($I153/$B153)</f>
        <v>2.979707792207793E-2</v>
      </c>
      <c r="K153" s="13">
        <f>(ABS(($G153+0.1)*1000)/$C153)*($I153/IF(B152="",$B153,$B152))</f>
        <v>0.11932359307359308</v>
      </c>
      <c r="M153" s="1">
        <v>1.4999999999999999E-2</v>
      </c>
    </row>
    <row r="154" spans="1:14" x14ac:dyDescent="0.3">
      <c r="A154" s="5" t="s">
        <v>44</v>
      </c>
      <c r="B154" s="22">
        <f>IF(B152="",(0.25*PI()*B153^2),B152*B153)</f>
        <v>480000</v>
      </c>
      <c r="C154" s="25">
        <v>1611.15</v>
      </c>
      <c r="D154" s="24">
        <v>410.29</v>
      </c>
      <c r="E154" s="25">
        <v>79.19</v>
      </c>
      <c r="F154" s="25">
        <v>-493.38</v>
      </c>
      <c r="G154" s="25">
        <v>113.38</v>
      </c>
      <c r="I154" s="13">
        <f>($C154*1000/$B$3)/$B154/$B$1</f>
        <v>0.17436688311688311</v>
      </c>
      <c r="J154" s="13">
        <f>(ABS(($F154+0.1)*1000)/$C154)*($I154/$B153)</f>
        <v>6.6731601731601725E-2</v>
      </c>
      <c r="K154" s="13">
        <f>(ABS(($G154+0.1)*1000)/$C154)*($I154/IF(B152="",$B153,$B152))</f>
        <v>2.0468975468975466E-2</v>
      </c>
      <c r="M154" s="1">
        <v>0.01</v>
      </c>
    </row>
    <row r="155" spans="1:14" x14ac:dyDescent="0.3">
      <c r="B155" s="19"/>
      <c r="C155" s="25">
        <v>1109.54</v>
      </c>
      <c r="D155" s="25">
        <v>-99.84</v>
      </c>
      <c r="E155" s="24">
        <v>-229.7</v>
      </c>
      <c r="F155" s="25">
        <v>191.35</v>
      </c>
      <c r="G155" s="25">
        <v>-708.71</v>
      </c>
      <c r="I155" s="13">
        <f>($C155*1000/$B$3)/$B154/$B$1</f>
        <v>0.12008008658008658</v>
      </c>
      <c r="J155" s="13">
        <f>(ABS(($F155+0.1)*1000)/$C155)*($I155/$B153)</f>
        <v>2.5899621212121211E-2</v>
      </c>
      <c r="K155" s="13">
        <f>(ABS(($G155+0.1)*1000)/$C155)*($I155/IF(B152="",$B153,$B152))</f>
        <v>0.12781565656565658</v>
      </c>
    </row>
    <row r="156" spans="1:14" x14ac:dyDescent="0.3">
      <c r="B156" s="19"/>
      <c r="C156" s="25">
        <v>1331.95</v>
      </c>
      <c r="D156" s="25">
        <v>380.31</v>
      </c>
      <c r="E156" s="24">
        <v>97.69</v>
      </c>
      <c r="F156" s="25">
        <v>-456.93</v>
      </c>
      <c r="G156" s="25">
        <v>171.25</v>
      </c>
      <c r="I156" s="13">
        <f>($C156*1000/$B$3)/$B154/$B$1</f>
        <v>0.14415043290043289</v>
      </c>
      <c r="J156" s="13">
        <f>(ABS(($F156+0.1)*1000)/$C156)*($I156/$B153)</f>
        <v>6.1800595238095231E-2</v>
      </c>
      <c r="K156" s="13">
        <f>(ABS(($G156+0.1)*1000)/$C156)*($I156/IF(B152="",$B153,$B152))</f>
        <v>3.0907287157287151E-2</v>
      </c>
    </row>
    <row r="157" spans="1:14" x14ac:dyDescent="0.3">
      <c r="B157" s="19"/>
      <c r="C157" s="25">
        <v>4234.74</v>
      </c>
      <c r="D157" s="25">
        <v>308.07</v>
      </c>
      <c r="E157" s="25">
        <v>49.94</v>
      </c>
      <c r="F157" s="24">
        <v>-545.14</v>
      </c>
      <c r="G157" s="25">
        <v>128.65</v>
      </c>
      <c r="I157" s="13">
        <f>($C157*1000/$B$3)/$B154/$B$1</f>
        <v>0.45830519480519483</v>
      </c>
      <c r="J157" s="13">
        <f>(ABS(($F157+0.1)*1000)/$C157)*($I157/$B153)</f>
        <v>7.3733766233766235E-2</v>
      </c>
      <c r="K157" s="13">
        <f>(ABS(($G157+0.1)*1000)/$C157)*($I157/IF(B152="",$B153,$B152))</f>
        <v>2.3223304473304476E-2</v>
      </c>
    </row>
    <row r="158" spans="1:14" x14ac:dyDescent="0.3">
      <c r="B158" s="19"/>
      <c r="C158" s="25">
        <v>1064.21</v>
      </c>
      <c r="D158" s="25">
        <v>-99.84</v>
      </c>
      <c r="E158" s="25">
        <v>-229.7</v>
      </c>
      <c r="F158" s="24">
        <v>478.99</v>
      </c>
      <c r="G158" s="25">
        <v>-203.47</v>
      </c>
      <c r="I158" s="13">
        <f>($C158*1000/$B$3)/$B154/$B$1</f>
        <v>0.11517424242424243</v>
      </c>
      <c r="J158" s="13">
        <f>(ABS(($F158+0.1)*1000)/$C158)*($I158/$B153)</f>
        <v>6.4811958874458883E-2</v>
      </c>
      <c r="K158" s="13">
        <f>(ABS(($G158+0.1)*1000)/$C158)*($I158/IF(B152="",$B153,$B152))</f>
        <v>3.6682900432900435E-2</v>
      </c>
    </row>
    <row r="159" spans="1:14" x14ac:dyDescent="0.3">
      <c r="B159" s="19"/>
      <c r="C159" s="25">
        <v>3012.84</v>
      </c>
      <c r="D159" s="25">
        <v>-80.77</v>
      </c>
      <c r="E159" s="25">
        <v>-182.38</v>
      </c>
      <c r="F159" s="25">
        <v>192.54</v>
      </c>
      <c r="G159" s="24">
        <v>-736.44</v>
      </c>
      <c r="I159" s="13">
        <f>($C159*1000/$B$3)/$B154/$B$1</f>
        <v>0.32606493506493506</v>
      </c>
      <c r="J159" s="13">
        <f>(ABS(($F159+0.1)*1000)/$C159)*($I159/$B153)</f>
        <v>2.6060606060606058E-2</v>
      </c>
      <c r="K159" s="13">
        <f>(ABS(($G159+0.1)*1000)/$C159)*($I159/IF(B152="",$B153,$B152))</f>
        <v>0.13281746031746031</v>
      </c>
    </row>
    <row r="160" spans="1:14" x14ac:dyDescent="0.3">
      <c r="B160" s="19"/>
      <c r="C160" s="25">
        <v>1547.69</v>
      </c>
      <c r="D160" s="25">
        <v>410.29</v>
      </c>
      <c r="E160" s="25">
        <v>79.19</v>
      </c>
      <c r="F160" s="25">
        <v>-178.96</v>
      </c>
      <c r="G160" s="24">
        <v>849.92</v>
      </c>
      <c r="I160" s="13">
        <f>($C160*1000/$B$3)/$B154/$B$1</f>
        <v>0.16749891774891779</v>
      </c>
      <c r="J160" s="13">
        <f>(ABS(($F160+0.1)*1000)/$C160)*($I160/$B153)</f>
        <v>2.4196428571428577E-2</v>
      </c>
      <c r="K160" s="13">
        <f>(ABS(($G160+0.1)*1000)/$C160)*($I160/IF(B152="",$B153,$B152))</f>
        <v>0.15332251082251086</v>
      </c>
      <c r="M160" s="1">
        <v>0.02</v>
      </c>
      <c r="N160" s="26">
        <v>0.04</v>
      </c>
    </row>
    <row r="161" spans="1:13" x14ac:dyDescent="0.3">
      <c r="B161" s="19"/>
      <c r="G161" s="16"/>
    </row>
    <row r="162" spans="1:13" x14ac:dyDescent="0.3">
      <c r="B162" s="19" t="s">
        <v>19</v>
      </c>
      <c r="C162" s="1" t="s">
        <v>20</v>
      </c>
      <c r="D162" s="1" t="s">
        <v>21</v>
      </c>
      <c r="E162" s="1" t="s">
        <v>22</v>
      </c>
      <c r="F162" s="1" t="s">
        <v>57</v>
      </c>
      <c r="G162" s="1" t="s">
        <v>58</v>
      </c>
    </row>
    <row r="163" spans="1:13" x14ac:dyDescent="0.3">
      <c r="A163" s="20"/>
      <c r="B163" s="18" t="s">
        <v>59</v>
      </c>
      <c r="C163" s="4">
        <v>-26.97</v>
      </c>
      <c r="D163" s="1">
        <v>0</v>
      </c>
      <c r="E163" s="1">
        <v>0</v>
      </c>
      <c r="F163" s="1">
        <v>0</v>
      </c>
      <c r="G163" s="1">
        <v>0</v>
      </c>
      <c r="I163" s="13">
        <f>($C163*1000/$B$3)/$B166/$B$1</f>
        <v>-2.9188311688311689E-3</v>
      </c>
      <c r="J163" s="13">
        <f>(ABS(($F163+0.1)*1000)/$C163)*($I163/$B165)</f>
        <v>1.3528138528138528E-5</v>
      </c>
      <c r="K163" s="13">
        <f>(ABS(($G163+0.1)*1000)/$C163)*($I163/IF(B164="",$B165,$B164))</f>
        <v>1.8037518037518038E-5</v>
      </c>
    </row>
    <row r="164" spans="1:13" x14ac:dyDescent="0.3">
      <c r="A164" s="5" t="s">
        <v>41</v>
      </c>
      <c r="B164" s="21">
        <v>600</v>
      </c>
      <c r="C164" s="4">
        <v>8100.26</v>
      </c>
      <c r="D164" s="1">
        <v>0</v>
      </c>
      <c r="E164" s="1">
        <v>-49.25</v>
      </c>
      <c r="F164" s="1">
        <v>0</v>
      </c>
      <c r="G164" s="1">
        <v>111.04</v>
      </c>
      <c r="I164" s="13">
        <f>($C164*1000/$B$3)/$B166/$B$1</f>
        <v>0.87665151515151518</v>
      </c>
      <c r="J164" s="13">
        <f>(ABS(($F164+0.1)*1000)/$C164)*($I164/$B165)</f>
        <v>1.3528138528138528E-5</v>
      </c>
      <c r="K164" s="13">
        <f>(ABS(($G164+0.1)*1000)/$C164)*($I164/IF(B164="",$B165,$B164))</f>
        <v>2.0046897546897546E-2</v>
      </c>
      <c r="M164" s="1">
        <v>0.01</v>
      </c>
    </row>
    <row r="165" spans="1:13" x14ac:dyDescent="0.3">
      <c r="A165" s="5" t="s">
        <v>43</v>
      </c>
      <c r="B165" s="21">
        <v>800</v>
      </c>
      <c r="C165" s="1">
        <v>105.23</v>
      </c>
      <c r="D165" s="4">
        <v>-133.9</v>
      </c>
      <c r="E165" s="1">
        <v>-108.17</v>
      </c>
      <c r="F165" s="1">
        <v>95.22</v>
      </c>
      <c r="G165" s="1">
        <v>-98.4</v>
      </c>
      <c r="I165" s="13">
        <f>($C165*1000/$B$3)/$B166/$B$1</f>
        <v>1.1388528138528139E-2</v>
      </c>
      <c r="J165" s="13">
        <f>(ABS(($F165+0.1)*1000)/$C165)*($I165/$B165)</f>
        <v>1.2895021645021645E-2</v>
      </c>
      <c r="K165" s="13">
        <f>(ABS(($G165+0.1)*1000)/$C165)*($I165/IF(B164="",$B165,$B164))</f>
        <v>1.7730880230880233E-2</v>
      </c>
    </row>
    <row r="166" spans="1:13" x14ac:dyDescent="0.3">
      <c r="A166" s="5" t="s">
        <v>44</v>
      </c>
      <c r="B166" s="22">
        <f>IF(B164="",(0.25*PI()*B165^2),B164*B165)</f>
        <v>480000</v>
      </c>
      <c r="C166" s="1">
        <v>190.22</v>
      </c>
      <c r="D166" s="4">
        <v>457.46</v>
      </c>
      <c r="E166" s="1">
        <v>159.36000000000001</v>
      </c>
      <c r="F166" s="1">
        <v>71.69</v>
      </c>
      <c r="G166" s="1">
        <v>-435.29</v>
      </c>
      <c r="I166" s="13">
        <f>($C166*1000/$B$3)/$B166/$B$1</f>
        <v>2.058658008658009E-2</v>
      </c>
      <c r="J166" s="13">
        <f>(ABS(($F166+0.1)*1000)/$C166)*($I166/$B165)</f>
        <v>9.7118506493506507E-3</v>
      </c>
      <c r="K166" s="13">
        <f>(ABS(($G166+0.1)*1000)/$C166)*($I166/IF(B164="",$B165,$B164))</f>
        <v>7.849747474747476E-2</v>
      </c>
    </row>
    <row r="167" spans="1:13" x14ac:dyDescent="0.3">
      <c r="B167" s="19"/>
      <c r="C167" s="1">
        <v>318.89</v>
      </c>
      <c r="D167" s="1">
        <v>85.52</v>
      </c>
      <c r="E167" s="4">
        <v>-221</v>
      </c>
      <c r="F167" s="1">
        <v>-186.38</v>
      </c>
      <c r="G167" s="1">
        <v>-17.82</v>
      </c>
      <c r="I167" s="13">
        <f>($C167*1000/$B$3)/$B166/$B$1</f>
        <v>3.4511904761904764E-2</v>
      </c>
      <c r="J167" s="13">
        <f>(ABS(($F167+0.1)*1000)/$C167)*($I167/$B165)</f>
        <v>2.5200216450216455E-2</v>
      </c>
      <c r="K167" s="13">
        <f>(ABS(($G167+0.1)*1000)/$C167)*($I167/IF(B164="",$B165,$B164))</f>
        <v>3.1962481962481966E-3</v>
      </c>
    </row>
    <row r="168" spans="1:13" x14ac:dyDescent="0.3">
      <c r="B168" s="19"/>
      <c r="C168" s="1">
        <v>124.27</v>
      </c>
      <c r="D168" s="1">
        <v>370.13</v>
      </c>
      <c r="E168" s="4">
        <v>191.95</v>
      </c>
      <c r="F168" s="1">
        <v>-44.89</v>
      </c>
      <c r="G168" s="1">
        <v>-209.93</v>
      </c>
      <c r="I168" s="13">
        <f>($C168*1000/$B$3)/$B166/$B$1</f>
        <v>1.34491341991342E-2</v>
      </c>
      <c r="J168" s="13">
        <f>(ABS(($F168+0.1)*1000)/$C168)*($I168/$B165)</f>
        <v>6.0592532467532477E-3</v>
      </c>
      <c r="K168" s="13">
        <f>(ABS(($G168+0.1)*1000)/$C168)*($I168/IF(B164="",$B165,$B164))</f>
        <v>3.7848124098124103E-2</v>
      </c>
    </row>
    <row r="169" spans="1:13" x14ac:dyDescent="0.3">
      <c r="B169" s="19"/>
      <c r="C169" s="1">
        <v>4234.74</v>
      </c>
      <c r="D169" s="1">
        <v>308.07</v>
      </c>
      <c r="E169" s="1">
        <v>49.94</v>
      </c>
      <c r="F169" s="4">
        <v>-545.14</v>
      </c>
      <c r="G169" s="1">
        <v>128.65</v>
      </c>
      <c r="I169" s="13">
        <f>($C169*1000/$B$3)/$B166/$B$1</f>
        <v>0.45830519480519483</v>
      </c>
      <c r="J169" s="13">
        <f>(ABS(($F169+0.1)*1000)/$C169)*($I169/$B165)</f>
        <v>7.3733766233766235E-2</v>
      </c>
      <c r="K169" s="13">
        <f>(ABS(($G169+0.1)*1000)/$C169)*($I169/IF(B164="",$B165,$B164))</f>
        <v>2.3223304473304476E-2</v>
      </c>
    </row>
    <row r="170" spans="1:13" x14ac:dyDescent="0.3">
      <c r="B170" s="19"/>
      <c r="C170" s="1">
        <v>363.31</v>
      </c>
      <c r="D170" s="1">
        <v>85.52</v>
      </c>
      <c r="E170" s="1">
        <v>-221</v>
      </c>
      <c r="F170" s="4">
        <v>432.43</v>
      </c>
      <c r="G170" s="1">
        <v>221.64</v>
      </c>
      <c r="I170" s="13">
        <f>($C170*1000/$B$3)/$B166/$B$1</f>
        <v>3.9319264069264073E-2</v>
      </c>
      <c r="J170" s="13">
        <f>(ABS(($F170+0.1)*1000)/$C170)*($I170/$B165)</f>
        <v>5.8513257575757593E-2</v>
      </c>
      <c r="K170" s="13">
        <f>(ABS(($G170+0.1)*1000)/$C170)*($I170/IF(B164="",$B165,$B164))</f>
        <v>3.9996392496392495E-2</v>
      </c>
    </row>
    <row r="171" spans="1:13" x14ac:dyDescent="0.3">
      <c r="B171" s="19"/>
      <c r="C171" s="1">
        <v>3012.84</v>
      </c>
      <c r="D171" s="1">
        <v>-80.77</v>
      </c>
      <c r="E171" s="1">
        <v>-182.38</v>
      </c>
      <c r="F171" s="1">
        <v>192.54</v>
      </c>
      <c r="G171" s="4">
        <v>-736.44</v>
      </c>
      <c r="I171" s="13">
        <f>($C171*1000/$B$3)/$B166/$B$1</f>
        <v>0.32606493506493506</v>
      </c>
      <c r="J171" s="13">
        <f>(ABS(($F171+0.1)*1000)/$C171)*($I171/$B165)</f>
        <v>2.6060606060606058E-2</v>
      </c>
      <c r="K171" s="13">
        <f>(ABS(($G171+0.1)*1000)/$C171)*($I171/IF(B164="",$B165,$B164))</f>
        <v>0.13281746031746031</v>
      </c>
      <c r="M171" s="1">
        <v>1.2999999999999999E-2</v>
      </c>
    </row>
    <row r="172" spans="1:13" x14ac:dyDescent="0.3">
      <c r="B172" s="19"/>
      <c r="C172" s="1">
        <v>255.38</v>
      </c>
      <c r="D172" s="1">
        <v>145.71</v>
      </c>
      <c r="E172" s="1">
        <v>-131.04</v>
      </c>
      <c r="F172" s="1">
        <v>270.67</v>
      </c>
      <c r="G172" s="4">
        <v>309.52</v>
      </c>
      <c r="I172" s="13">
        <f>($C172*1000/$B$3)/$B166/$B$1</f>
        <v>2.7638528138528143E-2</v>
      </c>
      <c r="J172" s="13">
        <f>(ABS(($F172+0.1)*1000)/$C172)*($I172/$B165)</f>
        <v>3.6630140692640707E-2</v>
      </c>
      <c r="K172" s="13">
        <f>(ABS(($G172+0.1)*1000)/$C172)*($I172/IF(B164="",$B165,$B164))</f>
        <v>5.5847763347763361E-2</v>
      </c>
    </row>
    <row r="173" spans="1:13" x14ac:dyDescent="0.3">
      <c r="B173" s="19"/>
    </row>
    <row r="174" spans="1:13" x14ac:dyDescent="0.3">
      <c r="B174" s="19" t="s">
        <v>19</v>
      </c>
      <c r="C174" s="1" t="s">
        <v>20</v>
      </c>
      <c r="D174" s="1" t="s">
        <v>35</v>
      </c>
      <c r="E174" s="1" t="s">
        <v>36</v>
      </c>
      <c r="F174" s="1" t="s">
        <v>23</v>
      </c>
      <c r="G174" s="1" t="s">
        <v>24</v>
      </c>
    </row>
    <row r="175" spans="1:13" x14ac:dyDescent="0.3">
      <c r="A175" s="20"/>
      <c r="B175" s="18" t="s">
        <v>60</v>
      </c>
      <c r="C175" s="4">
        <v>66.010000000000005</v>
      </c>
      <c r="D175" s="1">
        <v>-74.819999999999993</v>
      </c>
      <c r="E175" s="1">
        <v>0</v>
      </c>
      <c r="F175" s="1">
        <v>-84.95</v>
      </c>
      <c r="G175" s="1">
        <v>0</v>
      </c>
      <c r="I175" s="13">
        <f>($C175*1000/$B$3)/$B178/$B$1</f>
        <v>7.1439393939393943E-3</v>
      </c>
      <c r="J175" s="13">
        <f>(ABS(($F175+0.1)*1000)/$C175)*($I175/$B177)</f>
        <v>1.1478625541125541E-2</v>
      </c>
      <c r="K175" s="13">
        <f>(ABS(($G175+0.1)*1000)/$C175)*($I175/IF(B176="",$B177,$B176))</f>
        <v>1.8037518037518038E-5</v>
      </c>
    </row>
    <row r="176" spans="1:13" x14ac:dyDescent="0.3">
      <c r="A176" s="5" t="s">
        <v>41</v>
      </c>
      <c r="B176" s="21">
        <v>600</v>
      </c>
      <c r="C176" s="4">
        <v>3127.17</v>
      </c>
      <c r="D176" s="1">
        <v>0</v>
      </c>
      <c r="E176" s="1">
        <v>27.05</v>
      </c>
      <c r="F176" s="1">
        <v>0</v>
      </c>
      <c r="G176" s="1">
        <v>0</v>
      </c>
      <c r="I176" s="13">
        <f>($C176*1000/$B$3)/$B178/$B$1</f>
        <v>0.33843831168831168</v>
      </c>
      <c r="J176" s="13">
        <f>(ABS(($F176+0.1)*1000)/$C176)*($I176/$B177)</f>
        <v>1.3528138528138528E-5</v>
      </c>
      <c r="K176" s="13">
        <f>(ABS(($G176+0.1)*1000)/$C176)*($I176/IF(B176="",$B177,$B176))</f>
        <v>1.8037518037518038E-5</v>
      </c>
    </row>
    <row r="177" spans="1:11" x14ac:dyDescent="0.3">
      <c r="A177" s="5" t="s">
        <v>43</v>
      </c>
      <c r="B177" s="21">
        <v>800</v>
      </c>
      <c r="C177" s="1">
        <v>414.82</v>
      </c>
      <c r="D177" s="4">
        <v>-135.44</v>
      </c>
      <c r="E177" s="1">
        <v>-15.19</v>
      </c>
      <c r="F177" s="1">
        <v>-24.23</v>
      </c>
      <c r="G177" s="1">
        <v>-73.62</v>
      </c>
      <c r="I177" s="13">
        <f>($C177*1000/$B$3)/$B178/$B$1</f>
        <v>4.4893939393939396E-2</v>
      </c>
      <c r="J177" s="13">
        <f>(ABS(($F177+0.1)*1000)/$C177)*($I177/$B177)</f>
        <v>3.2643398268398269E-3</v>
      </c>
      <c r="K177" s="13">
        <f>(ABS(($G177+0.1)*1000)/$C177)*($I177/IF(B176="",$B177,$B176))</f>
        <v>1.3261183261183267E-2</v>
      </c>
    </row>
    <row r="178" spans="1:11" x14ac:dyDescent="0.3">
      <c r="A178" s="5" t="s">
        <v>44</v>
      </c>
      <c r="B178" s="22">
        <f>IF(B176="",(0.25*PI()*B177^2),B176*B177)</f>
        <v>480000</v>
      </c>
      <c r="C178" s="1">
        <v>1372.3</v>
      </c>
      <c r="D178" s="4">
        <v>40.56</v>
      </c>
      <c r="E178" s="1">
        <v>108.78</v>
      </c>
      <c r="F178" s="1">
        <v>231.81</v>
      </c>
      <c r="G178" s="1">
        <v>269.37</v>
      </c>
      <c r="I178" s="13">
        <f>($C178*1000/$B$3)/$B178/$B$1</f>
        <v>0.14851731601731602</v>
      </c>
      <c r="J178" s="13">
        <f>(ABS(($F178+0.1)*1000)/$C178)*($I178/$B177)</f>
        <v>3.137310606060606E-2</v>
      </c>
      <c r="K178" s="13">
        <f>(ABS(($G178+0.1)*1000)/$C178)*($I178/IF(B176="",$B177,$B176))</f>
        <v>4.860569985569986E-2</v>
      </c>
    </row>
    <row r="179" spans="1:11" x14ac:dyDescent="0.3">
      <c r="B179" s="19"/>
      <c r="C179" s="1">
        <v>414.82</v>
      </c>
      <c r="D179" s="1">
        <v>-135.44</v>
      </c>
      <c r="E179" s="4">
        <v>-15.19</v>
      </c>
      <c r="F179" s="1">
        <v>-24.23</v>
      </c>
      <c r="G179" s="1">
        <v>-73.62</v>
      </c>
      <c r="I179" s="13">
        <f>($C179*1000/$B$3)/$B178/$B$1</f>
        <v>4.4893939393939396E-2</v>
      </c>
      <c r="J179" s="13">
        <f>(ABS(($F179+0.1)*1000)/$C179)*($I179/$B177)</f>
        <v>3.2643398268398269E-3</v>
      </c>
      <c r="K179" s="13">
        <f>(ABS(($G179+0.1)*1000)/$C179)*($I179/IF(B176="",$B177,$B176))</f>
        <v>1.3261183261183267E-2</v>
      </c>
    </row>
    <row r="180" spans="1:11" x14ac:dyDescent="0.3">
      <c r="B180" s="19"/>
      <c r="C180" s="1">
        <v>803.9</v>
      </c>
      <c r="D180" s="1">
        <v>39.020000000000003</v>
      </c>
      <c r="E180" s="4">
        <v>135.55000000000001</v>
      </c>
      <c r="F180" s="1">
        <v>244.01</v>
      </c>
      <c r="G180" s="1">
        <v>246.3</v>
      </c>
      <c r="I180" s="13">
        <f>($C180*1000/$B$3)/$B178/$B$1</f>
        <v>8.7002164502164511E-2</v>
      </c>
      <c r="J180" s="13">
        <f>(ABS(($F180+0.1)*1000)/$C180)*($I180/$B177)</f>
        <v>3.3023538961038962E-2</v>
      </c>
      <c r="K180" s="13">
        <f>(ABS(($G180+0.1)*1000)/$C180)*($I180/IF(B176="",$B177,$B176))</f>
        <v>4.4444444444444453E-2</v>
      </c>
    </row>
    <row r="181" spans="1:11" x14ac:dyDescent="0.3">
      <c r="B181" s="19"/>
      <c r="C181" s="1">
        <v>374.03</v>
      </c>
      <c r="D181" s="1">
        <v>-135.44</v>
      </c>
      <c r="E181" s="1">
        <v>-15.19</v>
      </c>
      <c r="F181" s="4">
        <v>-298.37</v>
      </c>
      <c r="G181" s="1">
        <v>-295.62</v>
      </c>
      <c r="I181" s="13">
        <f>($C181*1000/$B$3)/$B178/$B$1</f>
        <v>4.0479437229437233E-2</v>
      </c>
      <c r="J181" s="13">
        <f>(ABS(($F181+0.1)*1000)/$C181)*($I181/$B177)</f>
        <v>4.0350378787878796E-2</v>
      </c>
      <c r="K181" s="13">
        <f>(ABS(($G181+0.1)*1000)/$C181)*($I181/IF(B176="",$B177,$B176))</f>
        <v>5.3304473304473306E-2</v>
      </c>
    </row>
    <row r="182" spans="1:11" x14ac:dyDescent="0.3">
      <c r="B182" s="19"/>
      <c r="C182" s="1">
        <v>803.9</v>
      </c>
      <c r="D182" s="1">
        <v>39.020000000000003</v>
      </c>
      <c r="E182" s="1">
        <v>135.55000000000001</v>
      </c>
      <c r="F182" s="4">
        <v>244.01</v>
      </c>
      <c r="G182" s="1">
        <v>246.3</v>
      </c>
      <c r="I182" s="13">
        <f>($C182*1000/$B$3)/$B178/$B$1</f>
        <v>8.7002164502164511E-2</v>
      </c>
      <c r="J182" s="13">
        <f>(ABS(($F182+0.1)*1000)/$C182)*($I182/$B177)</f>
        <v>3.3023538961038962E-2</v>
      </c>
      <c r="K182" s="13">
        <f>(ABS(($G182+0.1)*1000)/$C182)*($I182/IF(B176="",$B177,$B176))</f>
        <v>4.4444444444444453E-2</v>
      </c>
    </row>
    <row r="183" spans="1:11" x14ac:dyDescent="0.3">
      <c r="B183" s="19"/>
      <c r="C183" s="1">
        <v>374.03</v>
      </c>
      <c r="D183" s="1">
        <v>-135.44</v>
      </c>
      <c r="E183" s="1">
        <v>-15.19</v>
      </c>
      <c r="F183" s="1">
        <v>-298.37</v>
      </c>
      <c r="G183" s="4">
        <v>-295.62</v>
      </c>
      <c r="I183" s="13">
        <f>($C183*1000/$B$3)/$B178/$B$1</f>
        <v>4.0479437229437233E-2</v>
      </c>
      <c r="J183" s="13">
        <f>(ABS(($F183+0.1)*1000)/$C183)*($I183/$B177)</f>
        <v>4.0350378787878796E-2</v>
      </c>
      <c r="K183" s="13">
        <f>(ABS(($G183+0.1)*1000)/$C183)*($I183/IF(B176="",$B177,$B176))</f>
        <v>5.3304473304473306E-2</v>
      </c>
    </row>
    <row r="184" spans="1:11" x14ac:dyDescent="0.3">
      <c r="B184" s="19"/>
      <c r="C184" s="1">
        <v>1372.3</v>
      </c>
      <c r="D184" s="1">
        <v>40.56</v>
      </c>
      <c r="E184" s="1">
        <v>108.78</v>
      </c>
      <c r="F184" s="1">
        <v>231.81</v>
      </c>
      <c r="G184" s="4">
        <v>269.37</v>
      </c>
      <c r="I184" s="13">
        <f>($C184*1000/$B$3)/$B178/$B$1</f>
        <v>0.14851731601731602</v>
      </c>
      <c r="J184" s="13">
        <f>(ABS(($F184+0.1)*1000)/$C184)*($I184/$B177)</f>
        <v>3.137310606060606E-2</v>
      </c>
      <c r="K184" s="13">
        <f>(ABS(($G184+0.1)*1000)/$C184)*($I184/IF(B176="",$B177,$B176))</f>
        <v>4.860569985569986E-2</v>
      </c>
    </row>
    <row r="185" spans="1:11" x14ac:dyDescent="0.3">
      <c r="B185" s="19"/>
    </row>
    <row r="186" spans="1:11" x14ac:dyDescent="0.3">
      <c r="B186" s="19" t="s">
        <v>19</v>
      </c>
      <c r="C186" s="1" t="s">
        <v>20</v>
      </c>
      <c r="D186" s="1" t="s">
        <v>35</v>
      </c>
      <c r="E186" s="1" t="s">
        <v>36</v>
      </c>
      <c r="F186" s="1" t="s">
        <v>23</v>
      </c>
      <c r="G186" s="1" t="s">
        <v>24</v>
      </c>
    </row>
    <row r="187" spans="1:11" x14ac:dyDescent="0.3">
      <c r="A187" s="20"/>
      <c r="B187" s="18" t="s">
        <v>61</v>
      </c>
      <c r="C187" s="4">
        <v>-2.3199999999999998</v>
      </c>
      <c r="D187" s="1">
        <v>-5.86</v>
      </c>
      <c r="E187" s="1">
        <v>0</v>
      </c>
      <c r="F187" s="1">
        <v>-66.77</v>
      </c>
      <c r="G187" s="1">
        <v>0</v>
      </c>
      <c r="I187" s="13">
        <f>($C187*1000/$B$3)/$B190/$B$1</f>
        <v>-2.5108225108225109E-4</v>
      </c>
      <c r="J187" s="13">
        <f>(ABS(($F187+0.1)*1000)/$C187)*($I187/$B189)</f>
        <v>9.0192099567099563E-3</v>
      </c>
      <c r="K187" s="13">
        <f>(ABS(($G187+0.1)*1000)/$C187)*($I187/IF(B188="",$B189,$B188))</f>
        <v>1.8037518037518038E-5</v>
      </c>
    </row>
    <row r="188" spans="1:11" x14ac:dyDescent="0.3">
      <c r="A188" s="5" t="s">
        <v>41</v>
      </c>
      <c r="B188" s="8">
        <v>600</v>
      </c>
      <c r="C188" s="4">
        <v>2757.76</v>
      </c>
      <c r="D188" s="1">
        <v>0</v>
      </c>
      <c r="E188" s="1">
        <v>25.23</v>
      </c>
      <c r="F188" s="1">
        <v>0</v>
      </c>
      <c r="G188" s="1">
        <v>0</v>
      </c>
      <c r="I188" s="13">
        <f>($C188*1000/$B$3)/$B190/$B$1</f>
        <v>0.29845887445887448</v>
      </c>
      <c r="J188" s="13">
        <f>(ABS(($F188+0.1)*1000)/$C188)*($I188/$B189)</f>
        <v>1.3528138528138528E-5</v>
      </c>
      <c r="K188" s="13">
        <f>(ABS(($G188+0.1)*1000)/$C188)*($I188/IF(B188="",$B189,$B188))</f>
        <v>1.8037518037518038E-5</v>
      </c>
    </row>
    <row r="189" spans="1:11" x14ac:dyDescent="0.3">
      <c r="A189" s="5" t="s">
        <v>43</v>
      </c>
      <c r="B189" s="8">
        <v>800</v>
      </c>
      <c r="C189" s="1">
        <v>38.47</v>
      </c>
      <c r="D189" s="4">
        <v>-5.86</v>
      </c>
      <c r="E189" s="1">
        <v>-17.91</v>
      </c>
      <c r="F189" s="1">
        <v>-27.13</v>
      </c>
      <c r="G189" s="1">
        <v>-312.56</v>
      </c>
      <c r="I189" s="13">
        <f>($C189*1000/$B$3)/$B190/$B$1</f>
        <v>4.1634199134199142E-3</v>
      </c>
      <c r="J189" s="13">
        <f>(ABS(($F189+0.1)*1000)/$C189)*($I189/$B189)</f>
        <v>3.6566558441558442E-3</v>
      </c>
      <c r="K189" s="13">
        <f>(ABS(($G189+0.1)*1000)/$C189)*($I189/IF(B188="",$B189,$B188))</f>
        <v>5.6360028860028874E-2</v>
      </c>
    </row>
    <row r="190" spans="1:11" x14ac:dyDescent="0.3">
      <c r="A190" s="5" t="s">
        <v>44</v>
      </c>
      <c r="B190" s="15">
        <f>IF(B188="",(0.25*PI()*B189^2),B188*B189)</f>
        <v>480000</v>
      </c>
      <c r="C190" s="1">
        <v>2266.67</v>
      </c>
      <c r="D190" s="4">
        <v>197.88</v>
      </c>
      <c r="E190" s="1">
        <v>19.11</v>
      </c>
      <c r="F190" s="1">
        <v>56.63</v>
      </c>
      <c r="G190" s="1">
        <v>45.44</v>
      </c>
      <c r="I190" s="13">
        <f>($C190*1000/$B$3)/$B190/$B$1</f>
        <v>0.24531060606060606</v>
      </c>
      <c r="J190" s="13">
        <f>(ABS(($F190+0.1)*1000)/$C190)*($I190/$B189)</f>
        <v>7.6745129870129875E-3</v>
      </c>
      <c r="K190" s="13">
        <f>(ABS(($G190+0.1)*1000)/$C190)*($I190/IF(B188="",$B189,$B188))</f>
        <v>8.2142857142857139E-3</v>
      </c>
    </row>
    <row r="191" spans="1:11" x14ac:dyDescent="0.3">
      <c r="C191" s="1">
        <v>283.99</v>
      </c>
      <c r="D191" s="1">
        <v>32.590000000000003</v>
      </c>
      <c r="E191" s="4">
        <v>-42.29</v>
      </c>
      <c r="F191" s="1">
        <v>-81.290000000000006</v>
      </c>
      <c r="G191" s="1">
        <v>-377.38</v>
      </c>
      <c r="I191" s="13">
        <f>($C191*1000/$B$3)/$B190/$B$1</f>
        <v>3.0734848484848486E-2</v>
      </c>
      <c r="J191" s="13">
        <f>(ABS(($F191+0.1)*1000)/$C191)*($I191/$B189)</f>
        <v>1.0983495670995673E-2</v>
      </c>
      <c r="K191" s="13">
        <f>(ABS(($G191+0.1)*1000)/$C191)*($I191/IF(B188="",$B189,$B188))</f>
        <v>6.8051948051948058E-2</v>
      </c>
    </row>
    <row r="192" spans="1:11" x14ac:dyDescent="0.3">
      <c r="C192" s="1">
        <v>720.64</v>
      </c>
      <c r="D192" s="1">
        <v>197.84</v>
      </c>
      <c r="E192" s="4">
        <v>36.200000000000003</v>
      </c>
      <c r="F192" s="1">
        <v>66.97</v>
      </c>
      <c r="G192" s="1">
        <v>-60.68</v>
      </c>
      <c r="I192" s="13">
        <f>($C192*1000/$B$3)/$B190/$B$1</f>
        <v>7.7991341991342E-2</v>
      </c>
      <c r="J192" s="13">
        <f>(ABS(($F192+0.1)*1000)/$C192)*($I192/$B189)</f>
        <v>9.0733225108225127E-3</v>
      </c>
      <c r="K192" s="13">
        <f>(ABS(($G192+0.1)*1000)/$C192)*($I192/IF(B188="",$B189,$B188))</f>
        <v>1.0927128427128428E-2</v>
      </c>
    </row>
    <row r="193" spans="1:13" x14ac:dyDescent="0.3">
      <c r="C193" s="1">
        <v>785.73</v>
      </c>
      <c r="D193" s="1">
        <v>6.92</v>
      </c>
      <c r="E193" s="1">
        <v>-35.229999999999997</v>
      </c>
      <c r="F193" s="4">
        <v>-106.72</v>
      </c>
      <c r="G193" s="1">
        <v>-363.07</v>
      </c>
      <c r="I193" s="13">
        <f>($C193*1000/$B$3)/$B190/$B$1</f>
        <v>8.5035714285714284E-2</v>
      </c>
      <c r="J193" s="13">
        <f>(ABS(($F193+0.1)*1000)/$C193)*($I193/$B189)</f>
        <v>1.4423701298701299E-2</v>
      </c>
      <c r="K193" s="13">
        <f>(ABS(($G193+0.1)*1000)/$C193)*($I193/IF(B188="",$B189,$B188))</f>
        <v>6.5470779220779207E-2</v>
      </c>
    </row>
    <row r="194" spans="1:13" x14ac:dyDescent="0.3">
      <c r="C194" s="1">
        <v>1771.71</v>
      </c>
      <c r="D194" s="1">
        <v>138.61000000000001</v>
      </c>
      <c r="E194" s="1">
        <v>31.74</v>
      </c>
      <c r="F194" s="4">
        <v>101.64</v>
      </c>
      <c r="G194" s="1">
        <v>3.23</v>
      </c>
      <c r="I194" s="13">
        <f>($C194*1000/$B$3)/$B190/$B$1</f>
        <v>0.19174350649350652</v>
      </c>
      <c r="J194" s="13">
        <f>(ABS(($F194+0.1)*1000)/$C194)*($I194/$B189)</f>
        <v>1.3763528138528139E-2</v>
      </c>
      <c r="K194" s="13">
        <f>(ABS(($G194+0.1)*1000)/$C194)*($I194/IF(B188="",$B189,$B188))</f>
        <v>6.0064935064935078E-4</v>
      </c>
    </row>
    <row r="195" spans="1:13" x14ac:dyDescent="0.3">
      <c r="C195" s="1">
        <v>526.58000000000004</v>
      </c>
      <c r="D195" s="1">
        <v>19.98</v>
      </c>
      <c r="E195" s="1">
        <v>-35.880000000000003</v>
      </c>
      <c r="F195" s="1">
        <v>-76.48</v>
      </c>
      <c r="G195" s="4">
        <v>-397.88</v>
      </c>
      <c r="I195" s="13">
        <f>($C195*1000/$B$3)/$B190/$B$1</f>
        <v>5.6989177489177499E-2</v>
      </c>
      <c r="J195" s="13">
        <f>(ABS(($F195+0.1)*1000)/$C195)*($I195/$B189)</f>
        <v>1.0332792207792209E-2</v>
      </c>
      <c r="K195" s="13">
        <f>(ABS(($G195+0.1)*1000)/$C195)*($I195/IF(B188="",$B189,$B188))</f>
        <v>7.1749639249639258E-2</v>
      </c>
    </row>
    <row r="196" spans="1:13" x14ac:dyDescent="0.3">
      <c r="C196" s="1">
        <v>666.25</v>
      </c>
      <c r="D196" s="1">
        <v>197.84</v>
      </c>
      <c r="E196" s="1">
        <v>36.200000000000003</v>
      </c>
      <c r="F196" s="1">
        <v>98.85</v>
      </c>
      <c r="G196" s="4">
        <v>414.01</v>
      </c>
      <c r="I196" s="13">
        <f>($C196*1000/$B$3)/$B190/$B$1</f>
        <v>7.2104978354978352E-2</v>
      </c>
      <c r="J196" s="13">
        <f>(ABS(($F196+0.1)*1000)/$C196)*($I196/$B189)</f>
        <v>1.3386093073593071E-2</v>
      </c>
      <c r="K196" s="13">
        <f>(ABS(($G196+0.1)*1000)/$C196)*($I196/IF(B188="",$B189,$B188))</f>
        <v>7.4695165945165939E-2</v>
      </c>
    </row>
    <row r="198" spans="1:13" x14ac:dyDescent="0.3">
      <c r="A198" s="19"/>
      <c r="B198" s="1" t="s">
        <v>19</v>
      </c>
      <c r="C198" s="1" t="s">
        <v>20</v>
      </c>
      <c r="D198" s="1" t="s">
        <v>35</v>
      </c>
      <c r="E198" s="1" t="s">
        <v>36</v>
      </c>
      <c r="F198" s="1" t="s">
        <v>23</v>
      </c>
      <c r="G198" s="1" t="s">
        <v>24</v>
      </c>
    </row>
    <row r="199" spans="1:13" x14ac:dyDescent="0.3">
      <c r="A199" s="11"/>
      <c r="B199" s="12" t="s">
        <v>62</v>
      </c>
      <c r="C199" s="4">
        <v>46.95</v>
      </c>
      <c r="D199" s="1">
        <v>-6.52</v>
      </c>
      <c r="E199" s="1">
        <v>0</v>
      </c>
      <c r="F199" s="1">
        <v>49.19</v>
      </c>
      <c r="G199" s="1">
        <v>0</v>
      </c>
      <c r="I199" s="13">
        <f>($C199*1000/$B$3)/$B202/$B$1</f>
        <v>6.3375135568848025E-3</v>
      </c>
      <c r="J199" s="13">
        <f>(ABS(($F199+0.1)*1000)/$C199)*($I199/$B201)</f>
        <v>9.5048240748167312E-3</v>
      </c>
      <c r="K199" s="13">
        <f>(ABS(($G199+0.1)*1000)/$C199)*($I199/IF(B200="",$B201,$B200))</f>
        <v>1.9283473472949346E-5</v>
      </c>
    </row>
    <row r="200" spans="1:13" x14ac:dyDescent="0.3">
      <c r="A200" s="5" t="s">
        <v>41</v>
      </c>
      <c r="C200" s="4">
        <v>4115.51</v>
      </c>
      <c r="D200" s="1">
        <v>0</v>
      </c>
      <c r="E200" s="1">
        <v>9.61</v>
      </c>
      <c r="F200" s="1">
        <v>0</v>
      </c>
      <c r="G200" s="1">
        <v>0</v>
      </c>
      <c r="I200" s="13">
        <f>($C200*1000/$B$3)/$B202/$B$1</f>
        <v>0.55552929538860429</v>
      </c>
      <c r="J200" s="13">
        <f>(ABS(($F200+0.1)*1000)/$C200)*($I200/$B201)</f>
        <v>1.9283473472949342E-5</v>
      </c>
      <c r="K200" s="13">
        <f>(ABS(($G200+0.1)*1000)/$C200)*($I200/IF(B200="",$B201,$B200))</f>
        <v>1.9283473472949342E-5</v>
      </c>
    </row>
    <row r="201" spans="1:13" x14ac:dyDescent="0.3">
      <c r="A201" s="5" t="s">
        <v>43</v>
      </c>
      <c r="B201" s="8">
        <v>700</v>
      </c>
      <c r="C201" s="1">
        <v>1679.77</v>
      </c>
      <c r="D201" s="4">
        <v>-168.53</v>
      </c>
      <c r="E201" s="1">
        <v>58.4</v>
      </c>
      <c r="F201" s="1">
        <v>72.08</v>
      </c>
      <c r="G201" s="1">
        <v>309.52</v>
      </c>
      <c r="I201" s="13">
        <f>($C201*1000/$B$3)/$B202/$B$1</f>
        <v>0.22674260164959281</v>
      </c>
      <c r="J201" s="13">
        <f>(ABS(($F201+0.1)*1000)/$C201)*($I201/$B201)</f>
        <v>1.3918811152774832E-2</v>
      </c>
      <c r="K201" s="13">
        <f>(ABS(($G201+0.1)*1000)/$C201)*($I201/IF(B200="",$B201,$B200))</f>
        <v>5.9705490566945747E-2</v>
      </c>
    </row>
    <row r="202" spans="1:13" x14ac:dyDescent="0.3">
      <c r="A202" s="5" t="s">
        <v>44</v>
      </c>
      <c r="B202" s="15">
        <f>IF(B200="",(0.25*PI()*B201^2),B200*B201)</f>
        <v>384845.10006474965</v>
      </c>
      <c r="C202" s="1">
        <v>2301.31</v>
      </c>
      <c r="D202" s="4">
        <v>289.27</v>
      </c>
      <c r="E202" s="1">
        <v>3.17</v>
      </c>
      <c r="F202" s="1">
        <v>4.49</v>
      </c>
      <c r="G202" s="1">
        <v>-490.31</v>
      </c>
      <c r="I202" s="13">
        <f>($C202*1000/$B$3)/$B202/$B$1</f>
        <v>0.3106407523662314</v>
      </c>
      <c r="J202" s="13">
        <f>(ABS(($F202+0.1)*1000)/$C202)*($I202/$B201)</f>
        <v>8.8511143240837501E-4</v>
      </c>
      <c r="K202" s="13">
        <f>(ABS(($G202+0.1)*1000)/$C202)*($I202/IF(B200="",$B201,$B200))</f>
        <v>9.4529515311744985E-2</v>
      </c>
    </row>
    <row r="203" spans="1:13" x14ac:dyDescent="0.3">
      <c r="C203" s="1">
        <v>845.85</v>
      </c>
      <c r="D203" s="1">
        <v>112.49</v>
      </c>
      <c r="E203" s="4">
        <v>-208.55</v>
      </c>
      <c r="F203" s="1">
        <v>-364.45</v>
      </c>
      <c r="G203" s="1">
        <v>-170.25</v>
      </c>
      <c r="I203" s="13">
        <f>($C203*1000/$B$3)/$B202/$B$1</f>
        <v>0.11417648225965941</v>
      </c>
      <c r="J203" s="13">
        <f>(ABS(($F203+0.1)*1000)/$C203)*($I203/$B201)</f>
        <v>7.0259335598690922E-2</v>
      </c>
      <c r="K203" s="13">
        <f>(ABS(($G203+0.1)*1000)/$C203)*($I203/IF(B200="",$B201,$B200))</f>
        <v>3.2810830114223304E-2</v>
      </c>
    </row>
    <row r="204" spans="1:13" x14ac:dyDescent="0.3">
      <c r="C204" s="1">
        <v>1919.67</v>
      </c>
      <c r="D204" s="1">
        <v>22.03</v>
      </c>
      <c r="E204" s="4">
        <v>247.54</v>
      </c>
      <c r="F204" s="1">
        <v>429</v>
      </c>
      <c r="G204" s="1">
        <v>-41.85</v>
      </c>
      <c r="I204" s="13">
        <f>($C204*1000/$B$3)/$B202/$B$1</f>
        <v>0.25912533865271664</v>
      </c>
      <c r="J204" s="13">
        <f>(ABS(($F204+0.1)*1000)/$C204)*($I204/$B201)</f>
        <v>8.274538467242562E-2</v>
      </c>
      <c r="K204" s="13">
        <f>(ABS(($G204+0.1)*1000)/$C204)*($I204/IF(B200="",$B201,$B200))</f>
        <v>8.0508501749563498E-3</v>
      </c>
    </row>
    <row r="205" spans="1:13" x14ac:dyDescent="0.3">
      <c r="C205" s="1">
        <v>557.91999999999996</v>
      </c>
      <c r="D205" s="1">
        <v>1.82</v>
      </c>
      <c r="E205" s="1">
        <v>163.61000000000001</v>
      </c>
      <c r="F205" s="4">
        <v>-374.91</v>
      </c>
      <c r="G205" s="1">
        <v>11.14</v>
      </c>
      <c r="I205" s="13">
        <f>($C205*1000/$B$3)/$B202/$B$1</f>
        <v>7.5310448640195288E-2</v>
      </c>
      <c r="J205" s="13">
        <f>(ABS(($F205+0.1)*1000)/$C205)*($I205/$B201)</f>
        <v>7.2276386923961433E-2</v>
      </c>
      <c r="K205" s="13">
        <f>(ABS(($G205+0.1)*1000)/$C205)*($I205/IF(B200="",$B201,$B200))</f>
        <v>2.1674624183595061E-3</v>
      </c>
    </row>
    <row r="206" spans="1:13" x14ac:dyDescent="0.3">
      <c r="C206" s="1">
        <v>1919.67</v>
      </c>
      <c r="D206" s="1">
        <v>22.03</v>
      </c>
      <c r="E206" s="1">
        <v>247.54</v>
      </c>
      <c r="F206" s="4">
        <v>429</v>
      </c>
      <c r="G206" s="1">
        <v>-41.85</v>
      </c>
      <c r="I206" s="13">
        <f>($C206*1000/$B$3)/$B202/$B$1</f>
        <v>0.25912533865271664</v>
      </c>
      <c r="J206" s="13">
        <f>(ABS(($F206+0.1)*1000)/$C206)*($I206/$B201)</f>
        <v>8.274538467242562E-2</v>
      </c>
      <c r="K206" s="13">
        <f>(ABS(($G206+0.1)*1000)/$C206)*($I206/IF(B200="",$B201,$B200))</f>
        <v>8.0508501749563498E-3</v>
      </c>
    </row>
    <row r="207" spans="1:13" x14ac:dyDescent="0.3">
      <c r="C207" s="1">
        <v>2301.31</v>
      </c>
      <c r="D207" s="1">
        <v>289.27</v>
      </c>
      <c r="E207" s="1">
        <v>3.17</v>
      </c>
      <c r="F207" s="1">
        <v>4.49</v>
      </c>
      <c r="G207" s="4">
        <v>-490.31</v>
      </c>
      <c r="I207" s="13">
        <f>($C207*1000/$B$3)/$B202/$B$1</f>
        <v>0.3106407523662314</v>
      </c>
      <c r="J207" s="13">
        <f>(ABS(($F207+0.1)*1000)/$C207)*($I207/$B201)</f>
        <v>8.8511143240837501E-4</v>
      </c>
      <c r="K207" s="13">
        <f>(ABS(($G207+0.1)*1000)/$C207)*($I207/IF(B200="",$B201,$B200))</f>
        <v>9.4529515311744985E-2</v>
      </c>
    </row>
    <row r="208" spans="1:13" x14ac:dyDescent="0.3">
      <c r="C208" s="1">
        <v>698.5</v>
      </c>
      <c r="D208" s="1">
        <v>211.05</v>
      </c>
      <c r="E208" s="1">
        <v>4.3</v>
      </c>
      <c r="F208" s="1">
        <v>-9.52</v>
      </c>
      <c r="G208" s="4">
        <v>446.7</v>
      </c>
      <c r="I208" s="13">
        <f>($C208*1000/$B$3)/$B202/$B$1</f>
        <v>9.4286543545985826E-2</v>
      </c>
      <c r="J208" s="13">
        <f>(ABS(($F208+0.1)*1000)/$C208)*($I208/$B201)</f>
        <v>1.8165032011518286E-3</v>
      </c>
      <c r="K208" s="13">
        <f>(ABS(($G208+0.1)*1000)/$C208)*($I208/IF(B200="",$B201,$B200))</f>
        <v>8.6158559477137686E-2</v>
      </c>
      <c r="M208" s="1">
        <v>1.4999999999999999E-2</v>
      </c>
    </row>
    <row r="210" spans="1:17" x14ac:dyDescent="0.3">
      <c r="B210" s="1" t="s">
        <v>19</v>
      </c>
      <c r="C210" s="1" t="s">
        <v>20</v>
      </c>
      <c r="D210" s="1" t="s">
        <v>35</v>
      </c>
      <c r="E210" s="1" t="s">
        <v>36</v>
      </c>
      <c r="F210" s="1" t="s">
        <v>23</v>
      </c>
      <c r="G210" s="1" t="s">
        <v>24</v>
      </c>
    </row>
    <row r="211" spans="1:17" x14ac:dyDescent="0.3">
      <c r="A211" s="11"/>
      <c r="B211" s="18" t="s">
        <v>63</v>
      </c>
      <c r="C211" s="4">
        <v>179.45</v>
      </c>
      <c r="D211" s="1">
        <v>-139.53</v>
      </c>
      <c r="E211" s="1">
        <v>0</v>
      </c>
      <c r="F211" s="1">
        <v>-247.37</v>
      </c>
      <c r="G211" s="1">
        <v>0</v>
      </c>
      <c r="I211" s="13">
        <f>($C211*1000/$B$3)/$B214/$B$1</f>
        <v>2.6634508348794064E-2</v>
      </c>
      <c r="J211" s="13">
        <f>(ABS(($F211+0.1)*1000)/$C211)*($I211/$B213)</f>
        <v>5.2429366551815536E-2</v>
      </c>
      <c r="K211" s="13">
        <f>(ABS(($G211+0.1)*1000)/$C211)*($I211/IF(B212="",$B213,$B212))</f>
        <v>2.9684601113172546E-5</v>
      </c>
      <c r="N211" s="14">
        <f>(((O211/Q211)-4)/4)+2</f>
        <v>1</v>
      </c>
      <c r="O211" s="1">
        <f>B214*M211</f>
        <v>0</v>
      </c>
      <c r="P211" s="1" t="str">
        <f>IF(Q211=490, "D25",IF(Q211=314,"D20","D16"))</f>
        <v>D25</v>
      </c>
      <c r="Q211" s="1">
        <v>490</v>
      </c>
    </row>
    <row r="212" spans="1:17" x14ac:dyDescent="0.3">
      <c r="A212" s="5" t="s">
        <v>41</v>
      </c>
      <c r="B212" s="8">
        <v>500</v>
      </c>
      <c r="C212" s="4">
        <v>5777.31</v>
      </c>
      <c r="D212" s="1">
        <v>0</v>
      </c>
      <c r="E212" s="1">
        <v>32.31</v>
      </c>
      <c r="F212" s="1">
        <v>0</v>
      </c>
      <c r="G212" s="1">
        <v>0</v>
      </c>
      <c r="I212" s="13">
        <f>($C212*1000/$B$3)/$B214/$B$1</f>
        <v>0.85748571428571441</v>
      </c>
      <c r="J212" s="13">
        <f>(ABS(($F212+0.1)*1000)/$C212)*($I212/$B213)</f>
        <v>2.1203286509408964E-5</v>
      </c>
      <c r="K212" s="13">
        <f>(ABS(($G212+0.1)*1000)/$C212)*($I212/IF(B212="",$B213,$B212))</f>
        <v>2.9684601113172546E-5</v>
      </c>
      <c r="N212" s="14">
        <f>(((O212/Q211)-4)/4)+2</f>
        <v>1</v>
      </c>
      <c r="O212" s="1">
        <f>B214*M212</f>
        <v>0</v>
      </c>
      <c r="P212" s="1" t="str">
        <f>IF(Q211=490, "D25",IF(Q211=314,"D20","D16"))</f>
        <v>D25</v>
      </c>
    </row>
    <row r="213" spans="1:17" x14ac:dyDescent="0.3">
      <c r="A213" s="5" t="s">
        <v>43</v>
      </c>
      <c r="B213" s="8">
        <v>700</v>
      </c>
      <c r="C213" s="1">
        <v>685.22</v>
      </c>
      <c r="D213" s="4">
        <v>-387.29</v>
      </c>
      <c r="E213" s="1">
        <v>-65.010000000000005</v>
      </c>
      <c r="F213" s="1">
        <v>-132.47999999999999</v>
      </c>
      <c r="G213" s="1">
        <v>732.08</v>
      </c>
      <c r="I213" s="13">
        <f>($C213*1000/$B$3)/$B214/$B$1</f>
        <v>0.10170241187384045</v>
      </c>
      <c r="J213" s="13">
        <f>(ABS(($F213+0.1)*1000)/$C213)*($I213/$B213)</f>
        <v>2.8068910681155582E-2</v>
      </c>
      <c r="K213" s="13">
        <f>(ABS(($G213+0.1)*1000)/$C213)*($I213/IF(B212="",$B213,$B212))</f>
        <v>0.21734471243042675</v>
      </c>
      <c r="N213" s="14">
        <f>(((O213/Q211)-4)/4)+2</f>
        <v>1</v>
      </c>
      <c r="O213" s="1">
        <f>B214*M213</f>
        <v>0</v>
      </c>
      <c r="P213" s="1" t="str">
        <f>IF(Q211=490, "D25",IF(Q211=314,"D20","D16"))</f>
        <v>D25</v>
      </c>
    </row>
    <row r="214" spans="1:17" x14ac:dyDescent="0.3">
      <c r="A214" s="5" t="s">
        <v>44</v>
      </c>
      <c r="B214" s="15">
        <f>IF(B212="",(0.25*PI()*B213^2),B212*B213)</f>
        <v>350000</v>
      </c>
      <c r="C214" s="1">
        <v>1027.1099999999999</v>
      </c>
      <c r="D214" s="4">
        <v>427.7</v>
      </c>
      <c r="E214" s="1">
        <v>4.29</v>
      </c>
      <c r="F214" s="1">
        <v>25.06</v>
      </c>
      <c r="G214" s="1">
        <v>-806.89</v>
      </c>
      <c r="I214" s="13">
        <f>($C214*1000/$B$3)/$B214/$B$1</f>
        <v>0.15244675324675325</v>
      </c>
      <c r="J214" s="13">
        <f>(ABS(($F214+0.1)*1000)/$C214)*($I214/$B213)</f>
        <v>5.3347468857672942E-3</v>
      </c>
      <c r="K214" s="13">
        <f>(ABS(($G214+0.1)*1000)/$C214)*($I214/IF(B212="",$B213,$B212))</f>
        <v>0.23949239332096481</v>
      </c>
      <c r="N214" s="14">
        <f>(((O214/Q211)-4)/4)+2</f>
        <v>1</v>
      </c>
      <c r="O214" s="1">
        <f>B214*M214</f>
        <v>0</v>
      </c>
      <c r="P214" s="1" t="str">
        <f>IF(Q211=490, "D25",IF(Q211=314,"D20","D16"))</f>
        <v>D25</v>
      </c>
    </row>
    <row r="215" spans="1:17" x14ac:dyDescent="0.3">
      <c r="C215" s="1">
        <v>1124.07</v>
      </c>
      <c r="D215" s="1">
        <v>-4.97</v>
      </c>
      <c r="E215" s="4">
        <v>-298.41000000000003</v>
      </c>
      <c r="F215" s="1">
        <v>-535.79999999999995</v>
      </c>
      <c r="G215" s="1">
        <v>17.850000000000001</v>
      </c>
      <c r="I215" s="13">
        <f>($C215*1000/$B$3)/$B214/$B$1</f>
        <v>0.16683784786641931</v>
      </c>
      <c r="J215" s="13">
        <f>(ABS(($F215+0.1)*1000)/$C215)*($I215/$B213)</f>
        <v>0.11358600583090378</v>
      </c>
      <c r="K215" s="13">
        <f>(ABS(($G215+0.1)*1000)/$C215)*($I215/IF(B212="",$B213,$B212))</f>
        <v>5.3283858998144727E-3</v>
      </c>
      <c r="N215" s="14">
        <f>(((O215/Q211)-4)/4)+2</f>
        <v>1</v>
      </c>
      <c r="O215" s="1">
        <f>B214*M215</f>
        <v>0</v>
      </c>
      <c r="P215" s="1" t="str">
        <f>IF(Q211=490, "D25",IF(Q211=314,"D20","D16"))</f>
        <v>D25</v>
      </c>
    </row>
    <row r="216" spans="1:17" x14ac:dyDescent="0.3">
      <c r="C216" s="1">
        <v>595.96</v>
      </c>
      <c r="D216" s="1">
        <v>55.55</v>
      </c>
      <c r="E216" s="4">
        <v>288.20999999999998</v>
      </c>
      <c r="F216" s="1">
        <v>491.29</v>
      </c>
      <c r="G216" s="1">
        <v>-96.31</v>
      </c>
      <c r="I216" s="13">
        <f>($C216*1000/$B$3)/$B214/$B$1</f>
        <v>8.8454174397031543E-2</v>
      </c>
      <c r="J216" s="13">
        <f>(ABS(($F216+0.1)*1000)/$C216)*($I216/$B213)</f>
        <v>0.10419082957858469</v>
      </c>
      <c r="K216" s="13">
        <f>(ABS(($G216+0.1)*1000)/$C216)*($I216/IF(B212="",$B213,$B212))</f>
        <v>2.8559554730983303E-2</v>
      </c>
      <c r="N216" s="14"/>
      <c r="P216" s="1" t="str">
        <f>IF(Q211=490, "D25",IF(Q211=314,"D20","D16"))</f>
        <v>D25</v>
      </c>
    </row>
    <row r="217" spans="1:17" x14ac:dyDescent="0.3">
      <c r="C217" s="1">
        <v>556.29999999999995</v>
      </c>
      <c r="D217" s="1">
        <v>55.55</v>
      </c>
      <c r="E217" s="1">
        <v>288.20999999999998</v>
      </c>
      <c r="F217" s="4">
        <v>-661.54</v>
      </c>
      <c r="G217" s="1">
        <v>125.87</v>
      </c>
      <c r="I217" s="13">
        <f>($C217*1000/$B$3)/$B214/$B$1</f>
        <v>8.2567717996289439E-2</v>
      </c>
      <c r="J217" s="13">
        <f>(ABS(($F217+0.1)*1000)/$C217)*($I217/$B213)</f>
        <v>0.14024701828783462</v>
      </c>
      <c r="K217" s="13">
        <f>(ABS(($G217+0.1)*1000)/$C217)*($I217/IF(B212="",$B213,$B212))</f>
        <v>3.7393692022263461E-2</v>
      </c>
      <c r="M217" s="1">
        <v>1.4999999999999999E-2</v>
      </c>
      <c r="N217" s="14">
        <f>(((O217/Q211)-4)/4)+2</f>
        <v>3.6785714285714284</v>
      </c>
      <c r="O217" s="1">
        <f>B214*M217</f>
        <v>5250</v>
      </c>
      <c r="P217" s="1" t="str">
        <f>IF(Q211=490, "D25",IF(Q211=314,"D20","D16"))</f>
        <v>D25</v>
      </c>
    </row>
    <row r="218" spans="1:17" x14ac:dyDescent="0.3">
      <c r="C218" s="1">
        <v>1084.4100000000001</v>
      </c>
      <c r="D218" s="1">
        <v>-4.97</v>
      </c>
      <c r="E218" s="1">
        <v>-298.41000000000003</v>
      </c>
      <c r="F218" s="4">
        <v>657.84</v>
      </c>
      <c r="G218" s="1">
        <v>-2.02</v>
      </c>
      <c r="I218" s="13">
        <f>($C218*1000/$B$3)/$B214/$B$1</f>
        <v>0.16095139146567719</v>
      </c>
      <c r="J218" s="13">
        <f>(ABS(($F218+0.1)*1000)/$C218)*($I218/$B213)</f>
        <v>0.13950490326000531</v>
      </c>
      <c r="K218" s="13">
        <f>(ABS(($G218+0.1)*1000)/$C218)*($I218/IF(B212="",$B213,$B212))</f>
        <v>5.6994434137291286E-4</v>
      </c>
      <c r="N218" s="14">
        <f>(((O218/Q211)-4)/4)+2</f>
        <v>1</v>
      </c>
      <c r="O218" s="1">
        <f>B214*M218</f>
        <v>0</v>
      </c>
      <c r="P218" s="1" t="str">
        <f>IF(Q211=490, "D25",IF(Q211=314,"D20","D16"))</f>
        <v>D25</v>
      </c>
    </row>
    <row r="219" spans="1:17" x14ac:dyDescent="0.3">
      <c r="C219" s="1">
        <v>655.48</v>
      </c>
      <c r="D219" s="1">
        <v>-387.29</v>
      </c>
      <c r="E219" s="1">
        <v>-65.010000000000005</v>
      </c>
      <c r="F219" s="1">
        <v>127.57</v>
      </c>
      <c r="G219" s="4">
        <v>-817.07</v>
      </c>
      <c r="I219" s="13">
        <f>($C219*1000/$B$3)/$B214/$B$1</f>
        <v>9.7288311688311702E-2</v>
      </c>
      <c r="J219" s="13">
        <f>(ABS(($F219+0.1)*1000)/$C219)*($I219/$B213)</f>
        <v>2.7070235886562415E-2</v>
      </c>
      <c r="K219" s="13">
        <f>(ABS(($G219+0.1)*1000)/$C219)*($I219/IF(B212="",$B213,$B212))</f>
        <v>0.24251428571428574</v>
      </c>
      <c r="N219" s="14">
        <f>(((O219/Q211)-4)/4)+2</f>
        <v>1</v>
      </c>
      <c r="O219" s="1">
        <f>B214*M219</f>
        <v>0</v>
      </c>
      <c r="P219" s="1" t="str">
        <f>IF(Q211=490, "D25",IF(Q211=314,"D20","D16"))</f>
        <v>D25</v>
      </c>
    </row>
    <row r="220" spans="1:17" x14ac:dyDescent="0.3">
      <c r="C220" s="1">
        <v>987.45</v>
      </c>
      <c r="D220" s="1">
        <v>427.7</v>
      </c>
      <c r="E220" s="1">
        <v>4.29</v>
      </c>
      <c r="F220" s="1">
        <v>7.92</v>
      </c>
      <c r="G220" s="4">
        <v>903.9</v>
      </c>
      <c r="I220" s="13">
        <f>($C220*1000/$B$3)/$B214/$B$1</f>
        <v>0.14656029684601116</v>
      </c>
      <c r="J220" s="13">
        <f>(ABS(($F220+0.1)*1000)/$C220)*($I220/$B213)</f>
        <v>1.7005035780545989E-3</v>
      </c>
      <c r="K220" s="13">
        <f>(ABS(($G220+0.1)*1000)/$C220)*($I220/IF(B212="",$B213,$B212))</f>
        <v>0.26834879406307982</v>
      </c>
      <c r="M220" s="1">
        <v>0.02</v>
      </c>
      <c r="N220" s="14">
        <f>(((O220/Q211)-4)/4)+2</f>
        <v>4.5714285714285712</v>
      </c>
      <c r="O220" s="1">
        <f>B214*M220</f>
        <v>7000</v>
      </c>
      <c r="P220" s="1" t="str">
        <f>IF(Q211=490, "D25",IF(Q211=314,"D20","D16"))</f>
        <v>D25</v>
      </c>
    </row>
    <row r="221" spans="1:17" x14ac:dyDescent="0.3">
      <c r="A221" s="12"/>
    </row>
    <row r="222" spans="1:17" x14ac:dyDescent="0.3">
      <c r="B222" s="1" t="s">
        <v>19</v>
      </c>
      <c r="C222" s="1" t="s">
        <v>20</v>
      </c>
      <c r="D222" s="1" t="s">
        <v>35</v>
      </c>
      <c r="E222" s="1" t="s">
        <v>36</v>
      </c>
      <c r="F222" s="1" t="s">
        <v>23</v>
      </c>
      <c r="G222" s="1" t="s">
        <v>24</v>
      </c>
    </row>
    <row r="223" spans="1:17" x14ac:dyDescent="0.3">
      <c r="A223" s="11"/>
      <c r="B223" s="18" t="s">
        <v>64</v>
      </c>
      <c r="C223" s="4">
        <v>38.590000000000003</v>
      </c>
      <c r="D223" s="1">
        <v>-124.26</v>
      </c>
      <c r="E223" s="1">
        <v>0</v>
      </c>
      <c r="F223" s="1">
        <v>122.05</v>
      </c>
      <c r="G223" s="1">
        <v>0</v>
      </c>
      <c r="I223" s="13">
        <f>($C223*1000/$B$3)/$B226/$B$1</f>
        <v>4.1764069264069274E-3</v>
      </c>
      <c r="J223" s="13">
        <f>(ABS(($F223+0.1)*1000)/$C223)*($I223/$B225)</f>
        <v>1.6524621212121213E-2</v>
      </c>
      <c r="K223" s="13">
        <f>(ABS(($G223+0.1)*1000)/$C223)*($I223/IF(B224="",$B225,$B224))</f>
        <v>1.8037518037518041E-5</v>
      </c>
      <c r="N223" s="14">
        <f>(((O223/Q223)-4)/4)+2</f>
        <v>1</v>
      </c>
      <c r="O223" s="1">
        <f>B226*M223</f>
        <v>0</v>
      </c>
      <c r="P223" s="1" t="str">
        <f>IF(Q223=490, "D25",IF(Q223=314,"D20","D16"))</f>
        <v>D25</v>
      </c>
      <c r="Q223" s="1">
        <v>490</v>
      </c>
    </row>
    <row r="224" spans="1:17" x14ac:dyDescent="0.3">
      <c r="A224" s="5" t="s">
        <v>41</v>
      </c>
      <c r="B224" s="8">
        <v>600</v>
      </c>
      <c r="C224" s="4">
        <v>7728.73</v>
      </c>
      <c r="D224" s="1">
        <v>0</v>
      </c>
      <c r="E224" s="1">
        <v>12.32</v>
      </c>
      <c r="F224" s="1">
        <v>0</v>
      </c>
      <c r="G224" s="1">
        <v>0</v>
      </c>
      <c r="I224" s="13">
        <f>($C224*1000/$B$3)/$B226/$B$1</f>
        <v>0.83644264069264074</v>
      </c>
      <c r="J224" s="13">
        <f>(ABS(($F224+0.1)*1000)/$C224)*($I224/$B225)</f>
        <v>1.3528138528138528E-5</v>
      </c>
      <c r="K224" s="13">
        <f>(ABS(($G224+0.1)*1000)/$C224)*($I224/IF(B224="",$B225,$B224))</f>
        <v>1.8037518037518041E-5</v>
      </c>
      <c r="N224" s="14">
        <f>(((O224/Q223)-4)/4)+2</f>
        <v>1</v>
      </c>
      <c r="O224" s="1">
        <f>B226*M224</f>
        <v>0</v>
      </c>
      <c r="P224" s="1" t="str">
        <f>IF(Q223=490, "D25",IF(Q223=314,"D20","D16"))</f>
        <v>D25</v>
      </c>
    </row>
    <row r="225" spans="1:17" x14ac:dyDescent="0.3">
      <c r="A225" s="5" t="s">
        <v>43</v>
      </c>
      <c r="B225" s="8">
        <v>800</v>
      </c>
      <c r="C225" s="1">
        <v>1755.1</v>
      </c>
      <c r="D225" s="4">
        <v>-506.16</v>
      </c>
      <c r="E225" s="1">
        <v>-42.23</v>
      </c>
      <c r="F225" s="1">
        <v>-84.93</v>
      </c>
      <c r="G225" s="1">
        <v>1010.69</v>
      </c>
      <c r="I225" s="13">
        <f>($C225*1000/$B$3)/$B226/$B$1</f>
        <v>0.18994588744588747</v>
      </c>
      <c r="J225" s="13">
        <f>(ABS(($F225+0.1)*1000)/$C225)*($I225/$B225)</f>
        <v>1.1475919913419919E-2</v>
      </c>
      <c r="K225" s="13">
        <f>(ABS(($G225+0.1)*1000)/$C225)*($I225/IF(B224="",$B225,$B224))</f>
        <v>0.18232142857142861</v>
      </c>
      <c r="N225" s="14">
        <f>(((O225/Q223)-4)/4)+2</f>
        <v>1</v>
      </c>
      <c r="O225" s="1">
        <f>B226*M225</f>
        <v>0</v>
      </c>
      <c r="P225" s="1" t="str">
        <f>IF(Q223=490, "D25",IF(Q223=314,"D20","D16"))</f>
        <v>D25</v>
      </c>
    </row>
    <row r="226" spans="1:17" x14ac:dyDescent="0.3">
      <c r="A226" s="5" t="s">
        <v>44</v>
      </c>
      <c r="B226" s="15">
        <f>IF(B224="",(0.25*PI()*B225^2),B224*B225)</f>
        <v>480000</v>
      </c>
      <c r="C226" s="1">
        <v>1839.22</v>
      </c>
      <c r="D226" s="4">
        <v>429.94</v>
      </c>
      <c r="E226" s="1">
        <v>106.59</v>
      </c>
      <c r="F226" s="1">
        <v>222.2</v>
      </c>
      <c r="G226" s="1">
        <v>-851.63</v>
      </c>
      <c r="I226" s="13">
        <f>($C226*1000/$B$3)/$B226/$B$1</f>
        <v>0.19904978354978356</v>
      </c>
      <c r="J226" s="13">
        <f>(ABS(($F226+0.1)*1000)/$C226)*($I226/$B225)</f>
        <v>3.0073051948051949E-2</v>
      </c>
      <c r="K226" s="13">
        <f>(ABS(($G226+0.1)*1000)/$C226)*($I226/IF(B224="",$B225,$B224))</f>
        <v>0.15359487734487737</v>
      </c>
      <c r="N226" s="14">
        <f>(((O226/Q223)-4)/4)+2</f>
        <v>1</v>
      </c>
      <c r="O226" s="1">
        <f>B226*M226</f>
        <v>0</v>
      </c>
      <c r="P226" s="1" t="str">
        <f>IF(Q223=490, "D25",IF(Q223=314,"D20","D16"))</f>
        <v>D25</v>
      </c>
    </row>
    <row r="227" spans="1:17" x14ac:dyDescent="0.3">
      <c r="C227" s="1">
        <v>733.64</v>
      </c>
      <c r="D227" s="1">
        <v>-75.06</v>
      </c>
      <c r="E227" s="4">
        <v>-287.27</v>
      </c>
      <c r="F227" s="1">
        <v>-490.23</v>
      </c>
      <c r="G227" s="1">
        <v>150.57</v>
      </c>
      <c r="I227" s="13">
        <f>($C227*1000/$B$3)/$B226/$B$1</f>
        <v>7.9398268398268398E-2</v>
      </c>
      <c r="J227" s="13">
        <f>(ABS(($F227+0.1)*1000)/$C227)*($I227/$B225)</f>
        <v>6.6305465367965374E-2</v>
      </c>
      <c r="K227" s="13">
        <f>(ABS(($G227+0.1)*1000)/$C227)*($I227/IF(B224="",$B225,$B224))</f>
        <v>2.7177128427128432E-2</v>
      </c>
      <c r="N227" s="14">
        <f>(((O227/Q223)-4)/4)+2</f>
        <v>1</v>
      </c>
      <c r="O227" s="1">
        <f>B226*M227</f>
        <v>0</v>
      </c>
      <c r="P227" s="1" t="str">
        <f>IF(Q223=490, "D25",IF(Q223=314,"D20","D16"))</f>
        <v>D25</v>
      </c>
    </row>
    <row r="228" spans="1:17" x14ac:dyDescent="0.3">
      <c r="C228" s="1">
        <v>1241.1300000000001</v>
      </c>
      <c r="D228" s="1">
        <v>2.04</v>
      </c>
      <c r="E228" s="4">
        <v>373.67</v>
      </c>
      <c r="F228" s="1">
        <v>665.89</v>
      </c>
      <c r="G228" s="1">
        <v>-11.73</v>
      </c>
      <c r="I228" s="13">
        <f>($C228*1000/$B$3)/$B226/$B$1</f>
        <v>0.13432142857142859</v>
      </c>
      <c r="J228" s="13">
        <f>(ABS(($F228+0.1)*1000)/$C228)*($I228/$B225)</f>
        <v>9.0096049783549792E-2</v>
      </c>
      <c r="K228" s="13">
        <f>(ABS(($G228+0.1)*1000)/$C228)*($I228/IF(B224="",$B225,$B224))</f>
        <v>2.0977633477633475E-3</v>
      </c>
      <c r="N228" s="14">
        <f>(((O228/Q223)-4)/4)+2</f>
        <v>1</v>
      </c>
      <c r="O228" s="1">
        <f>B226*M228</f>
        <v>0</v>
      </c>
      <c r="P228" s="1" t="str">
        <f>IF(Q223=490, "D25",IF(Q223=314,"D20","D16"))</f>
        <v>D25</v>
      </c>
    </row>
    <row r="229" spans="1:17" x14ac:dyDescent="0.3">
      <c r="C229" s="1">
        <v>1186.73</v>
      </c>
      <c r="D229" s="1">
        <v>2.04</v>
      </c>
      <c r="E229" s="1">
        <v>373.67</v>
      </c>
      <c r="F229" s="4">
        <v>-828.77</v>
      </c>
      <c r="G229" s="1">
        <v>-3.58</v>
      </c>
      <c r="I229" s="13">
        <f>($C229*1000/$B$3)/$B226/$B$1</f>
        <v>0.12843398268398271</v>
      </c>
      <c r="J229" s="13">
        <f>(ABS(($F229+0.1)*1000)/$C229)*($I229/$B225)</f>
        <v>0.11210362554112556</v>
      </c>
      <c r="K229" s="13">
        <f>(ABS(($G229+0.1)*1000)/$C229)*($I229/IF(B224="",$B225,$B224))</f>
        <v>6.2770562770562781E-4</v>
      </c>
      <c r="M229" s="1">
        <v>0.02</v>
      </c>
      <c r="N229" s="14">
        <f>(((O229/Q223)-4)/4)+2</f>
        <v>5.8979591836734695</v>
      </c>
      <c r="O229" s="1">
        <f>B226*M229</f>
        <v>9600</v>
      </c>
      <c r="P229" s="1" t="str">
        <f>IF(Q223=490, "D25",IF(Q223=314,"D20","D16"))</f>
        <v>D25</v>
      </c>
    </row>
    <row r="230" spans="1:17" x14ac:dyDescent="0.3">
      <c r="C230" s="1">
        <v>3346.64</v>
      </c>
      <c r="D230" s="1">
        <v>9.7100000000000009</v>
      </c>
      <c r="E230" s="1">
        <v>274.47000000000003</v>
      </c>
      <c r="F230" s="4">
        <v>741.01</v>
      </c>
      <c r="G230" s="1">
        <v>-31.37</v>
      </c>
      <c r="I230" s="13">
        <f>($C230*1000/$B$3)/$B226/$B$1</f>
        <v>0.36219047619047623</v>
      </c>
      <c r="J230" s="13">
        <f>(ABS(($F230+0.1)*1000)/$C230)*($I230/$B225)</f>
        <v>0.10025838744588746</v>
      </c>
      <c r="K230" s="13">
        <f>(ABS(($G230+0.1)*1000)/$C230)*($I230/IF(B224="",$B225,$B224))</f>
        <v>5.6403318903318908E-3</v>
      </c>
      <c r="N230" s="14">
        <f>(((O230/Q223)-4)/4)+2</f>
        <v>1</v>
      </c>
      <c r="O230" s="1">
        <f>B226*M230</f>
        <v>0</v>
      </c>
      <c r="P230" s="1" t="str">
        <f>IF(Q223=490, "D25",IF(Q223=314,"D20","D16"))</f>
        <v>D25</v>
      </c>
    </row>
    <row r="231" spans="1:17" x14ac:dyDescent="0.3">
      <c r="C231" s="1">
        <v>1700.71</v>
      </c>
      <c r="D231" s="1">
        <v>-506.16</v>
      </c>
      <c r="E231" s="1">
        <v>-42.23</v>
      </c>
      <c r="F231" s="1">
        <v>84</v>
      </c>
      <c r="G231" s="4">
        <v>-1013.95</v>
      </c>
      <c r="I231" s="13">
        <f>($C231*1000/$B$3)/$B226/$B$1</f>
        <v>0.18405952380952384</v>
      </c>
      <c r="J231" s="13">
        <f>(ABS(($F231+0.1)*1000)/$C231)*($I231/$B225)</f>
        <v>1.1377164502164505E-2</v>
      </c>
      <c r="K231" s="13">
        <f>(ABS(($G231+0.1)*1000)/$C231)*($I231/IF(B224="",$B225,$B224))</f>
        <v>0.18287337662337663</v>
      </c>
      <c r="M231" s="1">
        <v>0.03</v>
      </c>
      <c r="N231" s="14">
        <f>(((O231/Q223)-4)/4)+2</f>
        <v>8.3469387755102034</v>
      </c>
      <c r="O231" s="1">
        <f>B226*M231</f>
        <v>14400</v>
      </c>
      <c r="P231" s="1" t="str">
        <f>IF(Q223=490, "D25",IF(Q223=314,"D20","D16"))</f>
        <v>D25</v>
      </c>
    </row>
    <row r="232" spans="1:17" x14ac:dyDescent="0.3">
      <c r="C232" s="1">
        <v>2596.1999999999998</v>
      </c>
      <c r="D232" s="1">
        <v>-393.02</v>
      </c>
      <c r="E232" s="1">
        <v>-18.89</v>
      </c>
      <c r="F232" s="1">
        <v>-50.86</v>
      </c>
      <c r="G232" s="4">
        <v>1020.62</v>
      </c>
      <c r="I232" s="13">
        <f>($C232*1000/$B$3)/$B226/$B$1</f>
        <v>0.28097402597402599</v>
      </c>
      <c r="J232" s="13">
        <f>(ABS(($F232+0.1)*1000)/$C232)*($I232/$B225)</f>
        <v>6.8668831168831185E-3</v>
      </c>
      <c r="K232" s="13">
        <f>(ABS(($G232+0.1)*1000)/$C232)*($I232/IF(B224="",$B225,$B224))</f>
        <v>0.18411255411255414</v>
      </c>
      <c r="N232" s="14">
        <f>(((O232/Q223)-4)/4)+2</f>
        <v>1</v>
      </c>
      <c r="O232" s="1">
        <f>B226*M232</f>
        <v>0</v>
      </c>
      <c r="P232" s="1" t="str">
        <f>IF(Q223=490, "D25",IF(Q223=314,"D20","D16"))</f>
        <v>D25</v>
      </c>
    </row>
    <row r="233" spans="1:17" x14ac:dyDescent="0.3">
      <c r="G233" s="16"/>
      <c r="I233" s="13"/>
      <c r="J233" s="13"/>
      <c r="K233" s="13"/>
      <c r="N233" s="14"/>
    </row>
    <row r="234" spans="1:17" x14ac:dyDescent="0.3">
      <c r="B234" s="1" t="s">
        <v>19</v>
      </c>
      <c r="C234" s="1" t="s">
        <v>20</v>
      </c>
      <c r="D234" s="1" t="s">
        <v>35</v>
      </c>
      <c r="E234" s="1" t="s">
        <v>36</v>
      </c>
      <c r="F234" s="1" t="s">
        <v>23</v>
      </c>
      <c r="G234" s="1" t="s">
        <v>24</v>
      </c>
    </row>
    <row r="235" spans="1:17" x14ac:dyDescent="0.3">
      <c r="A235" s="11"/>
      <c r="B235" s="18" t="s">
        <v>65</v>
      </c>
      <c r="C235" s="4">
        <v>108.78</v>
      </c>
      <c r="D235" s="1">
        <v>74.7</v>
      </c>
      <c r="E235" s="1">
        <v>0</v>
      </c>
      <c r="F235" s="1">
        <v>36.53</v>
      </c>
      <c r="G235" s="1">
        <v>0</v>
      </c>
      <c r="I235" s="13">
        <f>($C235*1000/$B$3)/$B238/$B$1</f>
        <v>1.6145454545454546E-2</v>
      </c>
      <c r="J235" s="13">
        <f>(ABS(($F235+0.1)*1000)/$C235)*($I235/$B237)</f>
        <v>7.7667638483965018E-3</v>
      </c>
      <c r="K235" s="13">
        <f>(ABS(($G235+0.1)*1000)/$C235)*($I235/IF(B236="",$B237,$B236))</f>
        <v>2.9684601113172539E-5</v>
      </c>
      <c r="N235" s="14">
        <f>(((O235/Q235)-4)/4)+2</f>
        <v>1</v>
      </c>
      <c r="O235" s="1">
        <f>B238*M235</f>
        <v>0</v>
      </c>
      <c r="P235" s="1" t="str">
        <f>IF(Q235=490, "D25",IF(Q235=314,"D20","D16"))</f>
        <v>D25</v>
      </c>
      <c r="Q235" s="1">
        <v>490</v>
      </c>
    </row>
    <row r="236" spans="1:17" x14ac:dyDescent="0.3">
      <c r="A236" s="5" t="s">
        <v>41</v>
      </c>
      <c r="B236" s="8">
        <v>500</v>
      </c>
      <c r="C236" s="4">
        <v>1970.48</v>
      </c>
      <c r="D236" s="1">
        <v>0</v>
      </c>
      <c r="E236" s="1">
        <v>20.97</v>
      </c>
      <c r="F236" s="1">
        <v>0</v>
      </c>
      <c r="G236" s="1">
        <v>0</v>
      </c>
      <c r="I236" s="13">
        <f>($C236*1000/$B$3)/$B238/$B$1</f>
        <v>0.29246456400742116</v>
      </c>
      <c r="J236" s="13">
        <f>(ABS(($F236+0.1)*1000)/$C236)*($I236/$B237)</f>
        <v>2.1203286509408958E-5</v>
      </c>
      <c r="K236" s="13">
        <f>(ABS(($G236+0.1)*1000)/$C236)*($I236/IF(B236="",$B237,$B236))</f>
        <v>2.9684601113172539E-5</v>
      </c>
      <c r="N236" s="14">
        <f>(((O236/Q235)-4)/4)+2</f>
        <v>1</v>
      </c>
      <c r="O236" s="1">
        <f>B238*M236</f>
        <v>0</v>
      </c>
      <c r="P236" s="1" t="str">
        <f>IF(Q235=490, "D25",IF(Q235=314,"D20","D16"))</f>
        <v>D25</v>
      </c>
    </row>
    <row r="237" spans="1:17" x14ac:dyDescent="0.3">
      <c r="A237" s="5" t="s">
        <v>43</v>
      </c>
      <c r="B237" s="8">
        <v>700</v>
      </c>
      <c r="C237" s="1">
        <v>737.13</v>
      </c>
      <c r="D237" s="4">
        <v>-124.68</v>
      </c>
      <c r="E237" s="1">
        <v>-22.98</v>
      </c>
      <c r="F237" s="1">
        <v>0</v>
      </c>
      <c r="G237" s="1">
        <v>0</v>
      </c>
      <c r="I237" s="13">
        <f>($C237*1000/$B$3)/$B238/$B$1</f>
        <v>0.1094070500927644</v>
      </c>
      <c r="J237" s="13">
        <f>(ABS(($F237+0.1)*1000)/$C237)*($I237/$B237)</f>
        <v>2.1203286509408961E-5</v>
      </c>
      <c r="K237" s="13">
        <f>(ABS(($G237+0.1)*1000)/$C237)*($I237/IF(B236="",$B237,$B236))</f>
        <v>2.9684601113172546E-5</v>
      </c>
      <c r="N237" s="14">
        <f>(((O237/Q235)-4)/4)+2</f>
        <v>1</v>
      </c>
      <c r="O237" s="1">
        <f>B238*M237</f>
        <v>0</v>
      </c>
      <c r="P237" s="1" t="str">
        <f>IF(Q235=490, "D25",IF(Q235=314,"D20","D16"))</f>
        <v>D25</v>
      </c>
    </row>
    <row r="238" spans="1:17" x14ac:dyDescent="0.3">
      <c r="A238" s="5" t="s">
        <v>44</v>
      </c>
      <c r="B238" s="15">
        <f>IF(B236="",(0.25*PI()*B237^2),B236*B237)</f>
        <v>350000</v>
      </c>
      <c r="C238" s="1">
        <v>977.3</v>
      </c>
      <c r="D238" s="4">
        <v>121.89</v>
      </c>
      <c r="E238" s="1">
        <v>30.51</v>
      </c>
      <c r="F238" s="1">
        <v>0</v>
      </c>
      <c r="G238" s="1">
        <v>0</v>
      </c>
      <c r="I238" s="13">
        <f>($C238*1000/$B$3)/$B238/$B$1</f>
        <v>0.14505380333951765</v>
      </c>
      <c r="J238" s="13">
        <f>(ABS(($F238+0.1)*1000)/$C238)*($I238/$B237)</f>
        <v>2.1203286509408961E-5</v>
      </c>
      <c r="K238" s="13">
        <f>(ABS(($G238+0.1)*1000)/$C238)*($I238/IF(B236="",$B237,$B236))</f>
        <v>2.968460111317255E-5</v>
      </c>
      <c r="N238" s="14">
        <f>(((O238/Q235)-4)/4)+2</f>
        <v>1</v>
      </c>
      <c r="O238" s="1">
        <f>B238*M238</f>
        <v>0</v>
      </c>
      <c r="P238" s="1" t="str">
        <f>IF(Q235=490, "D25",IF(Q235=314,"D20","D16"))</f>
        <v>D25</v>
      </c>
    </row>
    <row r="239" spans="1:17" x14ac:dyDescent="0.3">
      <c r="C239" s="1">
        <v>167.12</v>
      </c>
      <c r="D239" s="1">
        <v>-18.579999999999998</v>
      </c>
      <c r="E239" s="4">
        <v>-88.64</v>
      </c>
      <c r="F239" s="1">
        <v>-179.11</v>
      </c>
      <c r="G239" s="1">
        <v>38.35</v>
      </c>
      <c r="I239" s="13">
        <f>($C239*1000/$B$3)/$B238/$B$1</f>
        <v>2.4804452690166977E-2</v>
      </c>
      <c r="J239" s="13">
        <f>(ABS(($F239+0.1)*1000)/$C239)*($I239/$B237)</f>
        <v>3.7956003180492984E-2</v>
      </c>
      <c r="K239" s="13">
        <f>(ABS(($G239+0.1)*1000)/$C239)*($I239/IF(B236="",$B237,$B236))</f>
        <v>1.1413729128014841E-2</v>
      </c>
      <c r="N239" s="14">
        <f>(((O239/Q235)-4)/4)+2</f>
        <v>1</v>
      </c>
      <c r="O239" s="1">
        <f>B238*M239</f>
        <v>0</v>
      </c>
      <c r="P239" s="1" t="str">
        <f>IF(Q235=490, "D25",IF(Q235=314,"D20","D16"))</f>
        <v>D25</v>
      </c>
    </row>
    <row r="240" spans="1:17" x14ac:dyDescent="0.3">
      <c r="C240" s="1">
        <v>336.02</v>
      </c>
      <c r="D240" s="1">
        <v>5.01</v>
      </c>
      <c r="E240" s="4">
        <v>173.42</v>
      </c>
      <c r="F240" s="1">
        <v>372.88</v>
      </c>
      <c r="G240" s="1">
        <v>-57.99</v>
      </c>
      <c r="I240" s="13">
        <f>($C240*1000/$B$3)/$B238/$B$1</f>
        <v>4.9873098330241186E-2</v>
      </c>
      <c r="J240" s="13">
        <f>(ABS(($F240+0.1)*1000)/$C240)*($I240/$B237)</f>
        <v>7.9084018022793537E-2</v>
      </c>
      <c r="K240" s="13">
        <f>(ABS(($G240+0.1)*1000)/$C240)*($I240/IF(B236="",$B237,$B236))</f>
        <v>1.7184415584415587E-2</v>
      </c>
      <c r="N240" s="14"/>
      <c r="P240" s="1" t="str">
        <f>IF(Q235=490, "D25",IF(Q235=314,"D20","D16"))</f>
        <v>D25</v>
      </c>
    </row>
    <row r="241" spans="1:17" x14ac:dyDescent="0.3">
      <c r="C241" s="1">
        <v>286.44</v>
      </c>
      <c r="D241" s="1">
        <v>5.01</v>
      </c>
      <c r="E241" s="1">
        <v>167.76</v>
      </c>
      <c r="F241" s="4">
        <v>-474.41</v>
      </c>
      <c r="G241" s="1">
        <v>-32.94</v>
      </c>
      <c r="I241" s="13">
        <f>($C241*1000/$B$3)/$B238/$B$1</f>
        <v>4.2514285714285713E-2</v>
      </c>
      <c r="J241" s="13">
        <f>(ABS(($F241+0.1)*1000)/$C241)*($I241/$B237)</f>
        <v>0.10056930824277763</v>
      </c>
      <c r="K241" s="13">
        <f>(ABS(($G241+0.1)*1000)/$C241)*($I241/IF(B236="",$B237,$B236))</f>
        <v>9.7484230055658611E-3</v>
      </c>
      <c r="M241" s="1">
        <v>1.4999999999999999E-2</v>
      </c>
      <c r="N241" s="14">
        <f>(((O241/Q235)-4)/4)+2</f>
        <v>3.6785714285714284</v>
      </c>
      <c r="O241" s="1">
        <f>B238*M241</f>
        <v>5250</v>
      </c>
      <c r="P241" s="1" t="str">
        <f>IF(Q235=490, "D25",IF(Q235=314,"D20","D16"))</f>
        <v>D25</v>
      </c>
    </row>
    <row r="242" spans="1:17" x14ac:dyDescent="0.3">
      <c r="C242" s="1">
        <v>336.02</v>
      </c>
      <c r="D242" s="1">
        <v>5.01</v>
      </c>
      <c r="E242" s="1">
        <v>173.42</v>
      </c>
      <c r="F242" s="4">
        <v>372.88</v>
      </c>
      <c r="G242" s="1">
        <v>-57.99</v>
      </c>
      <c r="I242" s="13">
        <f>($C242*1000/$B$3)/$B238/$B$1</f>
        <v>4.9873098330241186E-2</v>
      </c>
      <c r="J242" s="13">
        <f>(ABS(($F242+0.1)*1000)/$C242)*($I242/$B237)</f>
        <v>7.9084018022793537E-2</v>
      </c>
      <c r="K242" s="13">
        <f>(ABS(($G242+0.1)*1000)/$C242)*($I242/IF(B236="",$B237,$B236))</f>
        <v>1.7184415584415587E-2</v>
      </c>
      <c r="N242" s="14">
        <f>(((O242/Q235)-4)/4)+2</f>
        <v>1</v>
      </c>
      <c r="O242" s="1">
        <f>B238*M242</f>
        <v>0</v>
      </c>
      <c r="P242" s="1" t="str">
        <f>IF(Q235=490, "D25",IF(Q235=314,"D20","D16"))</f>
        <v>D25</v>
      </c>
    </row>
    <row r="243" spans="1:17" x14ac:dyDescent="0.3">
      <c r="C243" s="1">
        <v>710.87</v>
      </c>
      <c r="D243" s="1">
        <v>-111.13</v>
      </c>
      <c r="E243" s="1">
        <v>42.11</v>
      </c>
      <c r="F243" s="1">
        <v>-164.52</v>
      </c>
      <c r="G243" s="4">
        <v>-368.44</v>
      </c>
      <c r="I243" s="13">
        <f>($C243*1000/$B$3)/$B238/$B$1</f>
        <v>0.10550946196660484</v>
      </c>
      <c r="J243" s="13">
        <f>(ABS(($F243+0.1)*1000)/$C243)*($I243/$B237)</f>
        <v>3.486244367877022E-2</v>
      </c>
      <c r="K243" s="13">
        <f>(ABS(($G243+0.1)*1000)/$C243)*($I243/IF(B236="",$B237,$B236))</f>
        <v>0.10934025974025975</v>
      </c>
      <c r="N243" s="14">
        <f>(((O243/Q235)-4)/4)+2</f>
        <v>1</v>
      </c>
      <c r="O243" s="1">
        <f>B238*M243</f>
        <v>0</v>
      </c>
      <c r="P243" s="1" t="str">
        <f>IF(Q235=490, "D25",IF(Q235=314,"D20","D16"))</f>
        <v>D25</v>
      </c>
    </row>
    <row r="244" spans="1:17" x14ac:dyDescent="0.3">
      <c r="C244" s="1">
        <v>318.58</v>
      </c>
      <c r="D244" s="1">
        <v>110.8</v>
      </c>
      <c r="E244" s="1">
        <v>18.12</v>
      </c>
      <c r="F244" s="1">
        <v>-69.39</v>
      </c>
      <c r="G244" s="4">
        <v>370.69</v>
      </c>
      <c r="I244" s="13">
        <f>($C244*1000/$B$3)/$B238/$B$1</f>
        <v>4.7284601113172543E-2</v>
      </c>
      <c r="J244" s="13">
        <f>(ABS(($F244+0.1)*1000)/$C244)*($I244/$B237)</f>
        <v>1.469175722236947E-2</v>
      </c>
      <c r="K244" s="13">
        <f>(ABS(($G244+0.1)*1000)/$C244)*($I244/IF(B236="",$B237,$B236))</f>
        <v>0.11006753246753247</v>
      </c>
      <c r="M244" s="1">
        <v>0.02</v>
      </c>
      <c r="N244" s="14">
        <f>(((O244/Q235)-4)/4)+2</f>
        <v>4.5714285714285712</v>
      </c>
      <c r="O244" s="1">
        <f>B238*M244</f>
        <v>7000</v>
      </c>
      <c r="P244" s="1" t="str">
        <f>IF(Q235=490, "D25",IF(Q235=314,"D20","D16"))</f>
        <v>D25</v>
      </c>
    </row>
    <row r="246" spans="1:17" x14ac:dyDescent="0.3">
      <c r="B246" s="1" t="s">
        <v>19</v>
      </c>
      <c r="C246" s="1" t="s">
        <v>20</v>
      </c>
      <c r="D246" s="1" t="s">
        <v>35</v>
      </c>
      <c r="E246" s="1" t="s">
        <v>36</v>
      </c>
      <c r="F246" s="1" t="s">
        <v>23</v>
      </c>
      <c r="G246" s="1" t="s">
        <v>24</v>
      </c>
    </row>
    <row r="247" spans="1:17" x14ac:dyDescent="0.3">
      <c r="A247" s="11"/>
      <c r="B247" s="18" t="s">
        <v>66</v>
      </c>
      <c r="C247" s="4">
        <v>39.159999999999997</v>
      </c>
      <c r="D247" s="1">
        <v>2.34</v>
      </c>
      <c r="E247" s="1">
        <v>0</v>
      </c>
      <c r="F247" s="1">
        <v>64.19</v>
      </c>
      <c r="G247" s="1">
        <v>0</v>
      </c>
      <c r="I247" s="13">
        <f>($C247*1000/$B$3)/$B250/$B$1</f>
        <v>5.8122448979591838E-3</v>
      </c>
      <c r="J247" s="13">
        <f>(ABS(($F247+0.1)*1000)/$C247)*($I247/$B249)</f>
        <v>1.9084230055658628E-2</v>
      </c>
      <c r="K247" s="13">
        <f>(ABS(($G247+0.1)*1000)/$C247)*($I247/IF(B248="",$B249,$B248))</f>
        <v>2.1203286509408958E-5</v>
      </c>
      <c r="N247" s="14">
        <f>(((O247/Q247)-4)/4)+2</f>
        <v>1</v>
      </c>
      <c r="O247" s="1">
        <f>B250*M247</f>
        <v>0</v>
      </c>
      <c r="P247" s="1" t="str">
        <f>IF(Q247=490, "D25",IF(Q247=314,"D20","D16"))</f>
        <v>D25</v>
      </c>
      <c r="Q247" s="1">
        <v>490</v>
      </c>
    </row>
    <row r="248" spans="1:17" x14ac:dyDescent="0.3">
      <c r="A248" s="5" t="s">
        <v>41</v>
      </c>
      <c r="B248" s="8">
        <v>700</v>
      </c>
      <c r="C248" s="4">
        <v>5068.37</v>
      </c>
      <c r="D248" s="1">
        <v>0</v>
      </c>
      <c r="E248" s="1">
        <v>-26.97</v>
      </c>
      <c r="F248" s="1">
        <v>0</v>
      </c>
      <c r="G248" s="1">
        <v>0</v>
      </c>
      <c r="I248" s="13">
        <f>($C248*1000/$B$3)/$B250/$B$1</f>
        <v>0.75226270871985168</v>
      </c>
      <c r="J248" s="13">
        <f>(ABS(($F248+0.1)*1000)/$C248)*($I248/$B249)</f>
        <v>2.9684601113172546E-5</v>
      </c>
      <c r="K248" s="13">
        <f>(ABS(($G248+0.1)*1000)/$C248)*($I248/IF(B248="",$B249,$B248))</f>
        <v>2.1203286509408964E-5</v>
      </c>
      <c r="N248" s="14">
        <f>(((O248/Q247)-4)/4)+2</f>
        <v>1</v>
      </c>
      <c r="O248" s="1">
        <f>B250*M248</f>
        <v>0</v>
      </c>
      <c r="P248" s="1" t="str">
        <f>IF(Q247=490, "D25",IF(Q247=314,"D20","D16"))</f>
        <v>D25</v>
      </c>
    </row>
    <row r="249" spans="1:17" x14ac:dyDescent="0.3">
      <c r="A249" s="5" t="s">
        <v>43</v>
      </c>
      <c r="B249" s="8">
        <v>500</v>
      </c>
      <c r="C249" s="1">
        <v>737.39</v>
      </c>
      <c r="D249" s="4">
        <v>-166.73</v>
      </c>
      <c r="E249" s="1">
        <v>76.56</v>
      </c>
      <c r="F249" s="1">
        <v>232.51</v>
      </c>
      <c r="G249" s="1">
        <v>538.03</v>
      </c>
      <c r="I249" s="13">
        <f>($C249*1000/$B$3)/$B250/$B$1</f>
        <v>0.10944564007421151</v>
      </c>
      <c r="J249" s="13">
        <f>(ABS(($F249+0.1)*1000)/$C249)*($I249/$B249)</f>
        <v>6.9049350649350652E-2</v>
      </c>
      <c r="K249" s="13">
        <f>(ABS(($G249+0.1)*1000)/$C249)*($I249/IF(B248="",$B249,$B248))</f>
        <v>0.11410124569308243</v>
      </c>
      <c r="N249" s="14">
        <f>(((O249/Q247)-4)/4)+2</f>
        <v>1</v>
      </c>
      <c r="O249" s="1">
        <f>B250*M249</f>
        <v>0</v>
      </c>
      <c r="P249" s="1" t="str">
        <f>IF(Q247=490, "D25",IF(Q247=314,"D20","D16"))</f>
        <v>D25</v>
      </c>
    </row>
    <row r="250" spans="1:17" x14ac:dyDescent="0.3">
      <c r="A250" s="5" t="s">
        <v>44</v>
      </c>
      <c r="B250" s="15">
        <f>IF(B248="",(0.25*PI()*B249^2),B248*B249)</f>
        <v>350000</v>
      </c>
      <c r="C250" s="1">
        <v>808.44</v>
      </c>
      <c r="D250" s="4">
        <v>285.58</v>
      </c>
      <c r="E250" s="1">
        <v>-87.88</v>
      </c>
      <c r="F250" s="1">
        <v>-150.22</v>
      </c>
      <c r="G250" s="1">
        <v>-464.88</v>
      </c>
      <c r="I250" s="13">
        <f>($C250*1000/$B$3)/$B250/$B$1</f>
        <v>0.11999109461966603</v>
      </c>
      <c r="J250" s="13">
        <f>(ABS(($F250+0.1)*1000)/$C250)*($I250/$B249)</f>
        <v>4.4562523191094612E-2</v>
      </c>
      <c r="K250" s="13">
        <f>(ABS(($G250+0.1)*1000)/$C250)*($I250/IF(B248="",$B249,$B248))</f>
        <v>9.8548635038430935E-2</v>
      </c>
      <c r="N250" s="14">
        <f>(((O250/Q247)-4)/4)+2</f>
        <v>1</v>
      </c>
      <c r="O250" s="1">
        <f>B250*M250</f>
        <v>0</v>
      </c>
      <c r="P250" s="1" t="str">
        <f>IF(Q247=490, "D25",IF(Q247=314,"D20","D16"))</f>
        <v>D25</v>
      </c>
    </row>
    <row r="251" spans="1:17" x14ac:dyDescent="0.3">
      <c r="C251" s="1">
        <v>844.59</v>
      </c>
      <c r="D251" s="1">
        <v>-5.17</v>
      </c>
      <c r="E251" s="4">
        <v>-128.61000000000001</v>
      </c>
      <c r="F251" s="1">
        <v>-244.84</v>
      </c>
      <c r="G251" s="1">
        <v>-10.28</v>
      </c>
      <c r="I251" s="13">
        <f>($C251*1000/$B$3)/$B250/$B$1</f>
        <v>0.12535658627087201</v>
      </c>
      <c r="J251" s="13">
        <f>(ABS(($F251+0.1)*1000)/$C251)*($I251/$B249)</f>
        <v>7.2650092764378504E-2</v>
      </c>
      <c r="K251" s="13">
        <f>(ABS(($G251+0.1)*1000)/$C251)*($I251/IF(B248="",$B249,$B248))</f>
        <v>2.1584945666578322E-3</v>
      </c>
      <c r="N251" s="14">
        <f>(((O251/Q247)-4)/4)+2</f>
        <v>1</v>
      </c>
      <c r="O251" s="1">
        <f>B250*M251</f>
        <v>0</v>
      </c>
      <c r="P251" s="1" t="str">
        <f>IF(Q247=490, "D25",IF(Q247=314,"D20","D16"))</f>
        <v>D25</v>
      </c>
    </row>
    <row r="252" spans="1:17" x14ac:dyDescent="0.3">
      <c r="C252" s="1">
        <v>2448.52</v>
      </c>
      <c r="D252" s="1">
        <v>45.66</v>
      </c>
      <c r="E252" s="4">
        <v>102.75</v>
      </c>
      <c r="F252" s="1">
        <v>105.77</v>
      </c>
      <c r="G252" s="1">
        <v>-99.23</v>
      </c>
      <c r="I252" s="13">
        <f>($C252*1000/$B$3)/$B250/$B$1</f>
        <v>0.36341669758812617</v>
      </c>
      <c r="J252" s="13">
        <f>(ABS(($F252+0.1)*1000)/$C252)*($I252/$B249)</f>
        <v>3.1427087198515773E-2</v>
      </c>
      <c r="K252" s="13">
        <f>(ABS(($G252+0.1)*1000)/$C252)*($I252/IF(B248="",$B249,$B248))</f>
        <v>2.1018817916777104E-2</v>
      </c>
      <c r="N252" s="14">
        <f>(((O252/Q247)-4)/4)+2</f>
        <v>1</v>
      </c>
      <c r="O252" s="1">
        <f>B250*M252</f>
        <v>0</v>
      </c>
      <c r="P252" s="1" t="str">
        <f>IF(Q247=490, "D25",IF(Q247=314,"D20","D16"))</f>
        <v>D25</v>
      </c>
    </row>
    <row r="253" spans="1:17" x14ac:dyDescent="0.3">
      <c r="C253" s="1">
        <v>1544.64</v>
      </c>
      <c r="D253" s="1">
        <v>-22.04</v>
      </c>
      <c r="E253" s="1">
        <v>-124.85</v>
      </c>
      <c r="F253" s="4">
        <v>-258.58999999999997</v>
      </c>
      <c r="G253" s="1">
        <v>18.55</v>
      </c>
      <c r="I253" s="13">
        <f>($C253*1000/$B$3)/$B250/$B$1</f>
        <v>0.22926011131725416</v>
      </c>
      <c r="J253" s="13">
        <f>(ABS(($F253+0.1)*1000)/$C253)*($I253/$B249)</f>
        <v>7.6731725417439667E-2</v>
      </c>
      <c r="K253" s="13">
        <f>(ABS(($G253+0.1)*1000)/$C253)*($I253/IF(B248="",$B249,$B248))</f>
        <v>3.9544129340047711E-3</v>
      </c>
      <c r="N253" s="14">
        <f>(((O253/Q247)-4)/4)+2</f>
        <v>1</v>
      </c>
      <c r="O253" s="1">
        <f>B250*M253</f>
        <v>0</v>
      </c>
      <c r="P253" s="1" t="str">
        <f>IF(Q247=490, "D25",IF(Q247=314,"D20","D16"))</f>
        <v>D25</v>
      </c>
    </row>
    <row r="254" spans="1:17" x14ac:dyDescent="0.3">
      <c r="C254" s="1">
        <v>804.93</v>
      </c>
      <c r="D254" s="1">
        <v>-5.17</v>
      </c>
      <c r="E254" s="1">
        <v>-128.61000000000001</v>
      </c>
      <c r="F254" s="4">
        <v>269.61</v>
      </c>
      <c r="G254" s="1">
        <v>-30.95</v>
      </c>
      <c r="I254" s="13">
        <f>($C254*1000/$B$3)/$B250/$B$1</f>
        <v>0.11947012987012988</v>
      </c>
      <c r="J254" s="13">
        <f>(ABS(($F254+0.1)*1000)/$C254)*($I254/$B249)</f>
        <v>8.0062337662337682E-2</v>
      </c>
      <c r="K254" s="13">
        <f>(ABS(($G254+0.1)*1000)/$C254)*($I254/IF(B248="",$B249,$B248))</f>
        <v>6.541213888152664E-3</v>
      </c>
      <c r="M254" s="1">
        <v>0.01</v>
      </c>
      <c r="N254" s="14">
        <f>(((O254/Q247)-4)/4)+2</f>
        <v>2.7857142857142856</v>
      </c>
      <c r="O254" s="1">
        <f>B250*M254</f>
        <v>3500</v>
      </c>
      <c r="P254" s="1" t="str">
        <f>IF(Q247=490, "D25",IF(Q247=314,"D20","D16"))</f>
        <v>D25</v>
      </c>
    </row>
    <row r="255" spans="1:17" x14ac:dyDescent="0.3">
      <c r="C255" s="1">
        <v>1556.75</v>
      </c>
      <c r="D255" s="1">
        <v>184.31</v>
      </c>
      <c r="E255" s="1">
        <v>-77.95</v>
      </c>
      <c r="F255" s="1">
        <v>-206.04</v>
      </c>
      <c r="G255" s="4">
        <v>-513.26</v>
      </c>
      <c r="I255" s="13">
        <f>($C255*1000/$B$3)/$B250/$B$1</f>
        <v>0.23105751391465679</v>
      </c>
      <c r="J255" s="13">
        <f>(ABS(($F255+0.1)*1000)/$C255)*($I255/$B249)</f>
        <v>6.1132467532467538E-2</v>
      </c>
      <c r="K255" s="13">
        <f>(ABS(($G255+0.1)*1000)/$C255)*($I255/IF(B248="",$B249,$B248))</f>
        <v>0.10880678505168301</v>
      </c>
      <c r="N255" s="14">
        <f>(((O255/Q247)-4)/4)+2</f>
        <v>1</v>
      </c>
      <c r="O255" s="1">
        <f>B250*M255</f>
        <v>0</v>
      </c>
      <c r="P255" s="1" t="str">
        <f>IF(Q247=490, "D25",IF(Q247=314,"D20","D16"))</f>
        <v>D25</v>
      </c>
    </row>
    <row r="256" spans="1:17" x14ac:dyDescent="0.3">
      <c r="C256" s="1">
        <v>768.78</v>
      </c>
      <c r="D256" s="1">
        <v>285.58</v>
      </c>
      <c r="E256" s="1">
        <v>-87.88</v>
      </c>
      <c r="F256" s="1">
        <v>201.32</v>
      </c>
      <c r="G256" s="4">
        <v>677.42</v>
      </c>
      <c r="I256" s="13">
        <f>($C256*1000/$B$3)/$B250/$B$1</f>
        <v>0.11410463821892394</v>
      </c>
      <c r="J256" s="13">
        <f>(ABS(($F256+0.1)*1000)/$C256)*($I256/$B249)</f>
        <v>5.9790723562152148E-2</v>
      </c>
      <c r="K256" s="13">
        <f>(ABS(($G256+0.1)*1000)/$C256)*($I256/IF(B248="",$B249,$B248))</f>
        <v>0.1436565067585476</v>
      </c>
      <c r="M256" s="1">
        <v>0.02</v>
      </c>
      <c r="N256" s="14">
        <f>(((O256/Q247)-4)/4)+2</f>
        <v>4.5714285714285712</v>
      </c>
      <c r="O256" s="1">
        <f>B250*M256</f>
        <v>7000</v>
      </c>
      <c r="P256" s="1" t="str">
        <f>IF(Q247=490, "D25",IF(Q247=314,"D20","D16"))</f>
        <v>D25</v>
      </c>
    </row>
    <row r="257" spans="1:17" x14ac:dyDescent="0.3">
      <c r="G257" s="16"/>
      <c r="I257" s="13"/>
      <c r="J257" s="13"/>
      <c r="K257" s="13"/>
      <c r="N257" s="14"/>
    </row>
    <row r="258" spans="1:17" x14ac:dyDescent="0.3">
      <c r="B258" s="1" t="s">
        <v>19</v>
      </c>
      <c r="C258" s="1" t="s">
        <v>20</v>
      </c>
      <c r="D258" s="1" t="s">
        <v>35</v>
      </c>
      <c r="E258" s="1" t="s">
        <v>36</v>
      </c>
      <c r="F258" s="1" t="s">
        <v>23</v>
      </c>
      <c r="G258" s="1" t="s">
        <v>24</v>
      </c>
    </row>
    <row r="259" spans="1:17" x14ac:dyDescent="0.3">
      <c r="A259" s="11"/>
      <c r="B259" s="12" t="s">
        <v>67</v>
      </c>
      <c r="C259" s="4">
        <v>159.32</v>
      </c>
      <c r="D259" s="1">
        <v>21.28</v>
      </c>
      <c r="E259" s="1">
        <v>0</v>
      </c>
      <c r="F259" s="1">
        <v>-17.47</v>
      </c>
      <c r="G259" s="1">
        <v>0</v>
      </c>
      <c r="I259" s="13">
        <f>($C259*1000/$B$3)/$B262/$B$1</f>
        <v>2.9558441558441558E-2</v>
      </c>
      <c r="J259" s="13">
        <f>(ABS(($F259+0.1)*1000)/$C259)*($I259/$B261)</f>
        <v>4.6037635833554198E-3</v>
      </c>
      <c r="K259" s="13">
        <f>(ABS(($G259+0.1)*1000)/$C259)*($I259/IF(B260="",$B261,$B260))</f>
        <v>4.6382189239332094E-5</v>
      </c>
      <c r="N259" s="14">
        <f>(((O259/Q259)-4)/4)+2</f>
        <v>1</v>
      </c>
      <c r="O259" s="1">
        <f>B262*M259</f>
        <v>0</v>
      </c>
      <c r="P259" s="1" t="str">
        <f>IF(Q259=490, "D25",IF(Q259=314,"D20","D16"))</f>
        <v>D20</v>
      </c>
      <c r="Q259" s="1">
        <v>314</v>
      </c>
    </row>
    <row r="260" spans="1:17" x14ac:dyDescent="0.3">
      <c r="A260" s="5" t="s">
        <v>41</v>
      </c>
      <c r="B260" s="8">
        <v>400</v>
      </c>
      <c r="C260" s="4">
        <v>1097.45</v>
      </c>
      <c r="D260" s="1">
        <v>0</v>
      </c>
      <c r="E260" s="1">
        <v>-0.83</v>
      </c>
      <c r="F260" s="1">
        <v>0</v>
      </c>
      <c r="G260" s="1">
        <v>0</v>
      </c>
      <c r="I260" s="13">
        <f>($C260*1000/$B$3)/$B262/$B$1</f>
        <v>0.20360853432282003</v>
      </c>
      <c r="J260" s="13">
        <f>(ABS(($F260+0.1)*1000)/$C260)*($I260/$B261)</f>
        <v>2.6504108136761199E-5</v>
      </c>
      <c r="K260" s="13">
        <f>(ABS(($G260+0.1)*1000)/$C260)*($I260/IF(B260="",$B261,$B260))</f>
        <v>4.6382189239332094E-5</v>
      </c>
      <c r="N260" s="14">
        <f>(((O260/Q259)-4)/4)+2</f>
        <v>1</v>
      </c>
      <c r="O260" s="1">
        <f>B262*M260</f>
        <v>0</v>
      </c>
      <c r="P260" s="1" t="str">
        <f>IF(Q259=490, "D25",IF(Q259=314,"D20","D16"))</f>
        <v>D20</v>
      </c>
    </row>
    <row r="261" spans="1:17" x14ac:dyDescent="0.3">
      <c r="A261" s="5" t="s">
        <v>43</v>
      </c>
      <c r="B261" s="8">
        <v>700</v>
      </c>
      <c r="C261" s="1">
        <v>349.97</v>
      </c>
      <c r="D261" s="4">
        <v>-42.56</v>
      </c>
      <c r="E261" s="1">
        <v>64.59</v>
      </c>
      <c r="F261" s="1">
        <v>0</v>
      </c>
      <c r="G261" s="1">
        <v>0</v>
      </c>
      <c r="I261" s="13">
        <f>($C261*1000/$B$3)/$B262/$B$1</f>
        <v>6.492949907235622E-2</v>
      </c>
      <c r="J261" s="13">
        <f>(ABS(($F261+0.1)*1000)/$C261)*($I261/$B261)</f>
        <v>2.6504108136761199E-5</v>
      </c>
      <c r="K261" s="13">
        <f>(ABS(($G261+0.1)*1000)/$C261)*($I261/IF(B260="",$B261,$B260))</f>
        <v>4.6382189239332101E-5</v>
      </c>
      <c r="N261" s="14">
        <f>(((O261/Q259)-4)/4)+2</f>
        <v>1</v>
      </c>
      <c r="O261" s="1">
        <f>B262*M261</f>
        <v>0</v>
      </c>
      <c r="P261" s="1" t="str">
        <f>IF(Q259=490, "D25",IF(Q259=314,"D20","D16"))</f>
        <v>D20</v>
      </c>
    </row>
    <row r="262" spans="1:17" x14ac:dyDescent="0.3">
      <c r="A262" s="5" t="s">
        <v>44</v>
      </c>
      <c r="B262" s="15">
        <f>IF(B260="",(0.25*PI()*B261^2),B260*B261)</f>
        <v>280000</v>
      </c>
      <c r="C262" s="1">
        <v>730.68</v>
      </c>
      <c r="D262" s="4">
        <v>45.52</v>
      </c>
      <c r="E262" s="1">
        <v>-58.87</v>
      </c>
      <c r="F262" s="1">
        <v>0</v>
      </c>
      <c r="G262" s="1">
        <v>0</v>
      </c>
      <c r="I262" s="13">
        <f>($C262*1000/$B$3)/$B262/$B$1</f>
        <v>0.13556215213358072</v>
      </c>
      <c r="J262" s="13">
        <f>(ABS(($F262+0.1)*1000)/$C262)*($I262/$B261)</f>
        <v>2.6504108136761202E-5</v>
      </c>
      <c r="K262" s="13">
        <f>(ABS(($G262+0.1)*1000)/$C262)*($I262/IF(B260="",$B261,$B260))</f>
        <v>4.6382189239332108E-5</v>
      </c>
      <c r="N262" s="14">
        <f>(((O262/Q259)-4)/4)+2</f>
        <v>1</v>
      </c>
      <c r="O262" s="1">
        <f>B262*M262</f>
        <v>0</v>
      </c>
      <c r="P262" s="1" t="str">
        <f>IF(Q259=490, "D25",IF(Q259=314,"D20","D16"))</f>
        <v>D20</v>
      </c>
    </row>
    <row r="263" spans="1:17" x14ac:dyDescent="0.3">
      <c r="C263" s="1">
        <v>181.63</v>
      </c>
      <c r="D263" s="1">
        <v>11.03</v>
      </c>
      <c r="E263" s="4">
        <v>-147.30000000000001</v>
      </c>
      <c r="F263" s="1">
        <v>-95.98</v>
      </c>
      <c r="G263" s="1">
        <v>-21.52</v>
      </c>
      <c r="I263" s="13">
        <f>($C263*1000/$B$3)/$B262/$B$1</f>
        <v>3.3697588126159556E-2</v>
      </c>
      <c r="J263" s="13">
        <f>(ABS(($F263+0.1)*1000)/$C263)*($I263/$B261)</f>
        <v>2.5412138881526644E-2</v>
      </c>
      <c r="K263" s="13">
        <f>(ABS(($G263+0.1)*1000)/$C263)*($I263/IF(B260="",$B261,$B260))</f>
        <v>9.9350649350649321E-3</v>
      </c>
      <c r="N263" s="14">
        <f>(((O263/Q259)-4)/4)+2</f>
        <v>1</v>
      </c>
      <c r="O263" s="1">
        <f>B262*M263</f>
        <v>0</v>
      </c>
      <c r="P263" s="1" t="str">
        <f>IF(Q259=490, "D25",IF(Q259=314,"D20","D16"))</f>
        <v>D20</v>
      </c>
    </row>
    <row r="264" spans="1:17" x14ac:dyDescent="0.3">
      <c r="C264" s="1">
        <v>368.74</v>
      </c>
      <c r="D264" s="1">
        <v>-20.55</v>
      </c>
      <c r="E264" s="4">
        <v>166.79</v>
      </c>
      <c r="F264" s="1">
        <v>84.8</v>
      </c>
      <c r="G264" s="1">
        <v>25.58</v>
      </c>
      <c r="I264" s="13">
        <f>($C264*1000/$B$3)/$B262/$B$1</f>
        <v>6.8411873840445281E-2</v>
      </c>
      <c r="J264" s="13">
        <f>(ABS(($F264+0.1)*1000)/$C264)*($I264/$B261)</f>
        <v>2.2501987808110257E-2</v>
      </c>
      <c r="K264" s="13">
        <f>(ABS(($G264+0.1)*1000)/$C264)*($I264/IF(B260="",$B261,$B260))</f>
        <v>1.1910946196660483E-2</v>
      </c>
      <c r="N264" s="14">
        <f>(((O264/Q259)-4)/4)+2</f>
        <v>1</v>
      </c>
      <c r="O264" s="1">
        <f>B262*M264</f>
        <v>0</v>
      </c>
      <c r="P264" s="1" t="str">
        <f>IF(Q259=490, "D25",IF(Q259=314,"D20","D16"))</f>
        <v>D20</v>
      </c>
    </row>
    <row r="265" spans="1:17" x14ac:dyDescent="0.3">
      <c r="C265" s="1">
        <v>344.94</v>
      </c>
      <c r="D265" s="1">
        <v>-20.55</v>
      </c>
      <c r="E265" s="1">
        <v>164.33</v>
      </c>
      <c r="F265" s="4">
        <v>-413.12</v>
      </c>
      <c r="G265" s="1">
        <v>-36.090000000000003</v>
      </c>
      <c r="I265" s="13">
        <f>($C265*1000/$B$3)/$B262/$B$1</f>
        <v>6.3996289424860853E-2</v>
      </c>
      <c r="J265" s="13">
        <f>(ABS(($F265+0.1)*1000)/$C265)*($I265/$B261)</f>
        <v>0.10946726742645109</v>
      </c>
      <c r="K265" s="13">
        <f>(ABS(($G265+0.1)*1000)/$C265)*($I265/IF(B260="",$B261,$B260))</f>
        <v>1.6692949907235622E-2</v>
      </c>
      <c r="M265" s="1">
        <v>1.4999999999999999E-2</v>
      </c>
      <c r="N265" s="14">
        <f>(((O265/Q259)-4)/4)+2</f>
        <v>4.3439490445859867</v>
      </c>
      <c r="O265" s="1">
        <f>B262*M265</f>
        <v>4200</v>
      </c>
      <c r="P265" s="1" t="str">
        <f>IF(Q259=490, "D25",IF(Q259=314,"D20","D16"))</f>
        <v>D20</v>
      </c>
    </row>
    <row r="266" spans="1:17" x14ac:dyDescent="0.3">
      <c r="C266" s="1">
        <v>163.78</v>
      </c>
      <c r="D266" s="1">
        <v>11.03</v>
      </c>
      <c r="E266" s="1">
        <v>-144.84</v>
      </c>
      <c r="F266" s="4">
        <v>343.47</v>
      </c>
      <c r="G266" s="1">
        <v>11.57</v>
      </c>
      <c r="I266" s="13">
        <f>($C266*1000/$B$3)/$B262/$B$1</f>
        <v>3.0385899814471245E-2</v>
      </c>
      <c r="J266" s="13">
        <f>(ABS(($F266+0.1)*1000)/$C266)*($I266/$B261)</f>
        <v>9.1060164325470455E-2</v>
      </c>
      <c r="K266" s="13">
        <f>(ABS(($G266+0.1)*1000)/$C266)*($I266/IF(B260="",$B261,$B260))</f>
        <v>5.4128014842300554E-3</v>
      </c>
      <c r="N266" s="14">
        <f>(((O266/Q259)-4)/4)+2</f>
        <v>1</v>
      </c>
      <c r="O266" s="1">
        <f>B262*M266</f>
        <v>0</v>
      </c>
      <c r="P266" s="1" t="str">
        <f>IF(Q259=490, "D25",IF(Q259=314,"D20","D16"))</f>
        <v>D20</v>
      </c>
    </row>
    <row r="267" spans="1:17" x14ac:dyDescent="0.3">
      <c r="C267" s="1">
        <v>349.4</v>
      </c>
      <c r="D267" s="1">
        <v>-30.81</v>
      </c>
      <c r="E267" s="1">
        <v>15.89</v>
      </c>
      <c r="F267" s="1">
        <v>-52.18</v>
      </c>
      <c r="G267" s="4">
        <v>-103.15</v>
      </c>
      <c r="I267" s="13">
        <f>($C267*1000/$B$3)/$B262/$B$1</f>
        <v>6.4823747680890539E-2</v>
      </c>
      <c r="J267" s="13">
        <f>(ABS(($F267+0.1)*1000)/$C267)*($I267/$B261)</f>
        <v>1.3803339517625234E-2</v>
      </c>
      <c r="K267" s="13">
        <f>(ABS(($G267+0.1)*1000)/$C267)*($I267/IF(B260="",$B261,$B260))</f>
        <v>4.7796846011131731E-2</v>
      </c>
      <c r="N267" s="14">
        <f>(((O267/Q259)-4)/4)+2</f>
        <v>1</v>
      </c>
      <c r="O267" s="1">
        <f>B262*M267</f>
        <v>0</v>
      </c>
      <c r="P267" s="1" t="str">
        <f>IF(Q259=490, "D25",IF(Q259=314,"D20","D16"))</f>
        <v>D20</v>
      </c>
    </row>
    <row r="268" spans="1:17" x14ac:dyDescent="0.3">
      <c r="C268" s="1">
        <v>159.32</v>
      </c>
      <c r="D268" s="1">
        <v>21.28</v>
      </c>
      <c r="E268" s="1">
        <v>3.6</v>
      </c>
      <c r="F268" s="1">
        <v>-17.47</v>
      </c>
      <c r="G268" s="4">
        <v>78.63</v>
      </c>
      <c r="I268" s="13">
        <f>($C268*1000/$B$3)/$B262/$B$1</f>
        <v>2.9558441558441558E-2</v>
      </c>
      <c r="J268" s="13">
        <f>(ABS(($F268+0.1)*1000)/$C268)*($I268/$B261)</f>
        <v>4.6037635833554198E-3</v>
      </c>
      <c r="K268" s="13">
        <f>(ABS(($G268+0.1)*1000)/$C268)*($I268/IF(B260="",$B261,$B260))</f>
        <v>3.6516697588126153E-2</v>
      </c>
      <c r="M268" s="1">
        <v>0.01</v>
      </c>
      <c r="N268" s="14">
        <f>(((O268/Q259)-4)/4)+2</f>
        <v>3.2292993630573248</v>
      </c>
      <c r="O268" s="1">
        <f>B262*M268</f>
        <v>2800</v>
      </c>
      <c r="P268" s="1" t="str">
        <f>IF(Q259=490, "D25",IF(Q259=314,"D20","D16"))</f>
        <v>D20</v>
      </c>
    </row>
    <row r="269" spans="1:17" x14ac:dyDescent="0.3">
      <c r="G269" s="16"/>
      <c r="I269" s="13"/>
      <c r="J269" s="13"/>
      <c r="K269" s="13"/>
      <c r="N269" s="14"/>
    </row>
    <row r="270" spans="1:17" x14ac:dyDescent="0.3">
      <c r="B270" s="1" t="s">
        <v>19</v>
      </c>
      <c r="C270" s="1" t="s">
        <v>20</v>
      </c>
      <c r="D270" s="1" t="s">
        <v>35</v>
      </c>
      <c r="E270" s="1" t="s">
        <v>36</v>
      </c>
      <c r="F270" s="1" t="s">
        <v>23</v>
      </c>
      <c r="G270" s="1" t="s">
        <v>24</v>
      </c>
    </row>
    <row r="271" spans="1:17" x14ac:dyDescent="0.3">
      <c r="A271" s="11"/>
      <c r="B271" s="12" t="s">
        <v>68</v>
      </c>
      <c r="C271" s="4">
        <v>-5.72</v>
      </c>
      <c r="D271" s="1">
        <v>-7.46</v>
      </c>
      <c r="E271" s="1">
        <v>0</v>
      </c>
      <c r="F271" s="1">
        <v>125.44</v>
      </c>
      <c r="G271" s="1">
        <v>0</v>
      </c>
      <c r="I271" s="13">
        <f>($C271*1000/$B$3)/$B274/$B$1</f>
        <v>-1.0612244897959184E-3</v>
      </c>
      <c r="J271" s="13">
        <f>(ABS(($F271+0.1)*1000)/$C271)*($I271/$B273)</f>
        <v>3.3273257354890007E-2</v>
      </c>
      <c r="K271" s="13">
        <f>(ABS(($G271+0.1)*1000)/$C271)*($I271/IF(B272="",$B273,$B272))</f>
        <v>4.6382189239332101E-5</v>
      </c>
      <c r="N271" s="14">
        <f>(((O271/Q271)-4)/4)+2</f>
        <v>1</v>
      </c>
      <c r="O271" s="1">
        <f>B274*M271</f>
        <v>0</v>
      </c>
      <c r="P271" s="1" t="str">
        <f>IF(Q271=490, "D25",IF(Q271=314,"D20","D16"))</f>
        <v>D16</v>
      </c>
      <c r="Q271" s="1">
        <v>201</v>
      </c>
    </row>
    <row r="272" spans="1:17" x14ac:dyDescent="0.3">
      <c r="A272" s="5" t="s">
        <v>41</v>
      </c>
      <c r="B272" s="8">
        <v>400</v>
      </c>
      <c r="C272" s="4">
        <v>4397.6899999999996</v>
      </c>
      <c r="D272" s="1">
        <v>0</v>
      </c>
      <c r="E272" s="1">
        <v>-49.02</v>
      </c>
      <c r="F272" s="1">
        <v>0</v>
      </c>
      <c r="G272" s="1">
        <v>0</v>
      </c>
      <c r="I272" s="13">
        <f>($C272*1000/$B$3)/$B274/$B$1</f>
        <v>0.81589795918367358</v>
      </c>
      <c r="J272" s="13">
        <f>(ABS(($F272+0.1)*1000)/$C272)*($I272/$B273)</f>
        <v>2.6504108136761202E-5</v>
      </c>
      <c r="K272" s="13">
        <f>(ABS(($G272+0.1)*1000)/$C272)*($I272/IF(B272="",$B273,$B272))</f>
        <v>4.6382189239332108E-5</v>
      </c>
      <c r="N272" s="14">
        <f>(((O272/Q271)-4)/4)+2</f>
        <v>1</v>
      </c>
      <c r="O272" s="1">
        <f>B274*M272</f>
        <v>0</v>
      </c>
      <c r="P272" s="1" t="str">
        <f>IF(Q271=490, "D25",IF(Q271=314,"D20","D16"))</f>
        <v>D16</v>
      </c>
    </row>
    <row r="273" spans="1:17" x14ac:dyDescent="0.3">
      <c r="A273" s="5" t="s">
        <v>43</v>
      </c>
      <c r="B273" s="8">
        <v>700</v>
      </c>
      <c r="C273" s="1">
        <v>3082.32</v>
      </c>
      <c r="D273" s="4">
        <v>-118.36</v>
      </c>
      <c r="E273" s="1">
        <v>-59.16</v>
      </c>
      <c r="F273" s="1">
        <v>0</v>
      </c>
      <c r="G273" s="1">
        <v>0</v>
      </c>
      <c r="I273" s="13">
        <f>($C273*1000/$B$3)/$B274/$B$1</f>
        <v>0.57185899814471253</v>
      </c>
      <c r="J273" s="13">
        <f>(ABS(($F273+0.1)*1000)/$C273)*($I273/$B273)</f>
        <v>2.6504108136761202E-5</v>
      </c>
      <c r="K273" s="13">
        <f>(ABS(($G273+0.1)*1000)/$C273)*($I273/IF(B272="",$B273,$B272))</f>
        <v>4.6382189239332101E-5</v>
      </c>
      <c r="N273" s="14">
        <f>(((O273/Q271)-4)/4)+2</f>
        <v>1</v>
      </c>
      <c r="O273" s="1">
        <f>B274*M273</f>
        <v>0</v>
      </c>
      <c r="P273" s="1" t="str">
        <f>IF(Q271=490, "D25",IF(Q271=314,"D20","D16"))</f>
        <v>D16</v>
      </c>
    </row>
    <row r="274" spans="1:17" x14ac:dyDescent="0.3">
      <c r="A274" s="5" t="s">
        <v>44</v>
      </c>
      <c r="B274" s="15">
        <f>IF(B272="",(0.25*PI()*B273^2),B272*B273)</f>
        <v>280000</v>
      </c>
      <c r="C274" s="1">
        <v>664.59</v>
      </c>
      <c r="D274" s="4">
        <v>79.38</v>
      </c>
      <c r="E274" s="1">
        <v>-86.98</v>
      </c>
      <c r="F274" s="1">
        <v>-155.81</v>
      </c>
      <c r="G274" s="1">
        <v>-136.32</v>
      </c>
      <c r="I274" s="13">
        <f>($C274*1000/$B$3)/$B274/$B$1</f>
        <v>0.12330055658627088</v>
      </c>
      <c r="J274" s="13">
        <f>(ABS(($F274+0.1)*1000)/$C274)*($I274/$B273)</f>
        <v>4.1269546779750865E-2</v>
      </c>
      <c r="K274" s="13">
        <f>(ABS(($G274+0.1)*1000)/$C274)*($I274/IF(B272="",$B273,$B272))</f>
        <v>6.3181818181818186E-2</v>
      </c>
      <c r="N274" s="14">
        <f>(((O274/Q271)-4)/4)+2</f>
        <v>1</v>
      </c>
      <c r="O274" s="1">
        <f>B274*M274</f>
        <v>0</v>
      </c>
      <c r="P274" s="1" t="str">
        <f>IF(Q271=490, "D25",IF(Q271=314,"D20","D16"))</f>
        <v>D16</v>
      </c>
    </row>
    <row r="275" spans="1:17" x14ac:dyDescent="0.3">
      <c r="C275" s="1">
        <v>955.11</v>
      </c>
      <c r="D275" s="1">
        <v>-29.07</v>
      </c>
      <c r="E275" s="4">
        <v>-178.89</v>
      </c>
      <c r="F275" s="1">
        <v>-353.54</v>
      </c>
      <c r="G275" s="1">
        <v>52</v>
      </c>
      <c r="I275" s="13">
        <f>($C275*1000/$B$3)/$B274/$B$1</f>
        <v>0.17720037105751393</v>
      </c>
      <c r="J275" s="13">
        <f>(ABS(($F275+0.1)*1000)/$C275)*($I275/$B273)</f>
        <v>9.3676119798568783E-2</v>
      </c>
      <c r="K275" s="13">
        <f>(ABS(($G275+0.1)*1000)/$C275)*($I275/IF(B272="",$B273,$B272))</f>
        <v>2.4165120593692024E-2</v>
      </c>
      <c r="N275" s="14">
        <f>(((O275/Q271)-4)/4)+2</f>
        <v>1</v>
      </c>
      <c r="O275" s="1">
        <f>B274*M275</f>
        <v>0</v>
      </c>
      <c r="P275" s="1" t="str">
        <f>IF(Q271=490, "D25",IF(Q271=314,"D20","D16"))</f>
        <v>D16</v>
      </c>
    </row>
    <row r="276" spans="1:17" x14ac:dyDescent="0.3">
      <c r="C276" s="1">
        <v>1116.8699999999999</v>
      </c>
      <c r="D276" s="1">
        <v>72.58</v>
      </c>
      <c r="E276" s="4">
        <v>207.18</v>
      </c>
      <c r="F276" s="1">
        <v>413.24</v>
      </c>
      <c r="G276" s="1">
        <v>-143.28</v>
      </c>
      <c r="I276" s="13">
        <f>($C276*1000/$B$3)/$B274/$B$1</f>
        <v>0.20721150278293135</v>
      </c>
      <c r="J276" s="13">
        <f>(ABS(($F276+0.1)*1000)/$C276)*($I276/$B273)</f>
        <v>0.10955208057248876</v>
      </c>
      <c r="K276" s="13">
        <f>(ABS(($G276+0.1)*1000)/$C276)*($I276/IF(B272="",$B273,$B272))</f>
        <v>6.6410018552875691E-2</v>
      </c>
      <c r="N276" s="14">
        <f>(((O276/Q271)-4)/4)+2</f>
        <v>1</v>
      </c>
      <c r="O276" s="1">
        <f>B274*M276</f>
        <v>0</v>
      </c>
      <c r="P276" s="1" t="str">
        <f>IF(Q271=490, "D25",IF(Q271=314,"D20","D16"))</f>
        <v>D16</v>
      </c>
    </row>
    <row r="277" spans="1:17" x14ac:dyDescent="0.3">
      <c r="C277" s="1">
        <v>1085.1500000000001</v>
      </c>
      <c r="D277" s="1">
        <v>72.58</v>
      </c>
      <c r="E277" s="1">
        <v>207.18</v>
      </c>
      <c r="F277" s="4">
        <v>-415.47</v>
      </c>
      <c r="G277" s="1">
        <v>147.04</v>
      </c>
      <c r="I277" s="13">
        <f>($C277*1000/$B$3)/$B274/$B$1</f>
        <v>0.20132653061224492</v>
      </c>
      <c r="J277" s="13">
        <f>(ABS(($F277+0.1)*1000)/$C277)*($I277/$B273)</f>
        <v>0.11009011396766498</v>
      </c>
      <c r="K277" s="13">
        <f>(ABS(($G277+0.1)*1000)/$C277)*($I277/IF(B272="",$B273,$B272))</f>
        <v>6.824675324675325E-2</v>
      </c>
      <c r="M277" s="1">
        <v>0.01</v>
      </c>
      <c r="N277" s="14">
        <f>(((O277/Q271)-4)/4)+2</f>
        <v>4.4825870646766166</v>
      </c>
      <c r="O277" s="1">
        <f>B274*M277</f>
        <v>2800</v>
      </c>
      <c r="P277" s="1" t="str">
        <f>IF(Q271=490, "D25",IF(Q271=314,"D20","D16"))</f>
        <v>D16</v>
      </c>
    </row>
    <row r="278" spans="1:17" x14ac:dyDescent="0.3">
      <c r="C278" s="1">
        <v>1670.11</v>
      </c>
      <c r="D278" s="1">
        <v>59.26</v>
      </c>
      <c r="E278" s="1">
        <v>159.41999999999999</v>
      </c>
      <c r="F278" s="4">
        <v>415.24</v>
      </c>
      <c r="G278" s="1">
        <v>-154.27000000000001</v>
      </c>
      <c r="I278" s="13">
        <f>($C278*1000/$B$3)/$B274/$B$1</f>
        <v>0.30985343228200368</v>
      </c>
      <c r="J278" s="13">
        <f>(ABS(($F278+0.1)*1000)/$C278)*($I278/$B273)</f>
        <v>0.11008216273522398</v>
      </c>
      <c r="K278" s="13">
        <f>(ABS(($G278+0.1)*1000)/$C278)*($I278/IF(B272="",$B273,$B272))</f>
        <v>7.1507421150278305E-2</v>
      </c>
      <c r="N278" s="14">
        <f>(((O278/Q271)-4)/4)+2</f>
        <v>1</v>
      </c>
      <c r="O278" s="1">
        <f>B274*M278</f>
        <v>0</v>
      </c>
      <c r="P278" s="1" t="str">
        <f>IF(Q271=490, "D25",IF(Q271=314,"D20","D16"))</f>
        <v>D16</v>
      </c>
    </row>
    <row r="279" spans="1:17" x14ac:dyDescent="0.3">
      <c r="C279" s="1">
        <v>3068.83</v>
      </c>
      <c r="D279" s="1">
        <v>-118.36</v>
      </c>
      <c r="E279" s="1">
        <v>-59.16</v>
      </c>
      <c r="F279" s="1">
        <v>100.57</v>
      </c>
      <c r="G279" s="4">
        <v>-201.2</v>
      </c>
      <c r="I279" s="13">
        <f>($C279*1000/$B$3)/$B274/$B$1</f>
        <v>0.56935621521335811</v>
      </c>
      <c r="J279" s="13">
        <f>(ABS(($F279+0.1)*1000)/$C279)*($I279/$B273)</f>
        <v>2.6681685661277495E-2</v>
      </c>
      <c r="K279" s="13">
        <f>(ABS(($G279+0.1)*1000)/$C279)*($I279/IF(B272="",$B273,$B272))</f>
        <v>9.3274582560296859E-2</v>
      </c>
      <c r="N279" s="14">
        <f>(((O279/Q271)-4)/4)+2</f>
        <v>1</v>
      </c>
      <c r="O279" s="1">
        <f>B274*M279</f>
        <v>0</v>
      </c>
      <c r="P279" s="1" t="str">
        <f>IF(Q271=490, "D25",IF(Q271=314,"D20","D16"))</f>
        <v>D16</v>
      </c>
    </row>
    <row r="280" spans="1:17" x14ac:dyDescent="0.3">
      <c r="C280" s="1">
        <v>632.86</v>
      </c>
      <c r="D280" s="1">
        <v>79.38</v>
      </c>
      <c r="E280" s="1">
        <v>-86.98</v>
      </c>
      <c r="F280" s="1">
        <v>192.1</v>
      </c>
      <c r="G280" s="4">
        <v>181.2</v>
      </c>
      <c r="I280" s="13">
        <f>($C280*1000/$B$3)/$B274/$B$1</f>
        <v>0.11741372912801484</v>
      </c>
      <c r="J280" s="13">
        <f>(ABS(($F280+0.1)*1000)/$C280)*($I280/$B273)</f>
        <v>5.094089583885502E-2</v>
      </c>
      <c r="K280" s="13">
        <f>(ABS(($G280+0.1)*1000)/$C280)*($I280/IF(B272="",$B273,$B272))</f>
        <v>8.4090909090909077E-2</v>
      </c>
      <c r="M280" s="1">
        <v>1.4999999999999999E-2</v>
      </c>
      <c r="N280" s="14">
        <f>(((O280/Q271)-4)/4)+2</f>
        <v>6.2238805970149258</v>
      </c>
      <c r="O280" s="1">
        <f>B274*M280</f>
        <v>4200</v>
      </c>
      <c r="P280" s="1" t="str">
        <f>IF(Q271=490, "D25",IF(Q271=314,"D20","D16"))</f>
        <v>D16</v>
      </c>
    </row>
    <row r="282" spans="1:17" x14ac:dyDescent="0.3">
      <c r="B282" s="1" t="s">
        <v>19</v>
      </c>
      <c r="C282" s="1" t="s">
        <v>20</v>
      </c>
      <c r="D282" s="1" t="s">
        <v>35</v>
      </c>
      <c r="E282" s="1" t="s">
        <v>36</v>
      </c>
      <c r="F282" s="1" t="s">
        <v>23</v>
      </c>
      <c r="G282" s="1" t="s">
        <v>24</v>
      </c>
    </row>
    <row r="283" spans="1:17" x14ac:dyDescent="0.3">
      <c r="A283" s="11"/>
      <c r="B283" s="12" t="s">
        <v>69</v>
      </c>
      <c r="C283" s="4">
        <v>-275.14999999999998</v>
      </c>
      <c r="D283" s="1">
        <v>-0.72</v>
      </c>
      <c r="E283" s="1">
        <v>0</v>
      </c>
      <c r="F283" s="1">
        <v>3.07</v>
      </c>
      <c r="G283" s="1">
        <v>0</v>
      </c>
      <c r="I283" s="13">
        <f>($C283*1000/$B$3)/$B286/$B$1</f>
        <v>-5.9556277056277057E-2</v>
      </c>
      <c r="J283" s="13">
        <f>(ABS(($F283+0.1)*1000)/$C283)*($I283/$B285)</f>
        <v>1.7153679653679657E-3</v>
      </c>
      <c r="K283" s="13">
        <f>(ABS(($G283+0.1)*1000)/$C283)*($I283/IF(B284="",$B285,$B284))</f>
        <v>3.6075036075036075E-5</v>
      </c>
      <c r="N283" s="14">
        <f>(((O283/Q283)-4)/4)+2</f>
        <v>1</v>
      </c>
      <c r="O283" s="1">
        <f>B286*M283</f>
        <v>0</v>
      </c>
      <c r="P283" s="1" t="str">
        <f>IF(Q283=490, "D25",IF(Q283=314,"D20","D16"))</f>
        <v>D20</v>
      </c>
      <c r="Q283" s="1">
        <v>314</v>
      </c>
    </row>
    <row r="284" spans="1:17" x14ac:dyDescent="0.3">
      <c r="A284" s="5" t="s">
        <v>41</v>
      </c>
      <c r="B284" s="8">
        <v>600</v>
      </c>
      <c r="C284" s="4">
        <v>3409.86</v>
      </c>
      <c r="D284" s="1">
        <v>0</v>
      </c>
      <c r="E284" s="1">
        <v>-2.91</v>
      </c>
      <c r="F284" s="1">
        <v>0</v>
      </c>
      <c r="G284" s="1">
        <v>0</v>
      </c>
      <c r="I284" s="13">
        <f>($C284*1000/$B$3)/$B286/$B$1</f>
        <v>0.73806493506493509</v>
      </c>
      <c r="J284" s="13">
        <f>(ABS(($F284+0.1)*1000)/$C284)*($I284/$B285)</f>
        <v>5.4112554112554119E-5</v>
      </c>
      <c r="K284" s="13">
        <f>(ABS(($G284+0.1)*1000)/$C284)*($I284/IF(B284="",$B285,$B284))</f>
        <v>3.6075036075036075E-5</v>
      </c>
      <c r="N284" s="14">
        <f>(((O284/Q283)-4)/4)+2</f>
        <v>1</v>
      </c>
      <c r="O284" s="1">
        <f>B286*M284</f>
        <v>0</v>
      </c>
      <c r="P284" s="1" t="str">
        <f>IF(Q283=490, "D25",IF(Q283=314,"D20","D16"))</f>
        <v>D20</v>
      </c>
    </row>
    <row r="285" spans="1:17" x14ac:dyDescent="0.3">
      <c r="A285" s="5" t="s">
        <v>43</v>
      </c>
      <c r="B285" s="8">
        <v>400</v>
      </c>
      <c r="C285" s="1">
        <v>288.41000000000003</v>
      </c>
      <c r="D285" s="4">
        <v>-167.06</v>
      </c>
      <c r="E285" s="1">
        <v>63.85</v>
      </c>
      <c r="F285" s="1">
        <v>130.44</v>
      </c>
      <c r="G285" s="1">
        <v>331</v>
      </c>
      <c r="I285" s="13">
        <f>($C285*1000/$B$3)/$B286/$B$1</f>
        <v>6.2426406926406927E-2</v>
      </c>
      <c r="J285" s="13">
        <f>(ABS(($F285+0.1)*1000)/$C285)*($I285/$B285)</f>
        <v>7.0638528138528126E-2</v>
      </c>
      <c r="K285" s="13">
        <f>(ABS(($G285+0.1)*1000)/$C285)*($I285/IF(B284="",$B285,$B284))</f>
        <v>0.11944444444444444</v>
      </c>
      <c r="N285" s="14">
        <f>(((O285/Q283)-4)/4)+2</f>
        <v>1</v>
      </c>
      <c r="O285" s="1">
        <f>B286*M285</f>
        <v>0</v>
      </c>
      <c r="P285" s="1" t="str">
        <f>IF(Q283=490, "D25",IF(Q283=314,"D20","D16"))</f>
        <v>D20</v>
      </c>
    </row>
    <row r="286" spans="1:17" x14ac:dyDescent="0.3">
      <c r="A286" s="5" t="s">
        <v>44</v>
      </c>
      <c r="B286" s="15">
        <f>IF(B284="",(0.25*PI()*B285^2),B284*B285)</f>
        <v>240000</v>
      </c>
      <c r="C286" s="1">
        <v>1430.15</v>
      </c>
      <c r="D286" s="4">
        <v>146.62</v>
      </c>
      <c r="E286" s="1">
        <v>-44.62</v>
      </c>
      <c r="F286" s="1">
        <v>-89.01</v>
      </c>
      <c r="G286" s="1">
        <v>-236.02</v>
      </c>
      <c r="I286" s="13">
        <f>($C286*1000/$B$3)/$B286/$B$1</f>
        <v>0.30955627705627708</v>
      </c>
      <c r="J286" s="13">
        <f>(ABS(($F286+0.1)*1000)/$C286)*($I286/$B285)</f>
        <v>4.8111471861471869E-2</v>
      </c>
      <c r="K286" s="13">
        <f>(ABS(($G286+0.1)*1000)/$C286)*($I286/IF(B284="",$B285,$B284))</f>
        <v>8.5108225108225119E-2</v>
      </c>
      <c r="N286" s="14">
        <f>(((O286/Q283)-4)/4)+2</f>
        <v>1</v>
      </c>
      <c r="O286" s="1">
        <f>B286*M286</f>
        <v>0</v>
      </c>
      <c r="P286" s="1" t="str">
        <f>IF(Q283=490, "D25",IF(Q283=314,"D20","D16"))</f>
        <v>D20</v>
      </c>
    </row>
    <row r="287" spans="1:17" x14ac:dyDescent="0.3">
      <c r="C287" s="1">
        <v>874.13</v>
      </c>
      <c r="D287" s="1">
        <v>114.21</v>
      </c>
      <c r="E287" s="4">
        <v>-68.55</v>
      </c>
      <c r="F287" s="1">
        <v>-146.88999999999999</v>
      </c>
      <c r="G287" s="1">
        <v>-223.04</v>
      </c>
      <c r="I287" s="13">
        <f>($C287*1000/$B$3)/$B286/$B$1</f>
        <v>0.18920562770562771</v>
      </c>
      <c r="J287" s="13">
        <f>(ABS(($F287+0.1)*1000)/$C287)*($I287/$B285)</f>
        <v>7.9431818181818187E-2</v>
      </c>
      <c r="K287" s="13">
        <f>(ABS(($G287+0.1)*1000)/$C287)*($I287/IF(B284="",$B285,$B284))</f>
        <v>8.0425685425685428E-2</v>
      </c>
      <c r="N287" s="14">
        <f>(((O287/Q283)-4)/4)+2</f>
        <v>1</v>
      </c>
      <c r="O287" s="1">
        <f>B286*M287</f>
        <v>0</v>
      </c>
      <c r="P287" s="1" t="str">
        <f>IF(Q283=490, "D25",IF(Q283=314,"D20","D16"))</f>
        <v>D20</v>
      </c>
    </row>
    <row r="288" spans="1:17" x14ac:dyDescent="0.3">
      <c r="C288" s="1">
        <v>288.41000000000003</v>
      </c>
      <c r="D288" s="1">
        <v>-167.06</v>
      </c>
      <c r="E288" s="4">
        <v>63.85</v>
      </c>
      <c r="F288" s="1">
        <v>130.44</v>
      </c>
      <c r="G288" s="1">
        <v>331</v>
      </c>
      <c r="I288" s="13">
        <f>($C288*1000/$B$3)/$B286/$B$1</f>
        <v>6.2426406926406927E-2</v>
      </c>
      <c r="J288" s="13">
        <f>(ABS(($F288+0.1)*1000)/$C288)*($I288/$B285)</f>
        <v>7.0638528138528126E-2</v>
      </c>
      <c r="K288" s="13">
        <f>(ABS(($G288+0.1)*1000)/$C288)*($I288/IF(B284="",$B285,$B284))</f>
        <v>0.11944444444444444</v>
      </c>
      <c r="N288" s="14">
        <f>(((O288/Q283)-4)/4)+2</f>
        <v>1</v>
      </c>
      <c r="O288" s="1">
        <f>B286*M288</f>
        <v>0</v>
      </c>
      <c r="P288" s="1" t="str">
        <f>IF(Q283=490, "D25",IF(Q283=314,"D20","D16"))</f>
        <v>D20</v>
      </c>
    </row>
    <row r="289" spans="1:17" x14ac:dyDescent="0.3">
      <c r="C289" s="1">
        <v>874.13</v>
      </c>
      <c r="D289" s="1">
        <v>114.21</v>
      </c>
      <c r="E289" s="1">
        <v>-68.55</v>
      </c>
      <c r="F289" s="4">
        <v>-146.88999999999999</v>
      </c>
      <c r="G289" s="1">
        <v>-223.04</v>
      </c>
      <c r="I289" s="13">
        <f>($C289*1000/$B$3)/$B286/$B$1</f>
        <v>0.18920562770562771</v>
      </c>
      <c r="J289" s="13">
        <f>(ABS(($F289+0.1)*1000)/$C289)*($I289/$B285)</f>
        <v>7.9431818181818187E-2</v>
      </c>
      <c r="K289" s="13">
        <f>(ABS(($G289+0.1)*1000)/$C289)*($I289/IF(B284="",$B285,$B284))</f>
        <v>8.0425685425685428E-2</v>
      </c>
      <c r="N289" s="14">
        <f>(((O289/Q283)-4)/4)+2</f>
        <v>1</v>
      </c>
      <c r="O289" s="1">
        <f>B286*M289</f>
        <v>0</v>
      </c>
      <c r="P289" s="1" t="str">
        <f>IF(Q283=490, "D25",IF(Q283=314,"D20","D16"))</f>
        <v>D20</v>
      </c>
    </row>
    <row r="290" spans="1:17" x14ac:dyDescent="0.3">
      <c r="C290" s="1">
        <v>205.53</v>
      </c>
      <c r="D290" s="1">
        <v>64.33</v>
      </c>
      <c r="E290" s="1">
        <v>-68.069999999999993</v>
      </c>
      <c r="F290" s="4">
        <v>148.44999999999999</v>
      </c>
      <c r="G290" s="1">
        <v>162.85</v>
      </c>
      <c r="I290" s="13">
        <f>($C290*1000/$B$3)/$B286/$B$1</f>
        <v>4.4487012987012985E-2</v>
      </c>
      <c r="J290" s="13">
        <f>(ABS(($F290+0.1)*1000)/$C290)*($I290/$B285)</f>
        <v>8.03841991341991E-2</v>
      </c>
      <c r="K290" s="13">
        <f>(ABS(($G290+0.1)*1000)/$C290)*($I290/IF(B284="",$B285,$B284))</f>
        <v>5.8784271284271286E-2</v>
      </c>
      <c r="M290" s="1">
        <v>1.2999999999999999E-2</v>
      </c>
      <c r="N290" s="14">
        <f>(((O290/Q283)-4)/4)+2</f>
        <v>3.484076433121019</v>
      </c>
      <c r="O290" s="1">
        <f>B286*M290</f>
        <v>3120</v>
      </c>
      <c r="P290" s="1" t="str">
        <f>IF(Q283=490, "D25",IF(Q283=314,"D20","D16"))</f>
        <v>D20</v>
      </c>
    </row>
    <row r="291" spans="1:17" x14ac:dyDescent="0.3">
      <c r="C291" s="1">
        <v>15.78</v>
      </c>
      <c r="D291" s="1">
        <v>-151.71</v>
      </c>
      <c r="E291" s="1">
        <v>63.3</v>
      </c>
      <c r="F291" s="1">
        <v>-138.38999999999999</v>
      </c>
      <c r="G291" s="4">
        <v>-360.67</v>
      </c>
      <c r="I291" s="13">
        <f>($C291*1000/$B$3)/$B286/$B$1</f>
        <v>3.4155844155844156E-3</v>
      </c>
      <c r="J291" s="13">
        <f>(ABS(($F291+0.1)*1000)/$C291)*($I291/$B285)</f>
        <v>7.4832251082251097E-2</v>
      </c>
      <c r="K291" s="13">
        <f>(ABS(($G291+0.1)*1000)/$C291)*($I291/IF(B284="",$B285,$B284))</f>
        <v>0.13007575757575759</v>
      </c>
      <c r="M291" s="1">
        <v>0.02</v>
      </c>
      <c r="N291" s="14">
        <f>(((O291/Q283)-4)/4)+2</f>
        <v>4.8216560509554141</v>
      </c>
      <c r="O291" s="1">
        <f>B286*M291</f>
        <v>4800</v>
      </c>
      <c r="P291" s="1" t="str">
        <f>IF(Q283=490, "D25",IF(Q283=314,"D20","D16"))</f>
        <v>D20</v>
      </c>
    </row>
    <row r="292" spans="1:17" x14ac:dyDescent="0.3">
      <c r="C292" s="1">
        <v>288.41000000000003</v>
      </c>
      <c r="D292" s="1">
        <v>-167.06</v>
      </c>
      <c r="E292" s="1">
        <v>63.85</v>
      </c>
      <c r="F292" s="1">
        <v>130.44</v>
      </c>
      <c r="G292" s="4">
        <v>331</v>
      </c>
      <c r="I292" s="13">
        <f>($C292*1000/$B$3)/$B286/$B$1</f>
        <v>6.2426406926406927E-2</v>
      </c>
      <c r="J292" s="13">
        <f>(ABS(($F292+0.1)*1000)/$C292)*($I292/$B285)</f>
        <v>7.0638528138528126E-2</v>
      </c>
      <c r="K292" s="13">
        <f>(ABS(($G292+0.1)*1000)/$C292)*($I292/IF(B284="",$B285,$B284))</f>
        <v>0.11944444444444444</v>
      </c>
      <c r="N292" s="14">
        <f>(((O292/Q283)-4)/4)+2</f>
        <v>1</v>
      </c>
      <c r="O292" s="1">
        <f>B286*M292</f>
        <v>0</v>
      </c>
      <c r="P292" s="1" t="str">
        <f>IF(Q283=490, "D25",IF(Q283=314,"D20","D16"))</f>
        <v>D20</v>
      </c>
    </row>
    <row r="293" spans="1:17" x14ac:dyDescent="0.3">
      <c r="G293" s="16"/>
      <c r="I293" s="13"/>
      <c r="J293" s="13"/>
      <c r="K293" s="13"/>
      <c r="N293" s="14"/>
    </row>
    <row r="294" spans="1:17" x14ac:dyDescent="0.3">
      <c r="B294" s="1" t="s">
        <v>19</v>
      </c>
      <c r="C294" s="1" t="s">
        <v>20</v>
      </c>
      <c r="D294" s="1" t="s">
        <v>35</v>
      </c>
      <c r="E294" s="1" t="s">
        <v>36</v>
      </c>
      <c r="F294" s="1" t="s">
        <v>23</v>
      </c>
      <c r="G294" s="1" t="s">
        <v>24</v>
      </c>
    </row>
    <row r="295" spans="1:17" x14ac:dyDescent="0.3">
      <c r="A295" s="11"/>
      <c r="B295" s="12" t="s">
        <v>70</v>
      </c>
      <c r="C295" s="4">
        <v>-5795.17</v>
      </c>
      <c r="D295" s="1">
        <v>-158.16</v>
      </c>
      <c r="E295" s="1">
        <v>0</v>
      </c>
      <c r="F295" s="1">
        <v>-1.26</v>
      </c>
      <c r="G295" s="1">
        <v>0</v>
      </c>
      <c r="I295" s="13">
        <f>($C295*1000/$B$3)/$B298/$B$1</f>
        <v>-1.0751706864564008</v>
      </c>
      <c r="J295" s="13">
        <f>(ABS(($F295+0.1)*1000)/$C295)*($I295/$B297)</f>
        <v>5.3803339517625233E-4</v>
      </c>
      <c r="K295" s="13">
        <f>(ABS(($G295+0.1)*1000)/$C295)*($I295/IF(B296="",$B297,$B296))</f>
        <v>2.6504108136761199E-5</v>
      </c>
      <c r="N295" s="14">
        <f>(((O295/Q295)-4)/4)+2</f>
        <v>1</v>
      </c>
      <c r="O295" s="1">
        <f>B298*M295</f>
        <v>0</v>
      </c>
      <c r="P295" s="1" t="str">
        <f>IF(Q295=490, "D25",IF(Q295=314,"D20","D16"))</f>
        <v>D25</v>
      </c>
      <c r="Q295" s="1">
        <v>490</v>
      </c>
    </row>
    <row r="296" spans="1:17" x14ac:dyDescent="0.3">
      <c r="A296" s="5" t="s">
        <v>41</v>
      </c>
      <c r="B296" s="8">
        <v>700</v>
      </c>
      <c r="C296" s="4">
        <v>6581.86</v>
      </c>
      <c r="D296" s="1">
        <v>0</v>
      </c>
      <c r="E296" s="1">
        <v>-0.23</v>
      </c>
      <c r="F296" s="1">
        <v>0</v>
      </c>
      <c r="G296" s="1">
        <v>-126.33</v>
      </c>
      <c r="I296" s="13">
        <f>($C296*1000/$B$3)/$B298/$B$1</f>
        <v>1.2211243042671613</v>
      </c>
      <c r="J296" s="13">
        <f>(ABS(($F296+0.1)*1000)/$C296)*($I296/$B297)</f>
        <v>4.6382189239332094E-5</v>
      </c>
      <c r="K296" s="13">
        <f>(ABS(($G296+0.1)*1000)/$C296)*($I296/IF(B296="",$B297,$B296))</f>
        <v>3.345613570103366E-2</v>
      </c>
      <c r="M296" s="1">
        <v>0.03</v>
      </c>
      <c r="N296" s="14">
        <f>(((O296/Q295)-4)/4)+2</f>
        <v>5.2857142857142856</v>
      </c>
      <c r="O296" s="1">
        <f>B298*M296</f>
        <v>8400</v>
      </c>
      <c r="P296" s="1" t="str">
        <f>IF(Q295=490, "D25",IF(Q295=314,"D20","D16"))</f>
        <v>D25</v>
      </c>
    </row>
    <row r="297" spans="1:17" x14ac:dyDescent="0.3">
      <c r="A297" s="5" t="s">
        <v>43</v>
      </c>
      <c r="B297" s="8">
        <v>400</v>
      </c>
      <c r="C297" s="1">
        <v>217.52</v>
      </c>
      <c r="D297" s="4">
        <v>-402.3</v>
      </c>
      <c r="E297" s="1">
        <v>74.77</v>
      </c>
      <c r="F297" s="1">
        <v>-76.760000000000005</v>
      </c>
      <c r="G297" s="1">
        <v>-179.86</v>
      </c>
      <c r="I297" s="13">
        <f>($C297*1000/$B$3)/$B298/$B$1</f>
        <v>4.0356215213358068E-2</v>
      </c>
      <c r="J297" s="13">
        <f>(ABS(($F297+0.1)*1000)/$C297)*($I297/$B297)</f>
        <v>3.5556586270871986E-2</v>
      </c>
      <c r="K297" s="13">
        <f>(ABS(($G297+0.1)*1000)/$C297)*($I297/IF(B296="",$B297,$B296))</f>
        <v>4.7643784786641934E-2</v>
      </c>
      <c r="N297" s="14">
        <f>(((O297/Q295)-4)/4)+2</f>
        <v>1</v>
      </c>
      <c r="O297" s="1">
        <f>B298*M297</f>
        <v>0</v>
      </c>
      <c r="P297" s="1" t="str">
        <f>IF(Q295=490, "D25",IF(Q295=314,"D20","D16"))</f>
        <v>D25</v>
      </c>
    </row>
    <row r="298" spans="1:17" x14ac:dyDescent="0.3">
      <c r="A298" s="5" t="s">
        <v>44</v>
      </c>
      <c r="B298" s="15">
        <f>IF(B296="",(0.25*PI()*B297^2),B296*B297)</f>
        <v>280000</v>
      </c>
      <c r="C298" s="1">
        <v>190.31</v>
      </c>
      <c r="D298" s="4">
        <v>296.83999999999997</v>
      </c>
      <c r="E298" s="1">
        <v>-37.020000000000003</v>
      </c>
      <c r="F298" s="1">
        <v>26.29</v>
      </c>
      <c r="G298" s="1">
        <v>117.81</v>
      </c>
      <c r="I298" s="13">
        <f>($C298*1000/$B$3)/$B298/$B$1</f>
        <v>3.5307977736549166E-2</v>
      </c>
      <c r="J298" s="13">
        <f>(ABS(($F298+0.1)*1000)/$C298)*($I298/$B297)</f>
        <v>1.2240259740259741E-2</v>
      </c>
      <c r="K298" s="13">
        <f>(ABS(($G298+0.1)*1000)/$C298)*($I298/IF(B296="",$B297,$B296))</f>
        <v>3.1250993904055127E-2</v>
      </c>
      <c r="N298" s="14">
        <f>(((O298/Q295)-4)/4)+2</f>
        <v>1</v>
      </c>
      <c r="O298" s="1">
        <f>B298*M298</f>
        <v>0</v>
      </c>
      <c r="P298" s="1" t="str">
        <f>IF(Q295=490, "D25",IF(Q295=314,"D20","D16"))</f>
        <v>D25</v>
      </c>
    </row>
    <row r="299" spans="1:17" x14ac:dyDescent="0.3">
      <c r="C299" s="1">
        <v>190.31</v>
      </c>
      <c r="D299" s="1">
        <v>296.83999999999997</v>
      </c>
      <c r="E299" s="4">
        <v>-37.020000000000003</v>
      </c>
      <c r="F299" s="1">
        <v>26.29</v>
      </c>
      <c r="G299" s="1">
        <v>117.81</v>
      </c>
      <c r="I299" s="13">
        <f>($C299*1000/$B$3)/$B298/$B$1</f>
        <v>3.5307977736549166E-2</v>
      </c>
      <c r="J299" s="13">
        <f>(ABS(($F299+0.1)*1000)/$C299)*($I299/$B297)</f>
        <v>1.2240259740259741E-2</v>
      </c>
      <c r="K299" s="13">
        <f>(ABS(($G299+0.1)*1000)/$C299)*($I299/IF(B296="",$B297,$B296))</f>
        <v>3.1250993904055127E-2</v>
      </c>
      <c r="N299" s="14">
        <f>(((O299/Q295)-4)/4)+2</f>
        <v>1</v>
      </c>
      <c r="O299" s="1">
        <f>B298*M299</f>
        <v>0</v>
      </c>
      <c r="P299" s="1" t="str">
        <f>IF(Q295=490, "D25",IF(Q295=314,"D20","D16"))</f>
        <v>D25</v>
      </c>
    </row>
    <row r="300" spans="1:17" x14ac:dyDescent="0.3">
      <c r="C300" s="1">
        <v>217.52</v>
      </c>
      <c r="D300" s="1">
        <v>-402.3</v>
      </c>
      <c r="E300" s="4">
        <v>74.77</v>
      </c>
      <c r="F300" s="1">
        <v>-76.760000000000005</v>
      </c>
      <c r="G300" s="1">
        <v>-179.86</v>
      </c>
      <c r="I300" s="13">
        <f>($C300*1000/$B$3)/$B298/$B$1</f>
        <v>4.0356215213358068E-2</v>
      </c>
      <c r="J300" s="13">
        <f>(ABS(($F300+0.1)*1000)/$C300)*($I300/$B297)</f>
        <v>3.5556586270871986E-2</v>
      </c>
      <c r="K300" s="13">
        <f>(ABS(($G300+0.1)*1000)/$C300)*($I300/IF(B296="",$B297,$B296))</f>
        <v>4.7643784786641934E-2</v>
      </c>
      <c r="N300" s="14">
        <f>(((O300/Q295)-4)/4)+2</f>
        <v>1</v>
      </c>
      <c r="O300" s="1">
        <f>B298*M300</f>
        <v>0</v>
      </c>
      <c r="P300" s="1" t="str">
        <f>IF(Q295=490, "D25",IF(Q295=314,"D20","D16"))</f>
        <v>D25</v>
      </c>
    </row>
    <row r="301" spans="1:17" x14ac:dyDescent="0.3">
      <c r="C301" s="1">
        <v>182.43</v>
      </c>
      <c r="D301" s="1">
        <v>-105.42</v>
      </c>
      <c r="E301" s="1">
        <v>61.44</v>
      </c>
      <c r="F301" s="4">
        <v>-90.47</v>
      </c>
      <c r="G301" s="1">
        <v>-97.85</v>
      </c>
      <c r="I301" s="13">
        <f>($C301*1000/$B$3)/$B298/$B$1</f>
        <v>3.3846011131725424E-2</v>
      </c>
      <c r="J301" s="13">
        <f>(ABS(($F301+0.1)*1000)/$C301)*($I301/$B297)</f>
        <v>4.1915584415584427E-2</v>
      </c>
      <c r="K301" s="13">
        <f>(ABS(($G301+0.1)*1000)/$C301)*($I301/IF(B296="",$B297,$B296))</f>
        <v>2.5907765703684076E-2</v>
      </c>
      <c r="M301" s="1">
        <v>0.01</v>
      </c>
      <c r="N301" s="14">
        <f>(((O301/Q295)-4)/4)+2</f>
        <v>2.4285714285714288</v>
      </c>
      <c r="O301" s="1">
        <f>B298*M301</f>
        <v>2800</v>
      </c>
      <c r="P301" s="1" t="str">
        <f>IF(Q295=490, "D25",IF(Q295=314,"D20","D16"))</f>
        <v>D25</v>
      </c>
    </row>
    <row r="302" spans="1:17" x14ac:dyDescent="0.3">
      <c r="C302" s="1">
        <v>87.5</v>
      </c>
      <c r="D302" s="1">
        <v>-183.31</v>
      </c>
      <c r="E302" s="1">
        <v>65.290000000000006</v>
      </c>
      <c r="F302" s="4">
        <v>75.599999999999994</v>
      </c>
      <c r="G302" s="1">
        <v>110.91</v>
      </c>
      <c r="I302" s="13">
        <f>($C302*1000/$B$3)/$B298/$B$1</f>
        <v>1.6233766233766236E-2</v>
      </c>
      <c r="J302" s="13">
        <f>(ABS(($F302+0.1)*1000)/$C302)*($I302/$B297)</f>
        <v>3.51113172541744E-2</v>
      </c>
      <c r="K302" s="13">
        <f>(ABS(($G302+0.1)*1000)/$C302)*($I302/IF(B296="",$B297,$B296))</f>
        <v>2.9422210442618606E-2</v>
      </c>
      <c r="N302" s="14">
        <f>(((O302/Q295)-4)/4)+2</f>
        <v>1</v>
      </c>
      <c r="O302" s="1">
        <f>B298*M302</f>
        <v>0</v>
      </c>
      <c r="P302" s="1" t="str">
        <f>IF(Q295=490, "D25",IF(Q295=314,"D20","D16"))</f>
        <v>D25</v>
      </c>
    </row>
    <row r="303" spans="1:17" x14ac:dyDescent="0.3">
      <c r="C303" s="1">
        <v>229.71</v>
      </c>
      <c r="D303" s="1">
        <v>-257.83999999999997</v>
      </c>
      <c r="E303" s="1">
        <v>63.26</v>
      </c>
      <c r="F303" s="1">
        <v>-85.96</v>
      </c>
      <c r="G303" s="4">
        <v>-206.06</v>
      </c>
      <c r="I303" s="13">
        <f>($C303*1000/$B$3)/$B298/$B$1</f>
        <v>4.261781076066791E-2</v>
      </c>
      <c r="J303" s="13">
        <f>(ABS(($F303+0.1)*1000)/$C303)*($I303/$B297)</f>
        <v>3.9823747680890545E-2</v>
      </c>
      <c r="K303" s="13">
        <f>(ABS(($G303+0.1)*1000)/$C303)*($I303/IF(B296="",$B297,$B296))</f>
        <v>5.4587861118473371E-2</v>
      </c>
      <c r="M303" s="1">
        <v>0.01</v>
      </c>
      <c r="N303" s="14">
        <f>(((O303/Q295)-4)/4)+2</f>
        <v>2.4285714285714288</v>
      </c>
      <c r="O303" s="1">
        <f>B298*M303</f>
        <v>2800</v>
      </c>
      <c r="P303" s="1" t="str">
        <f>IF(Q295=490, "D25",IF(Q295=314,"D20","D16"))</f>
        <v>D25</v>
      </c>
    </row>
    <row r="304" spans="1:17" x14ac:dyDescent="0.3">
      <c r="C304" s="1">
        <v>-3181.7</v>
      </c>
      <c r="D304" s="1">
        <v>-70.77</v>
      </c>
      <c r="E304" s="1">
        <v>-1.55</v>
      </c>
      <c r="F304" s="1">
        <v>23.1</v>
      </c>
      <c r="G304" s="4">
        <v>141.24</v>
      </c>
      <c r="I304" s="13">
        <f>($C304*1000/$B$3)/$B298/$B$1</f>
        <v>-0.59029684601113186</v>
      </c>
      <c r="J304" s="13">
        <f>(ABS(($F304+0.1)*1000)/$C304)*($I304/$B297)</f>
        <v>1.0760667903525051E-2</v>
      </c>
      <c r="K304" s="13">
        <f>(ABS(($G304+0.1)*1000)/$C304)*($I304/IF(B296="",$B297,$B296))</f>
        <v>3.7460906440498286E-2</v>
      </c>
      <c r="N304" s="14">
        <f>(((O304/Q295)-4)/4)+2</f>
        <v>1</v>
      </c>
      <c r="O304" s="1">
        <f>B298*M304</f>
        <v>0</v>
      </c>
      <c r="P304" s="1" t="str">
        <f>IF(Q295=490, "D25",IF(Q295=314,"D20","D16"))</f>
        <v>D25</v>
      </c>
    </row>
    <row r="305" spans="1:17" x14ac:dyDescent="0.3">
      <c r="G305" s="16"/>
      <c r="I305" s="13"/>
      <c r="J305" s="13"/>
      <c r="K305" s="13"/>
      <c r="N305" s="14"/>
    </row>
    <row r="306" spans="1:17" x14ac:dyDescent="0.3">
      <c r="B306" s="1" t="s">
        <v>19</v>
      </c>
      <c r="C306" s="1" t="s">
        <v>20</v>
      </c>
      <c r="D306" s="1" t="s">
        <v>35</v>
      </c>
      <c r="E306" s="1" t="s">
        <v>36</v>
      </c>
      <c r="F306" s="1" t="s">
        <v>23</v>
      </c>
      <c r="G306" s="1" t="s">
        <v>24</v>
      </c>
    </row>
    <row r="307" spans="1:17" x14ac:dyDescent="0.3">
      <c r="A307" s="11"/>
      <c r="B307" s="12" t="s">
        <v>71</v>
      </c>
      <c r="C307" s="4">
        <v>27.04</v>
      </c>
      <c r="D307" s="1">
        <v>-25.38</v>
      </c>
      <c r="E307" s="1">
        <v>0</v>
      </c>
      <c r="F307" s="1">
        <v>114.77</v>
      </c>
      <c r="G307" s="1">
        <v>0</v>
      </c>
      <c r="I307" s="13">
        <f>($C307*1000/$B$3)/$B310/$B$1</f>
        <v>3.6499758589598513E-3</v>
      </c>
      <c r="J307" s="13">
        <f>(ABS(($F307+0.1)*1000)/$C307)*($I307/$B309)</f>
        <v>2.2150925978376902E-2</v>
      </c>
      <c r="K307" s="13">
        <f>(ABS(($G307+0.1)*1000)/$C307)*($I307/IF(B308="",$B309,$B308))</f>
        <v>1.9283473472949339E-5</v>
      </c>
      <c r="N307" s="14">
        <f>O307/Q307</f>
        <v>0</v>
      </c>
      <c r="O307" s="1">
        <f>B310*M307</f>
        <v>0</v>
      </c>
      <c r="P307" s="1" t="str">
        <f>IF(Q307=490, "D25",IF(Q307=314,"D20","D16"))</f>
        <v>D20</v>
      </c>
      <c r="Q307" s="1">
        <v>314</v>
      </c>
    </row>
    <row r="308" spans="1:17" x14ac:dyDescent="0.3">
      <c r="A308" s="5" t="s">
        <v>41</v>
      </c>
      <c r="B308" s="8"/>
      <c r="C308" s="4">
        <v>2592.06</v>
      </c>
      <c r="D308" s="1">
        <v>0</v>
      </c>
      <c r="E308" s="1">
        <v>-20.81</v>
      </c>
      <c r="F308" s="1">
        <v>0</v>
      </c>
      <c r="G308" s="1">
        <v>0</v>
      </c>
      <c r="I308" s="13">
        <f>($C308*1000/$B$3)/$B310/$B$1</f>
        <v>0.3498874417520515</v>
      </c>
      <c r="J308" s="13">
        <f>(ABS(($F308+0.1)*1000)/$C308)*($I308/$B309)</f>
        <v>1.9283473472949342E-5</v>
      </c>
      <c r="K308" s="13">
        <f>(ABS(($G308+0.1)*1000)/$C308)*($I308/IF(B308="",$B309,$B308))</f>
        <v>1.9283473472949342E-5</v>
      </c>
      <c r="N308" s="14">
        <f>O308/Q307</f>
        <v>0</v>
      </c>
      <c r="O308" s="1">
        <f>B310*M308</f>
        <v>0</v>
      </c>
      <c r="P308" s="1" t="str">
        <f>IF(Q307=490, "D25",IF(Q307=314,"D20","D16"))</f>
        <v>D20</v>
      </c>
      <c r="Q308" s="12" t="s">
        <v>42</v>
      </c>
    </row>
    <row r="309" spans="1:17" x14ac:dyDescent="0.3">
      <c r="A309" s="5" t="s">
        <v>43</v>
      </c>
      <c r="B309" s="8">
        <v>700</v>
      </c>
      <c r="C309" s="1">
        <v>850.18</v>
      </c>
      <c r="D309" s="4">
        <v>-76.22</v>
      </c>
      <c r="E309" s="1">
        <v>13.68</v>
      </c>
      <c r="F309" s="1">
        <v>46.5</v>
      </c>
      <c r="G309" s="1">
        <v>250.16</v>
      </c>
      <c r="I309" s="13">
        <f>($C309*1000/$B$3)/$B310/$B$1</f>
        <v>0.11476096434062452</v>
      </c>
      <c r="J309" s="13">
        <f>(ABS(($F309+0.1)*1000)/$C309)*($I309/$B309)</f>
        <v>8.986098638394396E-3</v>
      </c>
      <c r="K309" s="13">
        <f>(ABS(($G309+0.1)*1000)/$C309)*($I309/IF(B308="",$B309,$B308))</f>
        <v>4.8258820713403039E-2</v>
      </c>
      <c r="N309" s="14">
        <f>O309/Q307</f>
        <v>0</v>
      </c>
      <c r="O309" s="1">
        <f>B310*M309</f>
        <v>0</v>
      </c>
      <c r="P309" s="1" t="str">
        <f>IF(Q307=490, "D25",IF(Q307=314,"D20","D16"))</f>
        <v>D20</v>
      </c>
    </row>
    <row r="310" spans="1:17" x14ac:dyDescent="0.3">
      <c r="A310" s="5" t="s">
        <v>44</v>
      </c>
      <c r="B310" s="15">
        <f>IF(B308="",(0.25*PI()*B309^2),B308*B309)</f>
        <v>384845.10006474965</v>
      </c>
      <c r="C310" s="1">
        <v>340.83</v>
      </c>
      <c r="D310" s="4">
        <v>44.49</v>
      </c>
      <c r="E310" s="1">
        <v>-16.71</v>
      </c>
      <c r="F310" s="1">
        <v>-29.4</v>
      </c>
      <c r="G310" s="1">
        <v>-77.91</v>
      </c>
      <c r="I310" s="13">
        <f>($C310*1000/$B$3)/$B310/$B$1</f>
        <v>4.6006703846497278E-2</v>
      </c>
      <c r="J310" s="13">
        <f>(ABS(($F310+0.1)*1000)/$C310)*($I310/$B309)</f>
        <v>5.6500577275741589E-3</v>
      </c>
      <c r="K310" s="13">
        <f>(ABS(($G310+0.1)*1000)/$C310)*($I310/IF(B308="",$B309,$B308))</f>
        <v>1.5004470709301887E-2</v>
      </c>
      <c r="N310" s="14">
        <f>O310/Q307</f>
        <v>0</v>
      </c>
      <c r="O310" s="1">
        <f>B310*M310</f>
        <v>0</v>
      </c>
      <c r="P310" s="1" t="str">
        <f>IF(Q307=490, "D25",IF(Q307=314,"D20","D16"))</f>
        <v>D20</v>
      </c>
    </row>
    <row r="311" spans="1:17" x14ac:dyDescent="0.3">
      <c r="C311" s="1">
        <v>724.67</v>
      </c>
      <c r="D311" s="1">
        <v>-7.33</v>
      </c>
      <c r="E311" s="4">
        <v>-78.540000000000006</v>
      </c>
      <c r="F311" s="1">
        <v>-136.47999999999999</v>
      </c>
      <c r="G311" s="1">
        <v>42.25</v>
      </c>
      <c r="I311" s="13">
        <f>($C311*1000/$B$3)/$B310/$B$1</f>
        <v>9.7819083051495406E-2</v>
      </c>
      <c r="J311" s="13">
        <f>(ABS(($F311+0.1)*1000)/$C311)*($I311/$B309)</f>
        <v>2.6298801122408316E-2</v>
      </c>
      <c r="K311" s="13">
        <f>(ABS(($G311+0.1)*1000)/$C311)*($I311/IF(B308="",$B309,$B308))</f>
        <v>8.1665510157940477E-3</v>
      </c>
      <c r="N311" s="14">
        <f>O311/Q307</f>
        <v>0</v>
      </c>
      <c r="O311" s="1">
        <f>B310*M311</f>
        <v>0</v>
      </c>
      <c r="P311" s="1" t="str">
        <f>IF(Q307=490, "D25",IF(Q307=314,"D20","D16"))</f>
        <v>D20</v>
      </c>
    </row>
    <row r="312" spans="1:17" x14ac:dyDescent="0.3">
      <c r="C312" s="1">
        <v>579.32000000000005</v>
      </c>
      <c r="D312" s="1">
        <v>-60.91</v>
      </c>
      <c r="E312" s="4">
        <v>80.83</v>
      </c>
      <c r="F312" s="1">
        <v>252.63</v>
      </c>
      <c r="G312" s="1">
        <v>169.54</v>
      </c>
      <c r="I312" s="13">
        <f>($C312*1000/$B$3)/$B310/$B$1</f>
        <v>7.8199112966443093E-2</v>
      </c>
      <c r="J312" s="13">
        <f>(ABS(($F312+0.1)*1000)/$C312)*($I312/$B309)</f>
        <v>4.8735122508184875E-2</v>
      </c>
      <c r="K312" s="13">
        <f>(ABS(($G312+0.1)*1000)/$C312)*($I312/IF(B308="",$B309,$B308))</f>
        <v>3.2712484399511264E-2</v>
      </c>
      <c r="N312" s="14">
        <f>O312/Q307</f>
        <v>0</v>
      </c>
      <c r="O312" s="1">
        <f>B310*M312</f>
        <v>0</v>
      </c>
      <c r="P312" s="1" t="str">
        <f>IF(Q307=490, "D25",IF(Q307=314,"D20","D16"))</f>
        <v>D20</v>
      </c>
    </row>
    <row r="313" spans="1:17" x14ac:dyDescent="0.3">
      <c r="C313" s="1">
        <v>822.3</v>
      </c>
      <c r="D313" s="1">
        <v>-4.3099999999999996</v>
      </c>
      <c r="E313" s="1">
        <v>-54.29</v>
      </c>
      <c r="F313" s="4">
        <v>-170.58</v>
      </c>
      <c r="G313" s="1">
        <v>8.23</v>
      </c>
      <c r="I313" s="13">
        <f>($C313*1000/$B$3)/$B310/$B$1</f>
        <v>0.11099760165764372</v>
      </c>
      <c r="J313" s="13">
        <f>(ABS(($F313+0.1)*1000)/$C313)*($I313/$B309)</f>
        <v>3.2874465576684046E-2</v>
      </c>
      <c r="K313" s="13">
        <f>(ABS(($G313+0.1)*1000)/$C313)*($I313/IF(B308="",$B309,$B308))</f>
        <v>1.6063133402966802E-3</v>
      </c>
      <c r="N313" s="14">
        <f>O313/Q307</f>
        <v>0</v>
      </c>
      <c r="O313" s="1">
        <f>B310*M313</f>
        <v>0</v>
      </c>
      <c r="P313" s="1" t="str">
        <f>IF(Q307=490, "D25",IF(Q307=314,"D20","D16"))</f>
        <v>D20</v>
      </c>
    </row>
    <row r="314" spans="1:17" x14ac:dyDescent="0.3">
      <c r="C314" s="1">
        <v>579.32000000000005</v>
      </c>
      <c r="D314" s="1">
        <v>-60.91</v>
      </c>
      <c r="E314" s="1">
        <v>80.83</v>
      </c>
      <c r="F314" s="4">
        <v>252.63</v>
      </c>
      <c r="G314" s="1">
        <v>169.54</v>
      </c>
      <c r="I314" s="13">
        <f>($C314*1000/$B$3)/$B310/$B$1</f>
        <v>7.8199112966443093E-2</v>
      </c>
      <c r="J314" s="13">
        <f>(ABS(($F314+0.1)*1000)/$C314)*($I314/$B309)</f>
        <v>4.8735122508184875E-2</v>
      </c>
      <c r="K314" s="13">
        <f>(ABS(($G314+0.1)*1000)/$C314)*($I314/IF(B308="",$B309,$B308))</f>
        <v>3.2712484399511264E-2</v>
      </c>
      <c r="N314" s="14">
        <f>O314/Q307</f>
        <v>0</v>
      </c>
      <c r="O314" s="1">
        <f>B310*M314</f>
        <v>0</v>
      </c>
      <c r="P314" s="1" t="str">
        <f>IF(Q307=490, "D25",IF(Q307=314,"D20","D16"))</f>
        <v>D20</v>
      </c>
    </row>
    <row r="315" spans="1:17" x14ac:dyDescent="0.3">
      <c r="C315" s="1">
        <v>1425.7</v>
      </c>
      <c r="D315" s="1">
        <v>-71.849999999999994</v>
      </c>
      <c r="E315" s="1">
        <v>25.89</v>
      </c>
      <c r="F315" s="1">
        <v>-49.37</v>
      </c>
      <c r="G315" s="4">
        <v>-165.43</v>
      </c>
      <c r="I315" s="13">
        <f>($C315*1000/$B$3)/$B310/$B$1</f>
        <v>0.19244713691268717</v>
      </c>
      <c r="J315" s="13">
        <f>(ABS(($F315+0.1)*1000)/$C315)*($I315/$B309)</f>
        <v>9.5009673801221411E-3</v>
      </c>
      <c r="K315" s="13">
        <f>(ABS(($G315+0.1)*1000)/$C315)*($I315/IF(B308="",$B309,$B308))</f>
        <v>3.1881366692827151E-2</v>
      </c>
      <c r="N315" s="14">
        <f>O315/Q307</f>
        <v>0</v>
      </c>
      <c r="O315" s="1">
        <f>B310*M315</f>
        <v>0</v>
      </c>
      <c r="P315" s="1" t="str">
        <f>IF(Q307=490, "D25",IF(Q307=314,"D20","D16"))</f>
        <v>D20</v>
      </c>
    </row>
    <row r="316" spans="1:17" x14ac:dyDescent="0.3">
      <c r="C316" s="1">
        <v>850.18</v>
      </c>
      <c r="D316" s="1">
        <v>-76.22</v>
      </c>
      <c r="E316" s="1">
        <v>13.68</v>
      </c>
      <c r="F316" s="1">
        <v>46.5</v>
      </c>
      <c r="G316" s="4">
        <v>250.16</v>
      </c>
      <c r="I316" s="13">
        <f>($C316*1000/$B$3)/$B310/$B$1</f>
        <v>0.11476096434062452</v>
      </c>
      <c r="J316" s="13">
        <f>(ABS(($F316+0.1)*1000)/$C316)*($I316/$B309)</f>
        <v>8.986098638394396E-3</v>
      </c>
      <c r="K316" s="13">
        <f>(ABS(($G316+0.1)*1000)/$C316)*($I316/IF(B308="",$B309,$B308))</f>
        <v>4.8258820713403039E-2</v>
      </c>
      <c r="M316" s="1">
        <v>0.01</v>
      </c>
      <c r="N316" s="14">
        <f>O316/Q307</f>
        <v>12.25621337785827</v>
      </c>
      <c r="O316" s="1">
        <f>B310*M316</f>
        <v>3848.4510006474966</v>
      </c>
      <c r="P316" s="1" t="str">
        <f>IF(Q307=490, "D25",IF(Q307=314,"D20","D16"))</f>
        <v>D20</v>
      </c>
    </row>
    <row r="318" spans="1:17" x14ac:dyDescent="0.3">
      <c r="B318" s="1" t="s">
        <v>19</v>
      </c>
      <c r="C318" s="1" t="s">
        <v>20</v>
      </c>
      <c r="D318" s="1" t="s">
        <v>35</v>
      </c>
      <c r="E318" s="1" t="s">
        <v>36</v>
      </c>
      <c r="F318" s="1" t="s">
        <v>23</v>
      </c>
      <c r="G318" s="1" t="s">
        <v>24</v>
      </c>
    </row>
    <row r="319" spans="1:17" x14ac:dyDescent="0.3">
      <c r="A319" s="19"/>
      <c r="B319" s="12" t="s">
        <v>72</v>
      </c>
      <c r="C319" s="4">
        <v>-10.14</v>
      </c>
      <c r="D319" s="1">
        <v>14.39</v>
      </c>
      <c r="E319" s="1">
        <v>0</v>
      </c>
      <c r="F319" s="1">
        <v>-36.53</v>
      </c>
      <c r="G319" s="1">
        <v>0</v>
      </c>
      <c r="I319" s="13">
        <f>($C319*1000/$B$3)/$B322/$B$1</f>
        <v>-2.1948051948051947E-3</v>
      </c>
      <c r="J319" s="13">
        <f>(ABS(($F319+0.1)*1000)/$C319)*($I319/$B321)</f>
        <v>1.971320346320346E-2</v>
      </c>
      <c r="K319" s="13">
        <f>(ABS(($G319+0.1)*1000)/$C319)*($I319/IF(B320="",$B321,$B320))</f>
        <v>3.6075036075036068E-5</v>
      </c>
      <c r="N319" s="14">
        <f>O319/Q319</f>
        <v>0</v>
      </c>
      <c r="O319" s="1">
        <f>B322*M319</f>
        <v>0</v>
      </c>
      <c r="P319" s="1" t="str">
        <f>IF(Q319=490, "D25",IF(Q319=314,"D20","D16"))</f>
        <v>D20</v>
      </c>
      <c r="Q319" s="1">
        <v>314</v>
      </c>
    </row>
    <row r="320" spans="1:17" x14ac:dyDescent="0.3">
      <c r="A320" s="5" t="s">
        <v>41</v>
      </c>
      <c r="B320" s="8">
        <v>600</v>
      </c>
      <c r="C320" s="4">
        <v>1111.45</v>
      </c>
      <c r="D320" s="1">
        <v>0</v>
      </c>
      <c r="E320" s="1">
        <v>-13.97</v>
      </c>
      <c r="F320" s="1">
        <v>0</v>
      </c>
      <c r="G320" s="1">
        <v>0</v>
      </c>
      <c r="I320" s="13">
        <f>($C320*1000/$B$3)/$B322/$B$1</f>
        <v>0.24057359307359308</v>
      </c>
      <c r="J320" s="13">
        <f>(ABS(($F320+0.1)*1000)/$C320)*($I320/$B321)</f>
        <v>5.4112554112554106E-5</v>
      </c>
      <c r="K320" s="13">
        <f>(ABS(($G320+0.1)*1000)/$C320)*($I320/IF(B320="",$B321,$B320))</f>
        <v>3.6075036075036075E-5</v>
      </c>
      <c r="N320" s="14">
        <f>O320/Q319</f>
        <v>0</v>
      </c>
      <c r="O320" s="1">
        <f>B322*M320</f>
        <v>0</v>
      </c>
      <c r="P320" s="1" t="str">
        <f>IF(Q319=490, "D25",IF(Q319=314,"D20","D16"))</f>
        <v>D20</v>
      </c>
      <c r="Q320" s="12"/>
    </row>
    <row r="321" spans="1:17" x14ac:dyDescent="0.3">
      <c r="A321" s="5" t="s">
        <v>43</v>
      </c>
      <c r="B321" s="8">
        <v>400</v>
      </c>
      <c r="C321" s="1">
        <v>458.61</v>
      </c>
      <c r="D321" s="4">
        <v>-247.05</v>
      </c>
      <c r="E321" s="1">
        <v>-243.57</v>
      </c>
      <c r="F321" s="1">
        <v>-57.25</v>
      </c>
      <c r="G321" s="1">
        <v>12.84</v>
      </c>
      <c r="I321" s="13">
        <f>($C321*1000/$B$3)/$B322/$B$1</f>
        <v>9.926623376623378E-2</v>
      </c>
      <c r="J321" s="13">
        <f>(ABS(($F321+0.1)*1000)/$C321)*($I321/$B321)</f>
        <v>3.0925324675324679E-2</v>
      </c>
      <c r="K321" s="13">
        <f>(ABS(($G321+0.1)*1000)/$C321)*($I321/IF(B320="",$B321,$B320))</f>
        <v>4.6681096681096684E-3</v>
      </c>
      <c r="N321" s="14">
        <f>O321/Q319</f>
        <v>0</v>
      </c>
      <c r="O321" s="1">
        <f>B322*M321</f>
        <v>0</v>
      </c>
      <c r="P321" s="1" t="str">
        <f>IF(Q319=490, "D25",IF(Q319=314,"D20","D16"))</f>
        <v>D20</v>
      </c>
    </row>
    <row r="322" spans="1:17" x14ac:dyDescent="0.3">
      <c r="A322" s="5" t="s">
        <v>44</v>
      </c>
      <c r="B322" s="15">
        <f>IF(B320="",(0.25*PI()*B321^2),B320*B321)</f>
        <v>240000</v>
      </c>
      <c r="C322" s="1">
        <v>26.1</v>
      </c>
      <c r="D322" s="4">
        <v>183.52</v>
      </c>
      <c r="E322" s="1">
        <v>5.42</v>
      </c>
      <c r="F322" s="1">
        <v>15.34</v>
      </c>
      <c r="G322" s="1">
        <v>3.89</v>
      </c>
      <c r="I322" s="13">
        <f>($C322*1000/$B$3)/$B322/$B$1</f>
        <v>5.6493506493506505E-3</v>
      </c>
      <c r="J322" s="13">
        <f>(ABS(($F322+0.1)*1000)/$C322)*($I322/$B321)</f>
        <v>8.3549783549783565E-3</v>
      </c>
      <c r="K322" s="13">
        <f>(ABS(($G322+0.1)*1000)/$C322)*($I322/IF(B320="",$B321,$B320))</f>
        <v>1.4393939393939396E-3</v>
      </c>
      <c r="N322" s="14">
        <f>O322/Q319</f>
        <v>0</v>
      </c>
      <c r="O322" s="1">
        <f>B322*M322</f>
        <v>0</v>
      </c>
      <c r="P322" s="1" t="str">
        <f>IF(Q319=490, "D25",IF(Q319=314,"D20","D16"))</f>
        <v>D20</v>
      </c>
    </row>
    <row r="323" spans="1:17" x14ac:dyDescent="0.3">
      <c r="C323" s="1">
        <v>348.84</v>
      </c>
      <c r="D323" s="1">
        <v>-101.34</v>
      </c>
      <c r="E323" s="4">
        <v>-270.42</v>
      </c>
      <c r="F323" s="1">
        <v>-62.46</v>
      </c>
      <c r="G323" s="1">
        <v>124.89</v>
      </c>
      <c r="I323" s="13">
        <f>($C323*1000/$B$3)/$B322/$B$1</f>
        <v>7.5506493506493508E-2</v>
      </c>
      <c r="J323" s="13">
        <f>(ABS(($F323+0.1)*1000)/$C323)*($I323/$B321)</f>
        <v>3.3744588744588744E-2</v>
      </c>
      <c r="K323" s="13">
        <f>(ABS(($G323+0.1)*1000)/$C323)*($I323/IF(B320="",$B321,$B320))</f>
        <v>4.5090187590187597E-2</v>
      </c>
      <c r="N323" s="14">
        <f>O323/Q319</f>
        <v>0</v>
      </c>
      <c r="O323" s="1">
        <f>B322*M323</f>
        <v>0</v>
      </c>
      <c r="P323" s="1" t="str">
        <f>IF(Q319=490, "D25",IF(Q319=314,"D20","D16"))</f>
        <v>D20</v>
      </c>
    </row>
    <row r="324" spans="1:17" x14ac:dyDescent="0.3">
      <c r="C324" s="1">
        <v>97.67</v>
      </c>
      <c r="D324" s="1">
        <v>-14.06</v>
      </c>
      <c r="E324" s="4">
        <v>49.76</v>
      </c>
      <c r="F324" s="1">
        <v>62.58</v>
      </c>
      <c r="G324" s="1">
        <v>13.35</v>
      </c>
      <c r="I324" s="13">
        <f>($C324*1000/$B$3)/$B322/$B$1</f>
        <v>2.1140692640692644E-2</v>
      </c>
      <c r="J324" s="13">
        <f>(ABS(($F324+0.1)*1000)/$C324)*($I324/$B321)</f>
        <v>3.3917748917748916E-2</v>
      </c>
      <c r="K324" s="13">
        <f>(ABS(($G324+0.1)*1000)/$C324)*($I324/IF(B320="",$B321,$B320))</f>
        <v>4.8520923520923532E-3</v>
      </c>
      <c r="N324" s="14">
        <f>O324/Q319</f>
        <v>0</v>
      </c>
      <c r="O324" s="1">
        <f>B322*M324</f>
        <v>0</v>
      </c>
      <c r="P324" s="1" t="str">
        <f>IF(Q319=490, "D25",IF(Q319=314,"D20","D16"))</f>
        <v>D20</v>
      </c>
    </row>
    <row r="325" spans="1:17" x14ac:dyDescent="0.3">
      <c r="C325" s="1">
        <v>462.42</v>
      </c>
      <c r="D325" s="1">
        <v>-79.33</v>
      </c>
      <c r="E325" s="1">
        <v>-141.32</v>
      </c>
      <c r="F325" s="4">
        <v>-182.06</v>
      </c>
      <c r="G325" s="1">
        <v>129.57</v>
      </c>
      <c r="I325" s="13">
        <f>($C325*1000/$B$3)/$B322/$B$1</f>
        <v>0.10009090909090909</v>
      </c>
      <c r="J325" s="13">
        <f>(ABS(($F325+0.1)*1000)/$C325)*($I325/$B321)</f>
        <v>9.8463203463203461E-2</v>
      </c>
      <c r="K325" s="13">
        <f>(ABS(($G325+0.1)*1000)/$C325)*($I325/IF(B320="",$B321,$B320))</f>
        <v>4.6778499278499273E-2</v>
      </c>
      <c r="N325" s="14">
        <f>O325/Q319</f>
        <v>0</v>
      </c>
      <c r="O325" s="1">
        <f>B322*M325</f>
        <v>0</v>
      </c>
      <c r="P325" s="1" t="str">
        <f>IF(Q319=490, "D25",IF(Q319=314,"D20","D16"))</f>
        <v>D20</v>
      </c>
    </row>
    <row r="326" spans="1:17" x14ac:dyDescent="0.3">
      <c r="C326" s="1">
        <v>442.03</v>
      </c>
      <c r="D326" s="1">
        <v>-79.180000000000007</v>
      </c>
      <c r="E326" s="1">
        <v>-139.13</v>
      </c>
      <c r="F326" s="4">
        <v>239.72</v>
      </c>
      <c r="G326" s="1">
        <v>-108.26</v>
      </c>
      <c r="I326" s="13">
        <f>($C326*1000/$B$3)/$B322/$B$1</f>
        <v>9.5677489177489181E-2</v>
      </c>
      <c r="J326" s="13">
        <f>(ABS(($F326+0.1)*1000)/$C326)*($I326/$B321)</f>
        <v>0.12977272727272729</v>
      </c>
      <c r="K326" s="13">
        <f>(ABS(($G326+0.1)*1000)/$C326)*($I326/IF(B320="",$B321,$B320))</f>
        <v>3.9018759018759029E-2</v>
      </c>
      <c r="N326" s="14">
        <f>O326/Q319</f>
        <v>0</v>
      </c>
      <c r="O326" s="1">
        <f>B322*M326</f>
        <v>0</v>
      </c>
      <c r="P326" s="1" t="str">
        <f>IF(Q319=490, "D25",IF(Q319=314,"D20","D16"))</f>
        <v>D20</v>
      </c>
    </row>
    <row r="327" spans="1:17" x14ac:dyDescent="0.3">
      <c r="C327" s="1">
        <v>180.63</v>
      </c>
      <c r="D327" s="1">
        <v>-160.66</v>
      </c>
      <c r="E327" s="1">
        <v>-77.75</v>
      </c>
      <c r="F327" s="1">
        <v>122.17</v>
      </c>
      <c r="G327" s="4">
        <v>-251.02</v>
      </c>
      <c r="I327" s="13">
        <f>($C327*1000/$B$3)/$B322/$B$1</f>
        <v>3.9097402597402603E-2</v>
      </c>
      <c r="J327" s="13">
        <f>(ABS(($F327+0.1)*1000)/$C327)*($I327/$B321)</f>
        <v>6.6163419913419924E-2</v>
      </c>
      <c r="K327" s="13">
        <f>(ABS(($G327+0.1)*1000)/$C327)*($I327/IF(B320="",$B321,$B320))</f>
        <v>9.0519480519480555E-2</v>
      </c>
      <c r="N327" s="14">
        <f>O327/Q319</f>
        <v>0</v>
      </c>
      <c r="O327" s="1">
        <f>B322*M327</f>
        <v>0</v>
      </c>
      <c r="P327" s="1" t="str">
        <f>IF(Q319=490, "D25",IF(Q319=314,"D20","D16"))</f>
        <v>D20</v>
      </c>
    </row>
    <row r="328" spans="1:17" x14ac:dyDescent="0.3">
      <c r="C328" s="1">
        <v>201.03</v>
      </c>
      <c r="D328" s="1">
        <v>-162.66</v>
      </c>
      <c r="E328" s="1">
        <v>-77.62</v>
      </c>
      <c r="F328" s="1">
        <v>-110.82</v>
      </c>
      <c r="G328" s="4">
        <v>234.96</v>
      </c>
      <c r="I328" s="13">
        <f>($C328*1000/$B$3)/$B322/$B$1</f>
        <v>4.3512987012987017E-2</v>
      </c>
      <c r="J328" s="13">
        <f>(ABS(($F328+0.1)*1000)/$C328)*($I328/$B321)</f>
        <v>5.9913419913419919E-2</v>
      </c>
      <c r="K328" s="13">
        <f>(ABS(($G328+0.1)*1000)/$C328)*($I328/IF(B320="",$B321,$B320))</f>
        <v>8.4797979797979803E-2</v>
      </c>
      <c r="N328" s="14">
        <f>O328/Q319</f>
        <v>0</v>
      </c>
      <c r="O328" s="1">
        <f>B322*M328</f>
        <v>0</v>
      </c>
      <c r="P328" s="1" t="str">
        <f>IF(Q319=490, "D25",IF(Q319=314,"D20","D16"))</f>
        <v>D20</v>
      </c>
    </row>
    <row r="329" spans="1:17" x14ac:dyDescent="0.3">
      <c r="G329" s="16"/>
      <c r="I329" s="13"/>
      <c r="J329" s="13"/>
      <c r="K329" s="13"/>
      <c r="N329" s="14"/>
    </row>
    <row r="330" spans="1:17" x14ac:dyDescent="0.3">
      <c r="B330" s="1" t="s">
        <v>19</v>
      </c>
      <c r="C330" s="1" t="s">
        <v>20</v>
      </c>
      <c r="D330" s="1" t="s">
        <v>35</v>
      </c>
      <c r="E330" s="1" t="s">
        <v>36</v>
      </c>
      <c r="F330" s="1" t="s">
        <v>23</v>
      </c>
      <c r="G330" s="1" t="s">
        <v>24</v>
      </c>
    </row>
    <row r="331" spans="1:17" x14ac:dyDescent="0.3">
      <c r="B331" s="1" t="s">
        <v>73</v>
      </c>
      <c r="C331" s="4">
        <v>35.85</v>
      </c>
      <c r="D331" s="1">
        <v>-8.4600000000000009</v>
      </c>
      <c r="E331" s="1">
        <v>0</v>
      </c>
      <c r="F331" s="1">
        <v>6.14</v>
      </c>
      <c r="G331" s="1">
        <v>0</v>
      </c>
      <c r="I331" s="13">
        <f>($C331*1000/$B$3)/$B334/$B$1</f>
        <v>7.7597402597402608E-3</v>
      </c>
      <c r="J331" s="13">
        <f>(ABS(($F331+0.1)*1000)/$C331)*($I331/$B333)</f>
        <v>3.3766233766233766E-3</v>
      </c>
      <c r="K331" s="13">
        <f>(ABS(($G331+0.1)*1000)/$C331)*($I331/IF(B332="",$B333,$B332))</f>
        <v>3.6075036075036075E-5</v>
      </c>
      <c r="N331" s="14">
        <f>(((O331/Q331)-4)/4)+2</f>
        <v>1</v>
      </c>
      <c r="O331" s="1">
        <f>B334*M331</f>
        <v>0</v>
      </c>
      <c r="P331" s="1" t="str">
        <f>IF(Q331=490, "D25",IF(Q331=314,"D20","D16"))</f>
        <v>D20</v>
      </c>
      <c r="Q331" s="1">
        <v>314</v>
      </c>
    </row>
    <row r="332" spans="1:17" x14ac:dyDescent="0.3">
      <c r="A332" s="5" t="s">
        <v>41</v>
      </c>
      <c r="B332" s="8">
        <v>600</v>
      </c>
      <c r="C332" s="4">
        <v>862.6</v>
      </c>
      <c r="D332" s="1">
        <v>0</v>
      </c>
      <c r="E332" s="1">
        <v>7.29</v>
      </c>
      <c r="F332" s="1">
        <v>0</v>
      </c>
      <c r="G332" s="1">
        <v>0</v>
      </c>
      <c r="I332" s="13">
        <f>($C332*1000/$B$3)/$B334/$B$1</f>
        <v>0.18670995670995671</v>
      </c>
      <c r="J332" s="13">
        <f>(ABS(($F332+0.1)*1000)/$C332)*($I332/$B333)</f>
        <v>5.4112554112554113E-5</v>
      </c>
      <c r="K332" s="13">
        <f>(ABS(($G332+0.1)*1000)/$C332)*($I332/IF(B332="",$B333,$B332))</f>
        <v>3.6075036075036075E-5</v>
      </c>
      <c r="N332" s="14">
        <f>(((O332/Q331)-4)/4)+2</f>
        <v>1</v>
      </c>
      <c r="O332" s="1">
        <f>B334*M332</f>
        <v>0</v>
      </c>
      <c r="P332" s="1" t="str">
        <f>IF(Q331=490, "D25",IF(Q331=314,"D20","D16"))</f>
        <v>D20</v>
      </c>
    </row>
    <row r="333" spans="1:17" x14ac:dyDescent="0.3">
      <c r="A333" s="5" t="s">
        <v>43</v>
      </c>
      <c r="B333" s="8">
        <v>400</v>
      </c>
      <c r="C333" s="1">
        <v>285.63</v>
      </c>
      <c r="D333" s="4">
        <v>-75.849999999999994</v>
      </c>
      <c r="E333" s="1">
        <v>-229.99</v>
      </c>
      <c r="F333" s="1">
        <v>-64.92</v>
      </c>
      <c r="G333" s="1">
        <v>-45.84</v>
      </c>
      <c r="I333" s="13">
        <f>($C333*1000/$B$3)/$B334/$B$1</f>
        <v>6.1824675324675331E-2</v>
      </c>
      <c r="J333" s="13">
        <f>(ABS(($F333+0.1)*1000)/$C333)*($I333/$B333)</f>
        <v>3.5075757575757587E-2</v>
      </c>
      <c r="K333" s="13">
        <f>(ABS(($G333+0.1)*1000)/$C333)*($I333/IF(B332="",$B333,$B332))</f>
        <v>1.6500721500721502E-2</v>
      </c>
      <c r="N333" s="14">
        <f>(((O333/Q331)-4)/4)+2</f>
        <v>1</v>
      </c>
      <c r="O333" s="1">
        <f>B334*M333</f>
        <v>0</v>
      </c>
      <c r="P333" s="1" t="str">
        <f>IF(Q331=490, "D25",IF(Q331=314,"D20","D16"))</f>
        <v>D20</v>
      </c>
    </row>
    <row r="334" spans="1:17" x14ac:dyDescent="0.3">
      <c r="A334" s="5" t="s">
        <v>44</v>
      </c>
      <c r="B334" s="15">
        <f>IF(B332="",(0.25*PI()*B333^2),B332*B333)</f>
        <v>240000</v>
      </c>
      <c r="C334" s="1">
        <v>137.44999999999999</v>
      </c>
      <c r="D334" s="4">
        <v>51.35</v>
      </c>
      <c r="E334" s="1">
        <v>-28.07</v>
      </c>
      <c r="F334" s="1">
        <v>-22.64</v>
      </c>
      <c r="G334" s="1">
        <v>11.06</v>
      </c>
      <c r="I334" s="13">
        <f>($C334*1000/$B$3)/$B334/$B$1</f>
        <v>2.9751082251082254E-2</v>
      </c>
      <c r="J334" s="13">
        <f>(ABS(($F334+0.1)*1000)/$C334)*($I334/$B333)</f>
        <v>1.2196969696969699E-2</v>
      </c>
      <c r="K334" s="13">
        <f>(ABS(($G334+0.1)*1000)/$C334)*($I334/IF(B332="",$B333,$B332))</f>
        <v>4.0259740259740275E-3</v>
      </c>
      <c r="N334" s="14">
        <f>(((O334/Q331)-4)/4)+2</f>
        <v>1</v>
      </c>
      <c r="O334" s="1">
        <f>B334*M334</f>
        <v>0</v>
      </c>
      <c r="P334" s="1" t="str">
        <f>IF(Q331=490, "D25",IF(Q331=314,"D20","D16"))</f>
        <v>D20</v>
      </c>
    </row>
    <row r="335" spans="1:17" x14ac:dyDescent="0.3">
      <c r="C335" s="1">
        <v>162.51</v>
      </c>
      <c r="D335" s="1">
        <v>-37.78</v>
      </c>
      <c r="E335" s="4">
        <v>-302.69</v>
      </c>
      <c r="F335" s="1">
        <v>-81.99</v>
      </c>
      <c r="G335" s="1">
        <v>-45.05</v>
      </c>
      <c r="I335" s="13">
        <f>($C335*1000/$B$3)/$B334/$B$1</f>
        <v>3.5175324675324679E-2</v>
      </c>
      <c r="J335" s="13">
        <f>(ABS(($F335+0.1)*1000)/$C335)*($I335/$B333)</f>
        <v>4.4312770562770575E-2</v>
      </c>
      <c r="K335" s="13">
        <f>(ABS(($G335+0.1)*1000)/$C335)*($I335/IF(B332="",$B333,$B332))</f>
        <v>1.6215728715728718E-2</v>
      </c>
      <c r="N335" s="14">
        <f>(((O335/Q331)-4)/4)+2</f>
        <v>1</v>
      </c>
      <c r="O335" s="1">
        <f>B334*M335</f>
        <v>0</v>
      </c>
      <c r="P335" s="1" t="str">
        <f>IF(Q331=490, "D25",IF(Q331=314,"D20","D16"))</f>
        <v>D20</v>
      </c>
    </row>
    <row r="336" spans="1:17" x14ac:dyDescent="0.3">
      <c r="C336" s="1">
        <v>104.24</v>
      </c>
      <c r="D336" s="1">
        <v>38.99</v>
      </c>
      <c r="E336" s="4">
        <v>14.48</v>
      </c>
      <c r="F336" s="1">
        <v>56.86</v>
      </c>
      <c r="G336" s="1">
        <v>38.49</v>
      </c>
      <c r="I336" s="13">
        <f>($C336*1000/$B$3)/$B334/$B$1</f>
        <v>2.2562770562770559E-2</v>
      </c>
      <c r="J336" s="13">
        <f>(ABS(($F336+0.1)*1000)/$C336)*($I336/$B333)</f>
        <v>3.0822510822510821E-2</v>
      </c>
      <c r="K336" s="13">
        <f>(ABS(($G336+0.1)*1000)/$C336)*($I336/IF(B332="",$B333,$B332))</f>
        <v>1.392135642135642E-2</v>
      </c>
      <c r="N336" s="14">
        <f>(((O336/Q331)-4)/4)+2</f>
        <v>1</v>
      </c>
      <c r="O336" s="1">
        <f>B334*M336</f>
        <v>0</v>
      </c>
      <c r="P336" s="1" t="str">
        <f>IF(Q331=490, "D25",IF(Q331=314,"D20","D16"))</f>
        <v>D20</v>
      </c>
    </row>
    <row r="337" spans="1:16" x14ac:dyDescent="0.3">
      <c r="C337" s="1">
        <v>53.69</v>
      </c>
      <c r="D337" s="1">
        <v>-8.4600000000000009</v>
      </c>
      <c r="E337" s="1">
        <v>-53.26</v>
      </c>
      <c r="F337" s="4">
        <v>-112.36</v>
      </c>
      <c r="G337" s="1">
        <v>-81.89</v>
      </c>
      <c r="I337" s="13">
        <f>($C337*1000/$B$3)/$B334/$B$1</f>
        <v>1.1621212121212121E-2</v>
      </c>
      <c r="J337" s="13">
        <f>(ABS(($F337+0.1)*1000)/$C337)*($I337/$B333)</f>
        <v>6.074675324675325E-2</v>
      </c>
      <c r="K337" s="13">
        <f>(ABS(($G337+0.1)*1000)/$C337)*($I337/IF(B332="",$B333,$B332))</f>
        <v>2.9505772005772007E-2</v>
      </c>
      <c r="N337" s="14">
        <f>(((O337/Q331)-4)/4)+2</f>
        <v>1</v>
      </c>
      <c r="O337" s="1">
        <f>B334*M337</f>
        <v>0</v>
      </c>
      <c r="P337" s="1" t="str">
        <f>IF(Q331=490, "D25",IF(Q331=314,"D20","D16"))</f>
        <v>D20</v>
      </c>
    </row>
    <row r="338" spans="1:16" x14ac:dyDescent="0.3">
      <c r="C338" s="1">
        <v>269.07</v>
      </c>
      <c r="D338" s="1">
        <v>38.06</v>
      </c>
      <c r="E338" s="1">
        <v>-173.07</v>
      </c>
      <c r="F338" s="4">
        <v>223.74</v>
      </c>
      <c r="G338" s="1">
        <v>43.59</v>
      </c>
      <c r="I338" s="13">
        <f>($C338*1000/$B$3)/$B334/$B$1</f>
        <v>5.8240259740259745E-2</v>
      </c>
      <c r="J338" s="13">
        <f>(ABS(($F338+0.1)*1000)/$C338)*($I338/$B333)</f>
        <v>0.12112554112554114</v>
      </c>
      <c r="K338" s="13">
        <f>(ABS(($G338+0.1)*1000)/$C338)*($I338/IF(B332="",$B333,$B332))</f>
        <v>1.5761183261183264E-2</v>
      </c>
      <c r="M338" s="1">
        <v>0.02</v>
      </c>
      <c r="N338" s="14">
        <f>(((O338/Q331)-4)/4)+2</f>
        <v>4.8216560509554141</v>
      </c>
      <c r="O338" s="1">
        <f>B334*M338</f>
        <v>4800</v>
      </c>
      <c r="P338" s="1" t="str">
        <f>IF(Q331=490, "D25",IF(Q331=314,"D20","D16"))</f>
        <v>D20</v>
      </c>
    </row>
    <row r="339" spans="1:16" x14ac:dyDescent="0.3">
      <c r="C339" s="1">
        <v>280.52999999999997</v>
      </c>
      <c r="D339" s="1">
        <v>-75.849999999999994</v>
      </c>
      <c r="E339" s="1">
        <v>-229.99</v>
      </c>
      <c r="F339" s="1">
        <v>44</v>
      </c>
      <c r="G339" s="4">
        <v>-101.6</v>
      </c>
      <c r="I339" s="13">
        <f>($C339*1000/$B$3)/$B334/$B$1</f>
        <v>6.0720779220779231E-2</v>
      </c>
      <c r="J339" s="13">
        <f>(ABS(($F339+0.1)*1000)/$C339)*($I339/$B333)</f>
        <v>2.3863636363636372E-2</v>
      </c>
      <c r="K339" s="13">
        <f>(ABS(($G339+0.1)*1000)/$C339)*($I339/IF(B332="",$B333,$B332))</f>
        <v>3.6616161616161623E-2</v>
      </c>
      <c r="M339" s="1">
        <v>0.02</v>
      </c>
      <c r="N339" s="14">
        <f>(((O339/Q331)-4)/4)+2</f>
        <v>4.8216560509554141</v>
      </c>
      <c r="O339" s="1">
        <f>B334*M339</f>
        <v>4800</v>
      </c>
      <c r="P339" s="1" t="str">
        <f>IF(Q331=490, "D25",IF(Q331=314,"D20","D16"))</f>
        <v>D20</v>
      </c>
    </row>
    <row r="340" spans="1:16" x14ac:dyDescent="0.3">
      <c r="C340" s="1">
        <v>468.39</v>
      </c>
      <c r="D340" s="1">
        <v>18.61</v>
      </c>
      <c r="E340" s="1">
        <v>8.6199999999999992</v>
      </c>
      <c r="F340" s="1">
        <v>19.57</v>
      </c>
      <c r="G340" s="4">
        <v>74.67</v>
      </c>
      <c r="I340" s="13">
        <f>($C340*1000/$B$3)/$B334/$B$1</f>
        <v>0.10138311688311688</v>
      </c>
      <c r="J340" s="13">
        <f>(ABS(($F340+0.1)*1000)/$C340)*($I340/$B333)</f>
        <v>1.0643939393939395E-2</v>
      </c>
      <c r="K340" s="13">
        <f>(ABS(($G340+0.1)*1000)/$C340)*($I340/IF(B332="",$B333,$B332))</f>
        <v>2.6973304473304476E-2</v>
      </c>
      <c r="N340" s="14">
        <f>(((O340/Q331)-4)/4)+2</f>
        <v>1</v>
      </c>
      <c r="O340" s="1">
        <f>B334*M340</f>
        <v>0</v>
      </c>
      <c r="P340" s="1" t="str">
        <f>IF(Q331=490, "D25",IF(Q331=314,"D20","D16"))</f>
        <v>D20</v>
      </c>
    </row>
    <row r="342" spans="1:16" x14ac:dyDescent="0.3">
      <c r="B342" s="1" t="s">
        <v>19</v>
      </c>
      <c r="C342" s="1" t="s">
        <v>20</v>
      </c>
      <c r="D342" s="1" t="s">
        <v>35</v>
      </c>
      <c r="E342" s="1" t="s">
        <v>36</v>
      </c>
      <c r="F342" s="1" t="s">
        <v>23</v>
      </c>
      <c r="G342" s="1" t="s">
        <v>24</v>
      </c>
    </row>
    <row r="343" spans="1:16" x14ac:dyDescent="0.3">
      <c r="B343" s="1" t="s">
        <v>74</v>
      </c>
      <c r="C343" s="4">
        <v>49.06</v>
      </c>
      <c r="D343" s="1">
        <v>-17.38</v>
      </c>
      <c r="E343" s="1">
        <v>0</v>
      </c>
      <c r="F343" s="1">
        <v>-88.82</v>
      </c>
      <c r="G343" s="1">
        <v>0</v>
      </c>
      <c r="I343" s="13">
        <f>($C343*1000/$B$3)/$B346/$B$1</f>
        <v>1.0619047619047618E-2</v>
      </c>
      <c r="J343" s="13">
        <f>(ABS(($F343+0.1)*1000)/$C343)*($I343/$B345)</f>
        <v>3.2005772005772003E-2</v>
      </c>
      <c r="K343" s="13">
        <f>(ABS(($G343+0.1)*1000)/$C343)*($I343/IF(B344="",$B345,$B344))</f>
        <v>5.4112554112554106E-5</v>
      </c>
    </row>
    <row r="344" spans="1:16" x14ac:dyDescent="0.3">
      <c r="A344" s="5" t="s">
        <v>41</v>
      </c>
      <c r="B344" s="8">
        <v>400</v>
      </c>
      <c r="C344" s="4">
        <v>1673.28</v>
      </c>
      <c r="D344" s="1">
        <v>0</v>
      </c>
      <c r="E344" s="1">
        <v>20.12</v>
      </c>
      <c r="F344" s="1">
        <v>0</v>
      </c>
      <c r="G344" s="1">
        <v>0</v>
      </c>
      <c r="I344" s="13">
        <f>($C344*1000/$B$3)/$B346/$B$1</f>
        <v>0.36218181818181822</v>
      </c>
      <c r="J344" s="13">
        <f>(ABS(($F344+0.1)*1000)/$C344)*($I344/$B345)</f>
        <v>3.6075036075036075E-5</v>
      </c>
      <c r="K344" s="13">
        <f>(ABS(($G344+0.1)*1000)/$C344)*($I344/IF(B344="",$B345,$B344))</f>
        <v>5.4112554112554119E-5</v>
      </c>
    </row>
    <row r="345" spans="1:16" x14ac:dyDescent="0.3">
      <c r="A345" s="5" t="s">
        <v>43</v>
      </c>
      <c r="B345" s="8">
        <v>600</v>
      </c>
      <c r="C345" s="1">
        <v>340.04</v>
      </c>
      <c r="D345" s="4">
        <v>-105.38</v>
      </c>
      <c r="E345" s="1">
        <v>-86.77</v>
      </c>
      <c r="F345" s="1">
        <v>-122.93</v>
      </c>
      <c r="G345" s="1">
        <v>39.5</v>
      </c>
      <c r="I345" s="13">
        <f>($C345*1000/$B$3)/$B346/$B$1</f>
        <v>7.3601731601731599E-2</v>
      </c>
      <c r="J345" s="13">
        <f>(ABS(($F345+0.1)*1000)/$C345)*($I345/$B345)</f>
        <v>4.4310966810966815E-2</v>
      </c>
      <c r="K345" s="13">
        <f>(ABS(($G345+0.1)*1000)/$C345)*($I345/IF(B344="",$B345,$B344))</f>
        <v>2.1428571428571425E-2</v>
      </c>
    </row>
    <row r="346" spans="1:16" x14ac:dyDescent="0.3">
      <c r="A346" s="5" t="s">
        <v>44</v>
      </c>
      <c r="B346" s="15">
        <f>IF(B344="",(0.25*PI()*B345^2),B344*B345)</f>
        <v>240000</v>
      </c>
      <c r="C346" s="1">
        <v>830.86</v>
      </c>
      <c r="D346" s="4">
        <v>111.18</v>
      </c>
      <c r="E346" s="1">
        <v>78.040000000000006</v>
      </c>
      <c r="F346" s="1">
        <v>107.76</v>
      </c>
      <c r="G346" s="1">
        <v>-33.54</v>
      </c>
      <c r="I346" s="13">
        <f>($C346*1000/$B$3)/$B346/$B$1</f>
        <v>0.17983982683982686</v>
      </c>
      <c r="J346" s="13">
        <f>(ABS(($F346+0.1)*1000)/$C346)*($I346/$B345)</f>
        <v>3.8910533910533916E-2</v>
      </c>
      <c r="K346" s="13">
        <f>(ABS(($G346+0.1)*1000)/$C346)*($I346/IF(B344="",$B345,$B344))</f>
        <v>1.8095238095238095E-2</v>
      </c>
    </row>
    <row r="347" spans="1:16" x14ac:dyDescent="0.3">
      <c r="C347" s="1">
        <v>340.04</v>
      </c>
      <c r="D347" s="1">
        <v>-105.38</v>
      </c>
      <c r="E347" s="4">
        <v>-86.77</v>
      </c>
      <c r="F347" s="1">
        <v>-122.93</v>
      </c>
      <c r="G347" s="1">
        <v>39.5</v>
      </c>
      <c r="I347" s="13">
        <f>($C347*1000/$B$3)/$B346/$B$1</f>
        <v>7.3601731601731599E-2</v>
      </c>
      <c r="J347" s="13">
        <f>(ABS(($F347+0.1)*1000)/$C347)*($I347/$B345)</f>
        <v>4.4310966810966815E-2</v>
      </c>
      <c r="K347" s="13">
        <f>(ABS(($G347+0.1)*1000)/$C347)*($I347/IF(B344="",$B345,$B344))</f>
        <v>2.1428571428571425E-2</v>
      </c>
    </row>
    <row r="348" spans="1:16" x14ac:dyDescent="0.3">
      <c r="C348" s="1">
        <v>830.86</v>
      </c>
      <c r="D348" s="1">
        <v>111.18</v>
      </c>
      <c r="E348" s="4">
        <v>78.040000000000006</v>
      </c>
      <c r="F348" s="1">
        <v>107.76</v>
      </c>
      <c r="G348" s="1">
        <v>-33.54</v>
      </c>
      <c r="I348" s="13">
        <f>($C348*1000/$B$3)/$B346/$B$1</f>
        <v>0.17983982683982686</v>
      </c>
      <c r="J348" s="13">
        <f>(ABS(($F348+0.1)*1000)/$C348)*($I348/$B345)</f>
        <v>3.8910533910533916E-2</v>
      </c>
      <c r="K348" s="13">
        <f>(ABS(($G348+0.1)*1000)/$C348)*($I348/IF(B344="",$B345,$B344))</f>
        <v>1.8095238095238095E-2</v>
      </c>
    </row>
    <row r="349" spans="1:16" x14ac:dyDescent="0.3">
      <c r="C349" s="1">
        <v>573.55999999999995</v>
      </c>
      <c r="D349" s="1">
        <v>29.69</v>
      </c>
      <c r="E349" s="1">
        <v>-65.5</v>
      </c>
      <c r="F349" s="4">
        <v>-125.79</v>
      </c>
      <c r="G349" s="1">
        <v>54.2</v>
      </c>
      <c r="I349" s="13">
        <f>($C349*1000/$B$3)/$B346/$B$1</f>
        <v>0.12414718614718616</v>
      </c>
      <c r="J349" s="13">
        <f>(ABS(($F349+0.1)*1000)/$C349)*($I349/$B345)</f>
        <v>4.5342712842712858E-2</v>
      </c>
      <c r="K349" s="13">
        <f>(ABS(($G349+0.1)*1000)/$C349)*($I349/IF(B344="",$B345,$B344))</f>
        <v>2.9383116883116893E-2</v>
      </c>
    </row>
    <row r="350" spans="1:16" x14ac:dyDescent="0.3">
      <c r="C350" s="1">
        <v>507.1</v>
      </c>
      <c r="D350" s="1">
        <v>-38.83</v>
      </c>
      <c r="E350" s="1">
        <v>28.15</v>
      </c>
      <c r="F350" s="4">
        <v>137.53</v>
      </c>
      <c r="G350" s="1">
        <v>-70.3</v>
      </c>
      <c r="I350" s="13">
        <f>($C350*1000/$B$3)/$B346/$B$1</f>
        <v>0.10976190476190477</v>
      </c>
      <c r="J350" s="13">
        <f>(ABS(($F350+0.1)*1000)/$C350)*($I350/$B345)</f>
        <v>4.965007215007216E-2</v>
      </c>
      <c r="K350" s="13">
        <f>(ABS(($G350+0.1)*1000)/$C350)*($I350/IF(B344="",$B345,$B344))</f>
        <v>3.7987012987012993E-2</v>
      </c>
    </row>
    <row r="351" spans="1:16" x14ac:dyDescent="0.3">
      <c r="C351" s="1">
        <v>324.75</v>
      </c>
      <c r="D351" s="1">
        <v>-105</v>
      </c>
      <c r="E351" s="1">
        <v>-86.06</v>
      </c>
      <c r="F351" s="1">
        <v>-41.26</v>
      </c>
      <c r="G351" s="4">
        <v>-190.67</v>
      </c>
      <c r="I351" s="13">
        <f>($C351*1000/$B$3)/$B346/$B$1</f>
        <v>7.0292207792207795E-2</v>
      </c>
      <c r="J351" s="13">
        <f>(ABS(($F351+0.1)*1000)/$C351)*($I351/$B345)</f>
        <v>1.484848484848485E-2</v>
      </c>
      <c r="K351" s="13">
        <f>(ABS(($G351+0.1)*1000)/$C351)*($I351/IF(B344="",$B345,$B344))</f>
        <v>0.10312229437229438</v>
      </c>
    </row>
    <row r="352" spans="1:16" x14ac:dyDescent="0.3">
      <c r="C352" s="1">
        <v>810.46</v>
      </c>
      <c r="D352" s="1">
        <v>110.56</v>
      </c>
      <c r="E352" s="1">
        <v>77.400000000000006</v>
      </c>
      <c r="F352" s="1">
        <v>124.41</v>
      </c>
      <c r="G352" s="4">
        <v>189.96</v>
      </c>
      <c r="I352" s="13">
        <f>($C352*1000/$B$3)/$B346/$B$1</f>
        <v>0.17542424242424243</v>
      </c>
      <c r="J352" s="13">
        <f>(ABS(($F352+0.1)*1000)/$C352)*($I352/$B345)</f>
        <v>4.4917027417027411E-2</v>
      </c>
      <c r="K352" s="13">
        <f>(ABS(($G352+0.1)*1000)/$C352)*($I352/IF(B344="",$B345,$B344))</f>
        <v>0.10284632034632035</v>
      </c>
    </row>
    <row r="354" spans="1:11" x14ac:dyDescent="0.3">
      <c r="B354" s="1" t="s">
        <v>19</v>
      </c>
      <c r="C354" s="1" t="s">
        <v>20</v>
      </c>
      <c r="D354" s="1" t="s">
        <v>35</v>
      </c>
      <c r="E354" s="1" t="s">
        <v>36</v>
      </c>
      <c r="F354" s="1" t="s">
        <v>23</v>
      </c>
      <c r="G354" s="1" t="s">
        <v>24</v>
      </c>
    </row>
    <row r="355" spans="1:11" x14ac:dyDescent="0.3">
      <c r="B355" s="1" t="s">
        <v>75</v>
      </c>
      <c r="C355" s="4">
        <v>-0.01</v>
      </c>
      <c r="D355" s="1">
        <v>-1.92</v>
      </c>
      <c r="E355" s="1">
        <v>0</v>
      </c>
      <c r="F355" s="1">
        <v>0</v>
      </c>
      <c r="G355" s="1">
        <v>0</v>
      </c>
      <c r="I355" s="13">
        <f>($C355*1000/$B$3)/$B358/$B$1</f>
        <v>-1.3498431431064539E-6</v>
      </c>
      <c r="J355" s="13">
        <f>(ABS(($F355+0.1)*1000)/$C355)*($I355/$B357)</f>
        <v>1.9283473472949342E-5</v>
      </c>
      <c r="K355" s="13">
        <f>(ABS(($G355+0.1)*1000)/$C355)*($I355/IF(B356="",$B357,$B356))</f>
        <v>1.9283473472949342E-5</v>
      </c>
    </row>
    <row r="356" spans="1:11" x14ac:dyDescent="0.3">
      <c r="A356" s="5" t="s">
        <v>41</v>
      </c>
      <c r="C356" s="4">
        <v>1521.7</v>
      </c>
      <c r="D356" s="1">
        <v>0</v>
      </c>
      <c r="E356" s="1">
        <v>18.57</v>
      </c>
      <c r="F356" s="1">
        <v>0</v>
      </c>
      <c r="G356" s="1">
        <v>0</v>
      </c>
      <c r="I356" s="13">
        <f>($C356*1000/$B$3)/$B358/$B$1</f>
        <v>0.20540563108650914</v>
      </c>
      <c r="J356" s="13">
        <f>(ABS(($F356+0.1)*1000)/$C356)*($I356/$B357)</f>
        <v>1.9283473472949342E-5</v>
      </c>
      <c r="K356" s="13">
        <f>(ABS(($G356+0.1)*1000)/$C356)*($I356/IF(B356="",$B357,$B356))</f>
        <v>1.9283473472949342E-5</v>
      </c>
    </row>
    <row r="357" spans="1:11" x14ac:dyDescent="0.3">
      <c r="A357" s="5" t="s">
        <v>43</v>
      </c>
      <c r="B357" s="8">
        <v>700</v>
      </c>
      <c r="C357" s="1">
        <v>996.49</v>
      </c>
      <c r="D357" s="4">
        <v>-33.85</v>
      </c>
      <c r="E357" s="1">
        <v>-56.86</v>
      </c>
      <c r="F357" s="1">
        <v>0</v>
      </c>
      <c r="G357" s="1">
        <v>0</v>
      </c>
      <c r="I357" s="13">
        <f>($C357*1000/$B$3)/$B358/$B$1</f>
        <v>0.13451051936741504</v>
      </c>
      <c r="J357" s="13">
        <f>(ABS(($F357+0.1)*1000)/$C357)*($I357/$B357)</f>
        <v>1.9283473472949342E-5</v>
      </c>
      <c r="K357" s="13">
        <f>(ABS(($G357+0.1)*1000)/$C357)*($I357/IF(B356="",$B357,$B356))</f>
        <v>1.9283473472949342E-5</v>
      </c>
    </row>
    <row r="358" spans="1:11" x14ac:dyDescent="0.3">
      <c r="A358" s="5" t="s">
        <v>44</v>
      </c>
      <c r="B358" s="15">
        <f>IF(B356="",(0.25*PI()*B357^2),B356*B357)</f>
        <v>384845.10006474965</v>
      </c>
      <c r="C358" s="1">
        <v>425.27</v>
      </c>
      <c r="D358" s="4">
        <v>231.44</v>
      </c>
      <c r="E358" s="1">
        <v>136.16999999999999</v>
      </c>
      <c r="F358" s="1">
        <v>344.98</v>
      </c>
      <c r="G358" s="1">
        <v>-183.63</v>
      </c>
      <c r="I358" s="13">
        <f>($C358*1000/$B$3)/$B358/$B$1</f>
        <v>5.7404779346888174E-2</v>
      </c>
      <c r="J358" s="13">
        <f>(ABS(($F358+0.1)*1000)/$C358)*($I358/$B357)</f>
        <v>6.6543410260453614E-2</v>
      </c>
      <c r="K358" s="13">
        <f>(ABS(($G358+0.1)*1000)/$C358)*($I358/IF(B356="",$B357,$B356))</f>
        <v>3.5390958864903933E-2</v>
      </c>
    </row>
    <row r="359" spans="1:11" x14ac:dyDescent="0.3">
      <c r="C359" s="1">
        <v>369.7</v>
      </c>
      <c r="D359" s="1">
        <v>65.92</v>
      </c>
      <c r="E359" s="4">
        <v>-60.63</v>
      </c>
      <c r="F359" s="1">
        <v>-133.69</v>
      </c>
      <c r="G359" s="1">
        <v>-364.1</v>
      </c>
      <c r="I359" s="13">
        <f>($C359*1000/$B$3)/$B358/$B$1</f>
        <v>4.990370100064561E-2</v>
      </c>
      <c r="J359" s="13">
        <f>(ABS(($F359+0.1)*1000)/$C359)*($I359/$B357)</f>
        <v>2.5760792212513029E-2</v>
      </c>
      <c r="K359" s="13">
        <f>(ABS(($G359+0.1)*1000)/$C359)*($I359/IF(B356="",$B357,$B356))</f>
        <v>7.0191843441535617E-2</v>
      </c>
    </row>
    <row r="360" spans="1:11" x14ac:dyDescent="0.3">
      <c r="C360" s="1">
        <v>530.47</v>
      </c>
      <c r="D360" s="1">
        <v>135.63</v>
      </c>
      <c r="E360" s="4">
        <v>172.91</v>
      </c>
      <c r="F360" s="1">
        <v>409.2</v>
      </c>
      <c r="G360" s="1">
        <v>-0.41</v>
      </c>
      <c r="I360" s="13">
        <f>($C360*1000/$B$3)/$B358/$B$1</f>
        <v>7.1605129212368071E-2</v>
      </c>
      <c r="J360" s="13">
        <f>(ABS(($F360+0.1)*1000)/$C360)*($I360/$B357)</f>
        <v>7.8927256924781669E-2</v>
      </c>
      <c r="K360" s="13">
        <f>(ABS(($G360+0.1)*1000)/$C360)*($I360/IF(B356="",$B357,$B356))</f>
        <v>5.9778767766142962E-5</v>
      </c>
    </row>
    <row r="361" spans="1:11" x14ac:dyDescent="0.3">
      <c r="C361" s="1">
        <v>310.81</v>
      </c>
      <c r="D361" s="1">
        <v>-2.85</v>
      </c>
      <c r="E361" s="1">
        <v>-1.65</v>
      </c>
      <c r="F361" s="4">
        <v>-449.04</v>
      </c>
      <c r="G361" s="1">
        <v>-18.66</v>
      </c>
      <c r="I361" s="13">
        <f>($C361*1000/$B$3)/$B358/$B$1</f>
        <v>4.19544747308917E-2</v>
      </c>
      <c r="J361" s="13">
        <f>(ABS(($F361+0.1)*1000)/$C361)*($I361/$B357)</f>
        <v>8.6571225809458779E-2</v>
      </c>
      <c r="K361" s="13">
        <f>(ABS(($G361+0.1)*1000)/$C361)*($I361/IF(B356="",$B357,$B356))</f>
        <v>3.5790126765793983E-3</v>
      </c>
    </row>
    <row r="362" spans="1:11" x14ac:dyDescent="0.3">
      <c r="C362" s="1">
        <v>530.47</v>
      </c>
      <c r="D362" s="1">
        <v>135.63</v>
      </c>
      <c r="E362" s="1">
        <v>172.91</v>
      </c>
      <c r="F362" s="4">
        <v>409.2</v>
      </c>
      <c r="G362" s="1">
        <v>-0.41</v>
      </c>
      <c r="I362" s="13">
        <f>($C362*1000/$B$3)/$B358/$B$1</f>
        <v>7.1605129212368071E-2</v>
      </c>
      <c r="J362" s="13">
        <f>(ABS(($F362+0.1)*1000)/$C362)*($I362/$B357)</f>
        <v>7.8927256924781669E-2</v>
      </c>
      <c r="K362" s="13">
        <f>(ABS(($G362+0.1)*1000)/$C362)*($I362/IF(B356="",$B357,$B356))</f>
        <v>5.9778767766142962E-5</v>
      </c>
    </row>
    <row r="363" spans="1:11" x14ac:dyDescent="0.3">
      <c r="C363" s="1">
        <v>293.01</v>
      </c>
      <c r="D363" s="1">
        <v>67.2</v>
      </c>
      <c r="E363" s="1">
        <v>-25.89</v>
      </c>
      <c r="F363" s="1">
        <v>-68.819999999999993</v>
      </c>
      <c r="G363" s="4">
        <v>-583.55999999999995</v>
      </c>
      <c r="I363" s="13">
        <f>($C363*1000/$B$3)/$B358/$B$1</f>
        <v>3.9551753936162212E-2</v>
      </c>
      <c r="J363" s="13">
        <f>(ABS(($F363+0.1)*1000)/$C363)*($I363/$B357)</f>
        <v>1.3251602970610791E-2</v>
      </c>
      <c r="K363" s="13">
        <f>(ABS(($G363+0.1)*1000)/$C363)*($I363/IF(B356="",$B357,$B356))</f>
        <v>0.11251135432527024</v>
      </c>
    </row>
    <row r="364" spans="1:11" x14ac:dyDescent="0.3">
      <c r="C364" s="1">
        <v>370.75</v>
      </c>
      <c r="D364" s="1">
        <v>229</v>
      </c>
      <c r="E364" s="1">
        <v>134.41999999999999</v>
      </c>
      <c r="F364" s="1">
        <v>54.46</v>
      </c>
      <c r="G364" s="4">
        <v>565.1</v>
      </c>
      <c r="I364" s="13">
        <f>($C364*1000/$B$3)/$B358/$B$1</f>
        <v>5.0045434530671784E-2</v>
      </c>
      <c r="J364" s="13">
        <f>(ABS(($F364+0.1)*1000)/$C364)*($I364/$B357)</f>
        <v>1.0521063126841161E-2</v>
      </c>
      <c r="K364" s="13">
        <f>(ABS(($G364+0.1)*1000)/$C364)*($I364/IF(B356="",$B357,$B356))</f>
        <v>0.1089901920691097</v>
      </c>
    </row>
    <row r="366" spans="1:11" x14ac:dyDescent="0.3">
      <c r="B366" s="1" t="s">
        <v>19</v>
      </c>
      <c r="C366" s="1" t="s">
        <v>20</v>
      </c>
      <c r="D366" s="1" t="s">
        <v>35</v>
      </c>
      <c r="E366" s="1" t="s">
        <v>36</v>
      </c>
      <c r="F366" s="1" t="s">
        <v>23</v>
      </c>
      <c r="G366" s="1" t="s">
        <v>24</v>
      </c>
    </row>
    <row r="367" spans="1:11" x14ac:dyDescent="0.3">
      <c r="B367" s="1" t="s">
        <v>76</v>
      </c>
      <c r="C367" s="4">
        <v>-0.01</v>
      </c>
      <c r="D367" s="1">
        <v>-1.67</v>
      </c>
      <c r="E367" s="1">
        <v>0</v>
      </c>
      <c r="F367" s="1">
        <v>0</v>
      </c>
      <c r="G367" s="1">
        <v>0</v>
      </c>
      <c r="I367" s="13">
        <f>($C367*1000/$B$3)/$B370/$B$1</f>
        <v>-1.3498431431064539E-6</v>
      </c>
      <c r="J367" s="13">
        <f>(ABS(($F367+0.1)*1000)/$C367)*($I367/$B369)</f>
        <v>1.9283473472949342E-5</v>
      </c>
      <c r="K367" s="13">
        <f>(ABS(($G367+0.1)*1000)/$C367)*($I367/IF(B368="",$B369,$B368))</f>
        <v>1.9283473472949342E-5</v>
      </c>
    </row>
    <row r="368" spans="1:11" x14ac:dyDescent="0.3">
      <c r="A368" s="5" t="s">
        <v>41</v>
      </c>
      <c r="C368" s="4">
        <v>1504.08</v>
      </c>
      <c r="D368" s="1">
        <v>0</v>
      </c>
      <c r="E368" s="1">
        <v>28.46</v>
      </c>
      <c r="F368" s="1">
        <v>0</v>
      </c>
      <c r="G368" s="1">
        <v>0</v>
      </c>
      <c r="I368" s="13">
        <f>($C368*1000/$B$3)/$B370/$B$1</f>
        <v>0.20302720746835556</v>
      </c>
      <c r="J368" s="13">
        <f>(ABS(($F368+0.1)*1000)/$C368)*($I368/$B369)</f>
        <v>1.9283473472949346E-5</v>
      </c>
      <c r="K368" s="13">
        <f>(ABS(($G368+0.1)*1000)/$C368)*($I368/IF(B368="",$B369,$B368))</f>
        <v>1.9283473472949346E-5</v>
      </c>
    </row>
    <row r="369" spans="1:11" x14ac:dyDescent="0.3">
      <c r="A369" s="5" t="s">
        <v>43</v>
      </c>
      <c r="B369" s="8">
        <v>700</v>
      </c>
      <c r="C369" s="1">
        <v>254.7</v>
      </c>
      <c r="D369" s="4">
        <v>-94.07</v>
      </c>
      <c r="E369" s="1">
        <v>-35.19</v>
      </c>
      <c r="F369" s="1">
        <v>-83.26</v>
      </c>
      <c r="G369" s="1">
        <v>-8.7899999999999991</v>
      </c>
      <c r="I369" s="13">
        <f>($C369*1000/$B$3)/$B370/$B$1</f>
        <v>3.438050485492139E-2</v>
      </c>
      <c r="J369" s="13">
        <f>(ABS(($F369+0.1)*1000)/$C369)*($I369/$B369)</f>
        <v>1.6036136540104679E-2</v>
      </c>
      <c r="K369" s="13">
        <f>(ABS(($G369+0.1)*1000)/$C369)*($I369/IF(B368="",$B369,$B368))</f>
        <v>1.6757338447992982E-3</v>
      </c>
    </row>
    <row r="370" spans="1:11" x14ac:dyDescent="0.3">
      <c r="A370" s="5" t="s">
        <v>44</v>
      </c>
      <c r="B370" s="15">
        <f>IF(B368="",(0.25*PI()*B369^2),B368*B369)</f>
        <v>384845.10006474965</v>
      </c>
      <c r="C370" s="1">
        <v>402.22</v>
      </c>
      <c r="D370" s="4">
        <v>74.25</v>
      </c>
      <c r="E370" s="1">
        <v>25.98</v>
      </c>
      <c r="F370" s="1">
        <v>78.7</v>
      </c>
      <c r="G370" s="1">
        <v>-16.54</v>
      </c>
      <c r="I370" s="13">
        <f>($C370*1000/$B$3)/$B370/$B$1</f>
        <v>5.4293390902027797E-2</v>
      </c>
      <c r="J370" s="13">
        <f>(ABS(($F370+0.1)*1000)/$C370)*($I370/$B369)</f>
        <v>1.5195377096684082E-2</v>
      </c>
      <c r="K370" s="13">
        <f>(ABS(($G370+0.1)*1000)/$C370)*($I370/IF(B368="",$B369,$B368))</f>
        <v>3.1702030389528712E-3</v>
      </c>
    </row>
    <row r="371" spans="1:11" x14ac:dyDescent="0.3">
      <c r="C371" s="1">
        <v>363.32</v>
      </c>
      <c r="D371" s="1">
        <v>-24.01</v>
      </c>
      <c r="E371" s="4">
        <v>-125.5</v>
      </c>
      <c r="F371" s="1">
        <v>-286.33</v>
      </c>
      <c r="G371" s="1">
        <v>-146.59</v>
      </c>
      <c r="I371" s="13">
        <f>($C371*1000/$B$3)/$B370/$B$1</f>
        <v>4.9042501075343685E-2</v>
      </c>
      <c r="J371" s="13">
        <f>(ABS(($F371+0.1)*1000)/$C371)*($I371/$B369)</f>
        <v>5.519508612162289E-2</v>
      </c>
      <c r="K371" s="13">
        <f>(ABS(($G371+0.1)*1000)/$C371)*($I371/IF(B368="",$B369,$B368))</f>
        <v>2.8248360290523491E-2</v>
      </c>
    </row>
    <row r="372" spans="1:11" x14ac:dyDescent="0.3">
      <c r="C372" s="1">
        <v>309.52</v>
      </c>
      <c r="D372" s="1">
        <v>12.15</v>
      </c>
      <c r="E372" s="4">
        <v>85.12</v>
      </c>
      <c r="F372" s="1">
        <v>228.5</v>
      </c>
      <c r="G372" s="1">
        <v>147.46</v>
      </c>
      <c r="I372" s="13">
        <f>($C372*1000/$B$3)/$B370/$B$1</f>
        <v>4.1780344965430968E-2</v>
      </c>
      <c r="J372" s="13">
        <f>(ABS(($F372+0.1)*1000)/$C372)*($I372/$B369)</f>
        <v>4.4082020359162206E-2</v>
      </c>
      <c r="K372" s="13">
        <f>(ABS(($G372+0.1)*1000)/$C372)*($I372/IF(B368="",$B369,$B368))</f>
        <v>2.8454693456684055E-2</v>
      </c>
    </row>
    <row r="373" spans="1:11" x14ac:dyDescent="0.3">
      <c r="C373" s="1">
        <v>363.32</v>
      </c>
      <c r="D373" s="1">
        <v>-24.01</v>
      </c>
      <c r="E373" s="1">
        <v>-125.5</v>
      </c>
      <c r="F373" s="4">
        <v>-286.33</v>
      </c>
      <c r="G373" s="1">
        <v>-146.59</v>
      </c>
      <c r="I373" s="13">
        <f>($C373*1000/$B$3)/$B370/$B$1</f>
        <v>4.9042501075343685E-2</v>
      </c>
      <c r="J373" s="13">
        <f>(ABS(($F373+0.1)*1000)/$C373)*($I373/$B369)</f>
        <v>5.519508612162289E-2</v>
      </c>
      <c r="K373" s="13">
        <f>(ABS(($G373+0.1)*1000)/$C373)*($I373/IF(B368="",$B369,$B368))</f>
        <v>2.8248360290523491E-2</v>
      </c>
    </row>
    <row r="374" spans="1:11" x14ac:dyDescent="0.3">
      <c r="C374" s="1">
        <v>482.55</v>
      </c>
      <c r="D374" s="1">
        <v>53.62</v>
      </c>
      <c r="E374" s="1">
        <v>18.88</v>
      </c>
      <c r="F374" s="4">
        <v>335.17</v>
      </c>
      <c r="G374" s="1">
        <v>124.39</v>
      </c>
      <c r="I374" s="13">
        <f>($C374*1000/$B$3)/$B370/$B$1</f>
        <v>6.5136680870601954E-2</v>
      </c>
      <c r="J374" s="13">
        <f>(ABS(($F374+0.1)*1000)/$C374)*($I374/$B369)</f>
        <v>6.4651701512757287E-2</v>
      </c>
      <c r="K374" s="13">
        <f>(ABS(($G374+0.1)*1000)/$C374)*($I374/IF(B368="",$B369,$B368))</f>
        <v>2.4005996126474641E-2</v>
      </c>
    </row>
    <row r="375" spans="1:11" x14ac:dyDescent="0.3">
      <c r="C375" s="1">
        <v>213.83</v>
      </c>
      <c r="D375" s="1">
        <v>-91.53</v>
      </c>
      <c r="E375" s="1">
        <v>-33.53</v>
      </c>
      <c r="F375" s="1">
        <v>-156.86000000000001</v>
      </c>
      <c r="G375" s="4">
        <v>-241.24</v>
      </c>
      <c r="I375" s="13">
        <f>($C375*1000/$B$3)/$B370/$B$1</f>
        <v>2.8863695929045308E-2</v>
      </c>
      <c r="J375" s="13">
        <f>(ABS(($F375+0.1)*1000)/$C375)*($I375/$B369)</f>
        <v>3.0228773016195396E-2</v>
      </c>
      <c r="K375" s="13">
        <f>(ABS(($G375+0.1)*1000)/$C375)*($I375/IF(B368="",$B369,$B368))</f>
        <v>4.6500167932670054E-2</v>
      </c>
    </row>
    <row r="376" spans="1:11" x14ac:dyDescent="0.3">
      <c r="C376" s="1">
        <v>385.95</v>
      </c>
      <c r="D376" s="1">
        <v>-3.18</v>
      </c>
      <c r="E376" s="1">
        <v>71.91</v>
      </c>
      <c r="F376" s="1">
        <v>196.9</v>
      </c>
      <c r="G376" s="4">
        <v>220.55</v>
      </c>
      <c r="I376" s="13">
        <f>($C376*1000/$B$3)/$B370/$B$1</f>
        <v>5.2097196108193591E-2</v>
      </c>
      <c r="J376" s="13">
        <f>(ABS(($F376+0.1)*1000)/$C376)*($I376/$B369)</f>
        <v>3.7988442741710204E-2</v>
      </c>
      <c r="K376" s="13">
        <f>(ABS(($G376+0.1)*1000)/$C376)*($I376/IF(B368="",$B369,$B368))</f>
        <v>4.2548984218062719E-2</v>
      </c>
    </row>
    <row r="378" spans="1:11" x14ac:dyDescent="0.3">
      <c r="B378" s="1" t="s">
        <v>19</v>
      </c>
      <c r="C378" s="1" t="s">
        <v>20</v>
      </c>
      <c r="D378" s="1" t="s">
        <v>35</v>
      </c>
      <c r="E378" s="1" t="s">
        <v>36</v>
      </c>
      <c r="F378" s="1" t="s">
        <v>23</v>
      </c>
      <c r="G378" s="1" t="s">
        <v>24</v>
      </c>
    </row>
    <row r="379" spans="1:11" x14ac:dyDescent="0.3">
      <c r="B379" s="1" t="s">
        <v>77</v>
      </c>
      <c r="C379" s="4">
        <v>-0.01</v>
      </c>
      <c r="D379" s="1">
        <v>-1.77</v>
      </c>
      <c r="E379" s="1">
        <v>0</v>
      </c>
      <c r="F379" s="1">
        <v>0</v>
      </c>
      <c r="G379" s="1">
        <v>0</v>
      </c>
      <c r="I379" s="13">
        <f>($C379*1000/$B$3)/$B382/$B$1</f>
        <v>-1.3498431431064539E-6</v>
      </c>
      <c r="J379" s="13">
        <f>(ABS(($F379+0.1)*1000)/$C379)*($I379/$B381)</f>
        <v>1.9283473472949342E-5</v>
      </c>
      <c r="K379" s="13">
        <f>(ABS(($G379+0.1)*1000)/$C379)*($I379/IF(B380="",$B381,$B380))</f>
        <v>1.9283473472949342E-5</v>
      </c>
    </row>
    <row r="380" spans="1:11" x14ac:dyDescent="0.3">
      <c r="A380" s="5" t="s">
        <v>41</v>
      </c>
      <c r="C380" s="4">
        <v>1071.27</v>
      </c>
      <c r="D380" s="1">
        <v>0</v>
      </c>
      <c r="E380" s="1">
        <v>38.53</v>
      </c>
      <c r="F380" s="1">
        <v>0</v>
      </c>
      <c r="G380" s="1">
        <v>0</v>
      </c>
      <c r="I380" s="13">
        <f>($C380*1000/$B$3)/$B382/$B$1</f>
        <v>0.14460464639156509</v>
      </c>
      <c r="J380" s="13">
        <f>(ABS(($F380+0.1)*1000)/$C380)*($I380/$B381)</f>
        <v>1.9283473472949342E-5</v>
      </c>
      <c r="K380" s="13">
        <f>(ABS(($G380+0.1)*1000)/$C380)*($I380/IF(B380="",$B381,$B380))</f>
        <v>1.9283473472949342E-5</v>
      </c>
    </row>
    <row r="381" spans="1:11" x14ac:dyDescent="0.3">
      <c r="A381" s="5" t="s">
        <v>43</v>
      </c>
      <c r="B381" s="8">
        <v>700</v>
      </c>
      <c r="C381" s="1">
        <v>647.41999999999996</v>
      </c>
      <c r="D381" s="4">
        <v>-7.41</v>
      </c>
      <c r="E381" s="1">
        <v>-20.27</v>
      </c>
      <c r="F381" s="1">
        <v>0</v>
      </c>
      <c r="G381" s="1">
        <v>0</v>
      </c>
      <c r="I381" s="13">
        <f>($C381*1000/$B$3)/$B382/$B$1</f>
        <v>8.7391544770998045E-2</v>
      </c>
      <c r="J381" s="13">
        <f>(ABS(($F381+0.1)*1000)/$C381)*($I381/$B381)</f>
        <v>1.9283473472949342E-5</v>
      </c>
      <c r="K381" s="13">
        <f>(ABS(($G381+0.1)*1000)/$C381)*($I381/IF(B380="",$B381,$B380))</f>
        <v>1.9283473472949342E-5</v>
      </c>
    </row>
    <row r="382" spans="1:11" x14ac:dyDescent="0.3">
      <c r="A382" s="5" t="s">
        <v>44</v>
      </c>
      <c r="B382" s="15">
        <f>IF(B380="",(0.25*PI()*B381^2),B380*B381)</f>
        <v>384845.10006474965</v>
      </c>
      <c r="C382" s="1">
        <v>367.79</v>
      </c>
      <c r="D382" s="4">
        <v>99.59</v>
      </c>
      <c r="E382" s="1">
        <v>91.49</v>
      </c>
      <c r="F382" s="1">
        <v>224.82</v>
      </c>
      <c r="G382" s="1">
        <v>-17.64</v>
      </c>
      <c r="I382" s="13">
        <f>($C382*1000/$B$3)/$B382/$B$1</f>
        <v>4.9645880960312284E-2</v>
      </c>
      <c r="J382" s="13">
        <f>(ABS(($F382+0.1)*1000)/$C382)*($I382/$B381)</f>
        <v>4.3372388535357673E-2</v>
      </c>
      <c r="K382" s="13">
        <f>(ABS(($G382+0.1)*1000)/$C382)*($I382/IF(B380="",$B381,$B380))</f>
        <v>3.3823212471553155E-3</v>
      </c>
    </row>
    <row r="383" spans="1:11" x14ac:dyDescent="0.3">
      <c r="C383" s="1">
        <v>183.86</v>
      </c>
      <c r="D383" s="1">
        <v>4.6500000000000004</v>
      </c>
      <c r="E383" s="4">
        <v>-26.19</v>
      </c>
      <c r="F383" s="1">
        <v>-66.48</v>
      </c>
      <c r="G383" s="1">
        <v>-182.45</v>
      </c>
      <c r="I383" s="13">
        <f>($C383*1000/$B$3)/$B382/$B$1</f>
        <v>2.4818216029155266E-2</v>
      </c>
      <c r="J383" s="13">
        <f>(ABS(($F383+0.1)*1000)/$C383)*($I383/$B381)</f>
        <v>1.2800369691343776E-2</v>
      </c>
      <c r="K383" s="13">
        <f>(ABS(($G383+0.1)*1000)/$C383)*($I383/IF(B380="",$B381,$B380))</f>
        <v>3.5163413877923128E-2</v>
      </c>
    </row>
    <row r="384" spans="1:11" x14ac:dyDescent="0.3">
      <c r="C384" s="1">
        <v>321.58999999999997</v>
      </c>
      <c r="D384" s="1">
        <v>56.27</v>
      </c>
      <c r="E384" s="4">
        <v>109.67</v>
      </c>
      <c r="F384" s="1">
        <v>282.86</v>
      </c>
      <c r="G384" s="1">
        <v>23.54</v>
      </c>
      <c r="I384" s="13">
        <f>($C384*1000/$B$3)/$B382/$B$1</f>
        <v>4.3409605639160451E-2</v>
      </c>
      <c r="J384" s="13">
        <f>(ABS(($F384+0.1)*1000)/$C384)*($I384/$B381)</f>
        <v>5.4564516539057473E-2</v>
      </c>
      <c r="K384" s="13">
        <f>(ABS(($G384+0.1)*1000)/$C384)*($I384/IF(B380="",$B381,$B380))</f>
        <v>4.5586131290052253E-3</v>
      </c>
    </row>
    <row r="385" spans="3:11" x14ac:dyDescent="0.3">
      <c r="C385" s="1">
        <v>170.55</v>
      </c>
      <c r="D385" s="1">
        <v>-1.58</v>
      </c>
      <c r="E385" s="1">
        <v>-2.56</v>
      </c>
      <c r="F385" s="4">
        <v>-259.39</v>
      </c>
      <c r="G385" s="1">
        <v>12.94</v>
      </c>
      <c r="I385" s="13">
        <f>($C385*1000/$B$3)/$B382/$B$1</f>
        <v>2.3021574805680574E-2</v>
      </c>
      <c r="J385" s="13">
        <f>(ABS(($F385+0.1)*1000)/$C385)*($I385/$B381)</f>
        <v>5.0000118368010348E-2</v>
      </c>
      <c r="K385" s="13">
        <f>(ABS(($G385+0.1)*1000)/$C385)*($I385/IF(B380="",$B381,$B380))</f>
        <v>2.5145649408725946E-3</v>
      </c>
    </row>
    <row r="386" spans="3:11" x14ac:dyDescent="0.3">
      <c r="C386" s="1">
        <v>321.58999999999997</v>
      </c>
      <c r="D386" s="1">
        <v>56.27</v>
      </c>
      <c r="E386" s="1">
        <v>109.67</v>
      </c>
      <c r="F386" s="4">
        <v>282.86</v>
      </c>
      <c r="G386" s="1">
        <v>23.54</v>
      </c>
      <c r="I386" s="13">
        <f>($C386*1000/$B$3)/$B382/$B$1</f>
        <v>4.3409605639160451E-2</v>
      </c>
      <c r="J386" s="13">
        <f>(ABS(($F386+0.1)*1000)/$C386)*($I386/$B381)</f>
        <v>5.4564516539057473E-2</v>
      </c>
      <c r="K386" s="13">
        <f>(ABS(($G386+0.1)*1000)/$C386)*($I386/IF(B380="",$B381,$B380))</f>
        <v>4.5586131290052253E-3</v>
      </c>
    </row>
    <row r="387" spans="3:11" x14ac:dyDescent="0.3">
      <c r="C387" s="1">
        <v>207.2</v>
      </c>
      <c r="D387" s="1">
        <v>16.3</v>
      </c>
      <c r="E387" s="1">
        <v>-8.34</v>
      </c>
      <c r="F387" s="1">
        <v>-27.94</v>
      </c>
      <c r="G387" s="4">
        <v>-231.23</v>
      </c>
      <c r="I387" s="13">
        <f>($C387*1000/$B$3)/$B382/$B$1</f>
        <v>2.796874992516573E-2</v>
      </c>
      <c r="J387" s="13">
        <f>(ABS(($F387+0.1)*1000)/$C387)*($I387/$B381)</f>
        <v>5.3685190148690977E-3</v>
      </c>
      <c r="K387" s="13">
        <f>(ABS(($G387+0.1)*1000)/$C387)*($I387/IF(B380="",$B381,$B380))</f>
        <v>4.4569892238027826E-2</v>
      </c>
    </row>
    <row r="388" spans="3:11" x14ac:dyDescent="0.3">
      <c r="C388" s="1">
        <v>313.26</v>
      </c>
      <c r="D388" s="1">
        <v>97.84</v>
      </c>
      <c r="E388" s="1">
        <v>89.82</v>
      </c>
      <c r="F388" s="1">
        <v>7.92</v>
      </c>
      <c r="G388" s="4">
        <v>260.68</v>
      </c>
      <c r="I388" s="13">
        <f>($C388*1000/$B$3)/$B382/$B$1</f>
        <v>4.2285186300952779E-2</v>
      </c>
      <c r="J388" s="13">
        <f>(ABS(($F388+0.1)*1000)/$C388)*($I388/$B381)</f>
        <v>1.5465345725305373E-3</v>
      </c>
      <c r="K388" s="13">
        <f>(ABS(($G388+0.1)*1000)/$C388)*($I388/IF(B380="",$B381,$B380))</f>
        <v>5.0287442122757306E-2</v>
      </c>
    </row>
  </sheetData>
  <mergeCells count="2">
    <mergeCell ref="J1:J5"/>
    <mergeCell ref="K1:K5"/>
  </mergeCells>
  <conditionalFormatting sqref="N1:O6 N317:O317 N341:O1048576 N17:O18 N29:O30 N41:O42 N53:O66 N77:O78 N89:O90 N101:O102 N113:O282 N330:O330">
    <cfRule type="cellIs" dxfId="26" priority="27" operator="lessThanOrEqual">
      <formula>1</formula>
    </cfRule>
  </conditionalFormatting>
  <conditionalFormatting sqref="N283:O293">
    <cfRule type="cellIs" dxfId="25" priority="26" operator="lessThanOrEqual">
      <formula>1</formula>
    </cfRule>
  </conditionalFormatting>
  <conditionalFormatting sqref="N295:O305">
    <cfRule type="cellIs" dxfId="24" priority="24" operator="lessThanOrEqual">
      <formula>1</formula>
    </cfRule>
  </conditionalFormatting>
  <conditionalFormatting sqref="N294:O294">
    <cfRule type="cellIs" dxfId="23" priority="25" operator="lessThanOrEqual">
      <formula>1</formula>
    </cfRule>
  </conditionalFormatting>
  <conditionalFormatting sqref="N307:N316">
    <cfRule type="cellIs" dxfId="22" priority="22" operator="lessThanOrEqual">
      <formula>1</formula>
    </cfRule>
  </conditionalFormatting>
  <conditionalFormatting sqref="N306:O306">
    <cfRule type="cellIs" dxfId="21" priority="23" operator="lessThanOrEqual">
      <formula>1</formula>
    </cfRule>
  </conditionalFormatting>
  <conditionalFormatting sqref="N331:O340">
    <cfRule type="cellIs" dxfId="20" priority="21" operator="lessThanOrEqual">
      <formula>1</formula>
    </cfRule>
  </conditionalFormatting>
  <conditionalFormatting sqref="O307:O316">
    <cfRule type="cellIs" dxfId="19" priority="20" operator="lessThanOrEqual">
      <formula>1</formula>
    </cfRule>
  </conditionalFormatting>
  <conditionalFormatting sqref="N7:N16">
    <cfRule type="cellIs" dxfId="18" priority="19" operator="lessThanOrEqual">
      <formula>1</formula>
    </cfRule>
  </conditionalFormatting>
  <conditionalFormatting sqref="O7:O16">
    <cfRule type="cellIs" dxfId="17" priority="18" operator="lessThanOrEqual">
      <formula>1</formula>
    </cfRule>
  </conditionalFormatting>
  <conditionalFormatting sqref="N19:N28">
    <cfRule type="cellIs" dxfId="16" priority="17" operator="lessThanOrEqual">
      <formula>1</formula>
    </cfRule>
  </conditionalFormatting>
  <conditionalFormatting sqref="O19:O28">
    <cfRule type="cellIs" dxfId="15" priority="16" operator="lessThanOrEqual">
      <formula>1</formula>
    </cfRule>
  </conditionalFormatting>
  <conditionalFormatting sqref="N31:N40">
    <cfRule type="cellIs" dxfId="14" priority="15" operator="lessThanOrEqual">
      <formula>1</formula>
    </cfRule>
  </conditionalFormatting>
  <conditionalFormatting sqref="O31:O40">
    <cfRule type="cellIs" dxfId="13" priority="14" operator="lessThanOrEqual">
      <formula>1</formula>
    </cfRule>
  </conditionalFormatting>
  <conditionalFormatting sqref="N43:N52">
    <cfRule type="cellIs" dxfId="12" priority="13" operator="lessThanOrEqual">
      <formula>1</formula>
    </cfRule>
  </conditionalFormatting>
  <conditionalFormatting sqref="O43:O52">
    <cfRule type="cellIs" dxfId="11" priority="12" operator="lessThanOrEqual">
      <formula>1</formula>
    </cfRule>
  </conditionalFormatting>
  <conditionalFormatting sqref="N67:N76">
    <cfRule type="cellIs" dxfId="10" priority="11" operator="lessThanOrEqual">
      <formula>1</formula>
    </cfRule>
  </conditionalFormatting>
  <conditionalFormatting sqref="O67:O76">
    <cfRule type="cellIs" dxfId="9" priority="10" operator="lessThanOrEqual">
      <formula>1</formula>
    </cfRule>
  </conditionalFormatting>
  <conditionalFormatting sqref="N79:N88">
    <cfRule type="cellIs" dxfId="8" priority="9" operator="lessThanOrEqual">
      <formula>1</formula>
    </cfRule>
  </conditionalFormatting>
  <conditionalFormatting sqref="O79:O88">
    <cfRule type="cellIs" dxfId="7" priority="8" operator="lessThanOrEqual">
      <formula>1</formula>
    </cfRule>
  </conditionalFormatting>
  <conditionalFormatting sqref="N91:N100">
    <cfRule type="cellIs" dxfId="6" priority="7" operator="lessThanOrEqual">
      <formula>1</formula>
    </cfRule>
  </conditionalFormatting>
  <conditionalFormatting sqref="O91:O100">
    <cfRule type="cellIs" dxfId="5" priority="6" operator="lessThanOrEqual">
      <formula>1</formula>
    </cfRule>
  </conditionalFormatting>
  <conditionalFormatting sqref="N103:N112">
    <cfRule type="cellIs" dxfId="4" priority="5" operator="lessThanOrEqual">
      <formula>1</formula>
    </cfRule>
  </conditionalFormatting>
  <conditionalFormatting sqref="O103:O112">
    <cfRule type="cellIs" dxfId="3" priority="4" operator="lessThanOrEqual">
      <formula>1</formula>
    </cfRule>
  </conditionalFormatting>
  <conditionalFormatting sqref="N319:N329">
    <cfRule type="cellIs" dxfId="2" priority="2" operator="lessThanOrEqual">
      <formula>1</formula>
    </cfRule>
  </conditionalFormatting>
  <conditionalFormatting sqref="N318:O318">
    <cfRule type="cellIs" dxfId="1" priority="3" operator="lessThanOrEqual">
      <formula>1</formula>
    </cfRule>
  </conditionalFormatting>
  <conditionalFormatting sqref="O319:O329">
    <cfRule type="cellIs" dxfId="0" priority="1" operator="lessThanOr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dropSum</vt:lpstr>
      <vt:lpstr>ENVE</vt:lpstr>
      <vt:lpstr>ColSum</vt:lpstr>
      <vt:lpstr>ASt</vt:lpstr>
      <vt:lpstr>ENVE!Print_Area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GiulianoDiEnrico</dc:creator>
  <cp:lastModifiedBy>GiulianoDiEnrico</cp:lastModifiedBy>
  <dcterms:created xsi:type="dcterms:W3CDTF">2019-08-06T05:36:22Z</dcterms:created>
  <dcterms:modified xsi:type="dcterms:W3CDTF">2019-10-03T07:38:07Z</dcterms:modified>
</cp:coreProperties>
</file>