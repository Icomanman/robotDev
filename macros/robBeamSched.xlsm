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0" yWindow="0" windowWidth="23040" windowHeight="9780"/>
  </bookViews>
  <sheets>
    <sheet name="BeamSum" sheetId="2" r:id="rId1"/>
    <sheet name="sched" sheetId="1" r:id="rId2"/>
    <sheet name="forFutureGrouping" sheetId="3" r:id="rId3"/>
  </sheets>
  <functionGroups builtInGroupCount="18"/>
  <definedNames>
    <definedName name="_xlnm._FilterDatabase" localSheetId="2" hidden="1">forFutureGrouping!$A$2:$M$470</definedName>
    <definedName name="clrCover">BeamSum!$B$9</definedName>
    <definedName name="fc">BeamSum!$B$1</definedName>
    <definedName name="fy">BeamSum!$B$2</definedName>
    <definedName name="fys">BeamSum!#REF!</definedName>
    <definedName name="minSpac">BeamSum!$B$8</definedName>
    <definedName name="phi">BeamSum!$B$5</definedName>
    <definedName name="phiV">BeamSum!$C$5</definedName>
    <definedName name="phiVc">BeamSum!$B$4</definedName>
    <definedName name="_xlnm.Print_Area" localSheetId="0">BeamSum!$A$1:$O$24</definedName>
    <definedName name="rhoMax">BeamSum!$B$7</definedName>
    <definedName name="rhoMin">BeamSum!$B$6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" l="1"/>
  <c r="R18" i="2" l="1"/>
  <c r="B16" i="2" s="1"/>
  <c r="D3" i="2"/>
  <c r="N22" i="2" l="1"/>
  <c r="O22" i="2" s="1"/>
  <c r="L22" i="2"/>
  <c r="R22" i="2"/>
  <c r="N19" i="2"/>
  <c r="L19" i="2" s="1"/>
  <c r="B15" i="2"/>
  <c r="R21" i="2"/>
  <c r="B21" i="2" s="1"/>
  <c r="B4" i="2"/>
  <c r="D2" i="2"/>
  <c r="D1" i="2"/>
  <c r="S22" i="2" l="1"/>
  <c r="J19" i="2"/>
  <c r="B17" i="2" s="1"/>
  <c r="R19" i="2"/>
  <c r="S19" i="2" s="1"/>
  <c r="O19" i="2"/>
  <c r="J22" i="2"/>
  <c r="B22" i="2" s="1"/>
  <c r="L14" i="2"/>
  <c r="M14" i="2" s="1"/>
  <c r="N14" i="2" s="1"/>
  <c r="L15" i="2"/>
  <c r="M15" i="2" s="1"/>
  <c r="N15" i="2" s="1"/>
</calcChain>
</file>

<file path=xl/sharedStrings.xml><?xml version="1.0" encoding="utf-8"?>
<sst xmlns="http://schemas.openxmlformats.org/spreadsheetml/2006/main" count="116" uniqueCount="78">
  <si>
    <t>f'c =</t>
  </si>
  <si>
    <t>MPa</t>
  </si>
  <si>
    <t>ksi</t>
  </si>
  <si>
    <t>fy =</t>
  </si>
  <si>
    <t>phi * vc =</t>
  </si>
  <si>
    <t xml:space="preserve">phi = </t>
  </si>
  <si>
    <t>rho min =</t>
  </si>
  <si>
    <t>rho max =</t>
  </si>
  <si>
    <t>minSpac =</t>
  </si>
  <si>
    <t>mm</t>
  </si>
  <si>
    <t>clrCover =</t>
  </si>
  <si>
    <t>Beam</t>
  </si>
  <si>
    <t>P</t>
  </si>
  <si>
    <t>Vy</t>
  </si>
  <si>
    <t>Vz</t>
  </si>
  <si>
    <t>My</t>
  </si>
  <si>
    <t>Mz</t>
  </si>
  <si>
    <t>b =</t>
  </si>
  <si>
    <t>kN</t>
  </si>
  <si>
    <t>kNm</t>
  </si>
  <si>
    <t>links:</t>
  </si>
  <si>
    <t>fys =</t>
  </si>
  <si>
    <t>h =</t>
  </si>
  <si>
    <t>main:</t>
  </si>
  <si>
    <t>Top</t>
  </si>
  <si>
    <t>mm2</t>
  </si>
  <si>
    <t>d =</t>
  </si>
  <si>
    <t>As (mm2) =</t>
  </si>
  <si>
    <t>mCap (kNm)=</t>
  </si>
  <si>
    <t>vu</t>
  </si>
  <si>
    <t>vs</t>
  </si>
  <si>
    <t>legs</t>
  </si>
  <si>
    <t>linkSpac</t>
  </si>
  <si>
    <t>( + Side, bottom for Robot)</t>
  </si>
  <si>
    <t>Design Data</t>
  </si>
  <si>
    <t>pcs</t>
  </si>
  <si>
    <t>spac</t>
  </si>
  <si>
    <t>layers</t>
  </si>
  <si>
    <t>basePc</t>
  </si>
  <si>
    <t>Bottom</t>
  </si>
  <si>
    <t>rho =</t>
  </si>
  <si>
    <t>B</t>
  </si>
  <si>
    <t>H</t>
  </si>
  <si>
    <t>LEFT SUPPORT / END</t>
  </si>
  <si>
    <t>TOP</t>
  </si>
  <si>
    <t>BOTTOM</t>
  </si>
  <si>
    <t>MIDSPAN</t>
  </si>
  <si>
    <t>RIGHT SUPPORT / END</t>
  </si>
  <si>
    <t>STIRRUPS / LINKS</t>
  </si>
  <si>
    <t>TYPE</t>
  </si>
  <si>
    <t>SPACING</t>
  </si>
  <si>
    <t>REMARKS</t>
  </si>
  <si>
    <t>BEAM  MARK</t>
  </si>
  <si>
    <t>L</t>
  </si>
  <si>
    <t>x1</t>
  </si>
  <si>
    <t>y1</t>
  </si>
  <si>
    <t>z1</t>
  </si>
  <si>
    <t>x2</t>
  </si>
  <si>
    <t>y2</t>
  </si>
  <si>
    <t>z2</t>
  </si>
  <si>
    <t>start_node</t>
  </si>
  <si>
    <t>end_node</t>
  </si>
  <si>
    <t>bar_id</t>
  </si>
  <si>
    <t>storey</t>
  </si>
  <si>
    <t>Vmax</t>
  </si>
  <si>
    <t>Mmin</t>
  </si>
  <si>
    <t>Mmax</t>
  </si>
  <si>
    <t xml:space="preserve"> </t>
  </si>
  <si>
    <t>Top Bars</t>
  </si>
  <si>
    <t>Bottom Bars</t>
  </si>
  <si>
    <t>d taken from Top</t>
  </si>
  <si>
    <t>d taken from Bottom</t>
  </si>
  <si>
    <t>innLayer</t>
  </si>
  <si>
    <t>Validations</t>
  </si>
  <si>
    <t>minAst</t>
  </si>
  <si>
    <t>Ast</t>
  </si>
  <si>
    <t>FTB1</t>
  </si>
  <si>
    <t>left intentionally as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</si>
</sst>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&quot; mm&quot;"/>
  </numFmts>
  <fonts count="13" x14ac:knownFonts="1">
    <font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8"/>
      <color theme="1"/>
      <name val="Arial"/>
      <family val="2"/>
    </font>
    <font>
      <sz val="12"/>
      <color theme="1"/>
      <name val="RomanD"/>
    </font>
    <font>
      <b/>
      <i/>
      <sz val="11"/>
      <color rgb="FF000000"/>
      <name val="Arial"/>
      <family val="2"/>
    </font>
    <font>
      <sz val="8"/>
      <color rgb="FF242729"/>
      <name val="Consolas"/>
      <family val="3"/>
    </font>
    <font>
      <b/>
      <i/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2" fillId="0" borderId="6" xfId="0" applyFont="1" applyBorder="1" applyAlignment="1">
      <alignment horizontal="center" vertical="center"/>
    </xf>
    <xf numFmtId="0" fontId="1" fillId="0" borderId="6" xfId="0" quotePrefix="1" applyFont="1" applyBorder="1" applyAlignment="1">
      <alignment horizontal="center" vertical="center"/>
    </xf>
    <xf numFmtId="2" fontId="7" fillId="2" borderId="6" xfId="0" applyNumberFormat="1" applyFont="1" applyFill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1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8" fillId="0" borderId="4" xfId="0" applyFont="1" applyBorder="1" applyAlignment="1">
      <alignment horizontal="left"/>
    </xf>
    <xf numFmtId="164" fontId="1" fillId="0" borderId="6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/>
    <xf numFmtId="0" fontId="1" fillId="0" borderId="0" xfId="0" applyFont="1" applyAlignment="1">
      <alignment horizontal="left"/>
    </xf>
    <xf numFmtId="0" fontId="1" fillId="0" borderId="11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1" fillId="0" borderId="6" xfId="0" applyFont="1" applyBorder="1" applyAlignment="1">
      <alignment horizontal="right"/>
    </xf>
    <xf numFmtId="1" fontId="1" fillId="0" borderId="6" xfId="0" applyNumberFormat="1" applyFont="1" applyBorder="1" applyAlignment="1">
      <alignment horizontal="center"/>
    </xf>
    <xf numFmtId="1" fontId="1" fillId="0" borderId="13" xfId="0" applyNumberFormat="1" applyFont="1" applyBorder="1" applyAlignment="1">
      <alignment horizontal="center" vertical="center"/>
    </xf>
    <xf numFmtId="0" fontId="1" fillId="0" borderId="13" xfId="0" quotePrefix="1" applyFont="1" applyBorder="1" applyAlignment="1">
      <alignment horizontal="center" vertical="center"/>
    </xf>
    <xf numFmtId="166" fontId="2" fillId="0" borderId="6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8" xfId="0" applyNumberFormat="1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0" fontId="4" fillId="0" borderId="7" xfId="0" applyFont="1" applyBorder="1"/>
    <xf numFmtId="0" fontId="4" fillId="0" borderId="14" xfId="0" applyFont="1" applyBorder="1"/>
    <xf numFmtId="0" fontId="4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left"/>
    </xf>
    <xf numFmtId="0" fontId="1" fillId="0" borderId="14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  <dxf>
      <font>
        <b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1</xdr:row>
          <xdr:rowOff>15240</xdr:rowOff>
        </xdr:from>
        <xdr:to>
          <xdr:col>18</xdr:col>
          <xdr:colOff>426720</xdr:colOff>
          <xdr:row>3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Beam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0</xdr:row>
          <xdr:rowOff>106680</xdr:rowOff>
        </xdr:from>
        <xdr:to>
          <xdr:col>2</xdr:col>
          <xdr:colOff>533400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396240</xdr:colOff>
          <xdr:row>1</xdr:row>
          <xdr:rowOff>91440</xdr:rowOff>
        </xdr:from>
        <xdr:to>
          <xdr:col>18</xdr:col>
          <xdr:colOff>342900</xdr:colOff>
          <xdr:row>3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3"/>
  <sheetViews>
    <sheetView tabSelected="1" view="pageBreakPreview" zoomScaleNormal="100" zoomScaleSheetLayoutView="100" workbookViewId="0">
      <selection activeCell="E8" sqref="E8"/>
    </sheetView>
  </sheetViews>
  <sheetFormatPr defaultRowHeight="13.2" x14ac:dyDescent="0.25"/>
  <cols>
    <col min="1" max="1" width="16.77734375" style="28" customWidth="1"/>
    <col min="2" max="2" width="10.77734375" style="5" customWidth="1"/>
    <col min="3" max="7" width="8.77734375" style="5" customWidth="1"/>
    <col min="8" max="8" width="2.77734375" style="5" customWidth="1"/>
    <col min="9" max="10" width="8.77734375" style="5" customWidth="1"/>
    <col min="11" max="11" width="5.77734375" style="7" customWidth="1"/>
    <col min="12" max="12" width="6.77734375" style="8" customWidth="1"/>
    <col min="13" max="13" width="6.77734375" style="5" customWidth="1"/>
    <col min="14" max="15" width="8.77734375" style="5" customWidth="1"/>
    <col min="16" max="16" width="2.77734375" style="5" customWidth="1"/>
    <col min="17" max="17" width="8.77734375" style="28" customWidth="1"/>
    <col min="18" max="18" width="6.77734375" style="8" customWidth="1"/>
    <col min="19" max="19" width="6.77734375" style="7" customWidth="1"/>
    <col min="20" max="16384" width="8.88671875" style="5"/>
  </cols>
  <sheetData>
    <row r="1" spans="1:16" x14ac:dyDescent="0.25">
      <c r="A1" s="1" t="s">
        <v>0</v>
      </c>
      <c r="B1" s="2">
        <v>27</v>
      </c>
      <c r="C1" s="3" t="s">
        <v>1</v>
      </c>
      <c r="D1" s="4">
        <f>B1*145.0377/1000</f>
        <v>3.9160178999999999</v>
      </c>
      <c r="E1" s="3" t="s">
        <v>2</v>
      </c>
      <c r="H1" s="6">
        <v>16</v>
      </c>
    </row>
    <row r="2" spans="1:16" x14ac:dyDescent="0.25">
      <c r="A2" s="1" t="s">
        <v>3</v>
      </c>
      <c r="B2" s="2">
        <v>414</v>
      </c>
      <c r="C2" s="3" t="s">
        <v>1</v>
      </c>
      <c r="D2" s="4">
        <f>B2*145.0377/1000</f>
        <v>60.045607799999999</v>
      </c>
      <c r="E2" s="3" t="s">
        <v>2</v>
      </c>
      <c r="H2" s="6">
        <v>20</v>
      </c>
    </row>
    <row r="3" spans="1:16" x14ac:dyDescent="0.25">
      <c r="A3" s="1" t="s">
        <v>21</v>
      </c>
      <c r="B3" s="2">
        <v>275</v>
      </c>
      <c r="C3" s="3" t="s">
        <v>1</v>
      </c>
      <c r="D3" s="4">
        <f>B3*145.0377/1000</f>
        <v>39.885367500000001</v>
      </c>
      <c r="E3" s="3" t="s">
        <v>2</v>
      </c>
      <c r="H3" s="6">
        <v>25</v>
      </c>
    </row>
    <row r="4" spans="1:16" x14ac:dyDescent="0.25">
      <c r="A4" s="1" t="s">
        <v>4</v>
      </c>
      <c r="B4" s="9">
        <f>0.75*0.17*SQRT(fc)</f>
        <v>0.66250943389509565</v>
      </c>
      <c r="C4" s="3" t="s">
        <v>1</v>
      </c>
      <c r="D4" s="7"/>
      <c r="E4" s="7"/>
      <c r="H4" s="6"/>
    </row>
    <row r="5" spans="1:16" x14ac:dyDescent="0.25">
      <c r="A5" s="1" t="s">
        <v>5</v>
      </c>
      <c r="B5" s="2">
        <v>0.9</v>
      </c>
      <c r="C5" s="2">
        <v>0.75</v>
      </c>
      <c r="D5" s="7"/>
      <c r="E5" s="7"/>
      <c r="H5" s="6"/>
    </row>
    <row r="6" spans="1:16" x14ac:dyDescent="0.25">
      <c r="A6" s="1" t="s">
        <v>6</v>
      </c>
      <c r="B6" s="2">
        <v>3.3E-3</v>
      </c>
      <c r="H6" s="6">
        <v>1</v>
      </c>
    </row>
    <row r="7" spans="1:16" x14ac:dyDescent="0.25">
      <c r="A7" s="1" t="s">
        <v>7</v>
      </c>
      <c r="B7" s="2">
        <v>2.1399999999999999E-2</v>
      </c>
      <c r="H7" s="6">
        <v>2</v>
      </c>
    </row>
    <row r="8" spans="1:16" x14ac:dyDescent="0.25">
      <c r="A8" s="1" t="s">
        <v>8</v>
      </c>
      <c r="B8" s="2">
        <v>30</v>
      </c>
      <c r="C8" s="3" t="s">
        <v>9</v>
      </c>
      <c r="H8" s="6">
        <v>50</v>
      </c>
    </row>
    <row r="9" spans="1:16" x14ac:dyDescent="0.25">
      <c r="A9" s="1" t="s">
        <v>10</v>
      </c>
      <c r="B9" s="2">
        <v>40</v>
      </c>
      <c r="C9" s="3" t="s">
        <v>9</v>
      </c>
      <c r="E9" s="5" t="s">
        <v>67</v>
      </c>
      <c r="H9" s="6">
        <v>75</v>
      </c>
    </row>
    <row r="10" spans="1:16" x14ac:dyDescent="0.25">
      <c r="A10" s="61" t="s">
        <v>77</v>
      </c>
      <c r="H10" s="6">
        <v>100</v>
      </c>
    </row>
    <row r="11" spans="1:16" x14ac:dyDescent="0.25">
      <c r="A11" s="60" t="s">
        <v>76</v>
      </c>
      <c r="B11" s="11" t="s">
        <v>11</v>
      </c>
      <c r="C11" s="10" t="s">
        <v>12</v>
      </c>
      <c r="D11" s="10" t="s">
        <v>13</v>
      </c>
      <c r="E11" s="10" t="s">
        <v>14</v>
      </c>
      <c r="F11" s="10" t="s">
        <v>15</v>
      </c>
      <c r="G11" s="11" t="s">
        <v>16</v>
      </c>
      <c r="H11" s="6">
        <v>125</v>
      </c>
      <c r="I11" s="66" t="s">
        <v>34</v>
      </c>
      <c r="J11" s="67"/>
      <c r="K11" s="3"/>
    </row>
    <row r="12" spans="1:16" x14ac:dyDescent="0.25">
      <c r="A12" s="12" t="s">
        <v>17</v>
      </c>
      <c r="B12" s="46">
        <v>300</v>
      </c>
      <c r="C12" s="42" t="s">
        <v>18</v>
      </c>
      <c r="D12" s="42" t="s">
        <v>18</v>
      </c>
      <c r="E12" s="42" t="s">
        <v>18</v>
      </c>
      <c r="F12" s="42" t="s">
        <v>19</v>
      </c>
      <c r="G12" s="43" t="s">
        <v>19</v>
      </c>
      <c r="H12" s="6">
        <v>150</v>
      </c>
      <c r="I12" s="14" t="s">
        <v>20</v>
      </c>
      <c r="J12" s="15">
        <v>10</v>
      </c>
      <c r="K12" s="16" t="s">
        <v>9</v>
      </c>
      <c r="L12" s="21" t="s">
        <v>29</v>
      </c>
      <c r="M12" s="21" t="s">
        <v>30</v>
      </c>
      <c r="N12" s="21" t="s">
        <v>31</v>
      </c>
      <c r="O12" s="21" t="s">
        <v>32</v>
      </c>
      <c r="P12" s="3"/>
    </row>
    <row r="13" spans="1:16" x14ac:dyDescent="0.25">
      <c r="A13" s="12" t="s">
        <v>22</v>
      </c>
      <c r="B13" s="46">
        <v>600</v>
      </c>
      <c r="C13" s="44">
        <v>-575.80762125798606</v>
      </c>
      <c r="D13" s="41">
        <v>3.4420116550565205</v>
      </c>
      <c r="E13" s="41">
        <v>0</v>
      </c>
      <c r="F13" s="41">
        <v>83.521527061426298</v>
      </c>
      <c r="G13" s="52">
        <v>0</v>
      </c>
      <c r="H13" s="6">
        <v>175</v>
      </c>
      <c r="I13" s="54"/>
      <c r="J13" s="55"/>
      <c r="K13" s="56"/>
      <c r="L13" s="68" t="s">
        <v>1</v>
      </c>
      <c r="M13" s="69"/>
      <c r="N13" s="21" t="s">
        <v>35</v>
      </c>
      <c r="O13" s="21" t="s">
        <v>9</v>
      </c>
    </row>
    <row r="14" spans="1:16" x14ac:dyDescent="0.25">
      <c r="A14" s="19" t="s">
        <v>24</v>
      </c>
      <c r="B14" s="13"/>
      <c r="C14" s="45">
        <v>619.60121541108606</v>
      </c>
      <c r="D14" s="41">
        <v>0</v>
      </c>
      <c r="E14" s="41">
        <v>-94.805379219272297</v>
      </c>
      <c r="F14" s="41">
        <v>0</v>
      </c>
      <c r="G14" s="18">
        <v>12.414201492167976</v>
      </c>
      <c r="H14" s="6">
        <v>200</v>
      </c>
      <c r="I14" s="57" t="s">
        <v>70</v>
      </c>
      <c r="J14" s="58"/>
      <c r="K14" s="59"/>
      <c r="L14" s="24">
        <f>MAX(ABS(E17),ABS(E18))*1000/(B15*B12)</f>
        <v>1.0857361427424117</v>
      </c>
      <c r="M14" s="24">
        <f>L14-phiVc</f>
        <v>0.42322670884731606</v>
      </c>
      <c r="N14" s="25">
        <f>M14*O14*B12/(phiV*B3*0.25*PI()*(J12^2))</f>
        <v>0.78380942849820789</v>
      </c>
      <c r="O14" s="15">
        <v>100</v>
      </c>
    </row>
    <row r="15" spans="1:16" x14ac:dyDescent="0.25">
      <c r="A15" s="12" t="s">
        <v>26</v>
      </c>
      <c r="B15" s="47">
        <f>B13-clrCover-J12-(IF(M19&gt;1,1.5*J21,0.5*J21))</f>
        <v>540</v>
      </c>
      <c r="C15" s="41">
        <v>242.24780250240053</v>
      </c>
      <c r="D15" s="17">
        <v>-20.989573425694125</v>
      </c>
      <c r="E15" s="41">
        <v>7.0560574341028293</v>
      </c>
      <c r="F15" s="41">
        <v>56.796228892059169</v>
      </c>
      <c r="G15" s="18">
        <v>42.323485362625696</v>
      </c>
      <c r="H15" s="6">
        <v>250</v>
      </c>
      <c r="I15" s="57" t="s">
        <v>71</v>
      </c>
      <c r="J15" s="58"/>
      <c r="K15" s="59"/>
      <c r="L15" s="24">
        <f>MAX(ABS(E17),ABS(E18))*1000/(B20*B12)</f>
        <v>1.0857361427424117</v>
      </c>
      <c r="M15" s="24">
        <f>L15-phiVc</f>
        <v>0.42322670884731606</v>
      </c>
      <c r="N15" s="25">
        <f>M15*O15*B12/(phiV*B3*0.25*PI()*(J12^2))</f>
        <v>0.78380942849820789</v>
      </c>
      <c r="O15" s="15">
        <v>100</v>
      </c>
    </row>
    <row r="16" spans="1:16" x14ac:dyDescent="0.25">
      <c r="A16" s="12" t="s">
        <v>27</v>
      </c>
      <c r="B16" s="48">
        <f>K19*R18</f>
        <v>1256</v>
      </c>
      <c r="C16" s="41">
        <v>-244.95213794365515</v>
      </c>
      <c r="D16" s="17">
        <v>21.2921952366349</v>
      </c>
      <c r="E16" s="41">
        <v>-48.783153391416633</v>
      </c>
      <c r="F16" s="41">
        <v>-66.440336608767936</v>
      </c>
      <c r="G16" s="18">
        <v>-42.933693561048813</v>
      </c>
      <c r="H16" s="6">
        <v>300</v>
      </c>
    </row>
    <row r="17" spans="1:19" ht="14.4" customHeight="1" x14ac:dyDescent="0.25">
      <c r="A17" s="12" t="s">
        <v>28</v>
      </c>
      <c r="B17" s="49">
        <f>-phi*B12*(B15^2)*J19*fy*(1-(0.588*J19*fy/fc))/1000000</f>
        <v>-235.047177796608</v>
      </c>
      <c r="C17" s="41">
        <v>-29.138046342215493</v>
      </c>
      <c r="D17" s="41">
        <v>-12.889999733038406</v>
      </c>
      <c r="E17" s="17">
        <v>-175.88925512427068</v>
      </c>
      <c r="F17" s="41">
        <v>-222.95213695692763</v>
      </c>
      <c r="G17" s="18">
        <v>17.260976821526853</v>
      </c>
      <c r="I17" s="66" t="s">
        <v>68</v>
      </c>
      <c r="J17" s="67"/>
      <c r="K17" s="62" t="s">
        <v>35</v>
      </c>
      <c r="L17" s="34" t="s">
        <v>36</v>
      </c>
      <c r="M17" s="64" t="s">
        <v>37</v>
      </c>
      <c r="N17" s="70" t="s">
        <v>38</v>
      </c>
      <c r="O17" s="64" t="s">
        <v>72</v>
      </c>
      <c r="Q17" s="33" t="s">
        <v>73</v>
      </c>
    </row>
    <row r="18" spans="1:19" x14ac:dyDescent="0.25">
      <c r="A18" s="22" t="s">
        <v>33</v>
      </c>
      <c r="B18" s="13"/>
      <c r="C18" s="41">
        <v>-202.67277744124559</v>
      </c>
      <c r="D18" s="41">
        <v>-10.140277765825223</v>
      </c>
      <c r="E18" s="17">
        <v>167.5918989899167</v>
      </c>
      <c r="F18" s="41">
        <v>-174.88819214116282</v>
      </c>
      <c r="G18" s="18">
        <v>-11.137699833189403</v>
      </c>
      <c r="I18" s="14" t="s">
        <v>23</v>
      </c>
      <c r="J18" s="40">
        <v>20</v>
      </c>
      <c r="K18" s="63"/>
      <c r="L18" s="39" t="s">
        <v>9</v>
      </c>
      <c r="M18" s="65"/>
      <c r="N18" s="71"/>
      <c r="O18" s="65"/>
      <c r="Q18" s="14" t="s">
        <v>75</v>
      </c>
      <c r="R18" s="20">
        <f>IF(J18=16,201,IF(J18=20,314,IF(J18=25,490,"Err")))</f>
        <v>314</v>
      </c>
      <c r="S18" s="16" t="s">
        <v>25</v>
      </c>
    </row>
    <row r="19" spans="1:19" x14ac:dyDescent="0.25">
      <c r="A19" s="19" t="s">
        <v>39</v>
      </c>
      <c r="B19" s="13"/>
      <c r="C19" s="41">
        <v>-29.138046342215493</v>
      </c>
      <c r="D19" s="41">
        <v>-12.889999733038406</v>
      </c>
      <c r="E19" s="41">
        <v>-175.88925512427068</v>
      </c>
      <c r="F19" s="17">
        <v>-222.95213695692763</v>
      </c>
      <c r="G19" s="18">
        <v>17.260976821526853</v>
      </c>
      <c r="I19" s="14" t="s">
        <v>40</v>
      </c>
      <c r="J19" s="23">
        <f>MAX(rhoMin,(K19*R18/(B12*B15)))</f>
        <v>7.7530864197530866E-3</v>
      </c>
      <c r="K19" s="15">
        <v>4</v>
      </c>
      <c r="L19" s="38">
        <f>IF(M19&lt;2,(B12-(2*(J12+clrCover))-(K19*J21))/(K19-1),(B12-(2*(J12+clrCover))-(N19*J21))/((N19)-1))</f>
        <v>40</v>
      </c>
      <c r="M19" s="15">
        <v>1</v>
      </c>
      <c r="N19" s="21">
        <f>IF(M19&lt;2,K19,CEILING(K19/2,1))</f>
        <v>4</v>
      </c>
      <c r="O19" s="21">
        <f>K19-N19</f>
        <v>0</v>
      </c>
      <c r="Q19" s="36" t="s">
        <v>74</v>
      </c>
      <c r="R19" s="37">
        <f>rhoMin*B12*B15</f>
        <v>534.6</v>
      </c>
      <c r="S19" s="21">
        <f>ROUND(R19/R18,0)</f>
        <v>2</v>
      </c>
    </row>
    <row r="20" spans="1:19" x14ac:dyDescent="0.25">
      <c r="A20" s="12" t="s">
        <v>26</v>
      </c>
      <c r="B20" s="47">
        <f>B13-clrCover-J12-(IF(M22&gt;1,1.5*J21,0.5*J21))</f>
        <v>540</v>
      </c>
      <c r="C20" s="41">
        <v>-29.138046342215493</v>
      </c>
      <c r="D20" s="41">
        <v>-12.889999733038406</v>
      </c>
      <c r="E20" s="41">
        <v>-143.79143420409446</v>
      </c>
      <c r="F20" s="17">
        <v>194.18905695269609</v>
      </c>
      <c r="G20" s="53">
        <v>-16.378526956015065</v>
      </c>
      <c r="I20" s="66" t="s">
        <v>69</v>
      </c>
      <c r="J20" s="67"/>
      <c r="K20" s="64" t="s">
        <v>35</v>
      </c>
      <c r="L20" s="34" t="s">
        <v>36</v>
      </c>
      <c r="M20" s="64" t="s">
        <v>37</v>
      </c>
      <c r="N20" s="70" t="s">
        <v>38</v>
      </c>
      <c r="O20" s="64" t="s">
        <v>72</v>
      </c>
      <c r="R20" s="35"/>
    </row>
    <row r="21" spans="1:19" x14ac:dyDescent="0.25">
      <c r="A21" s="12" t="s">
        <v>27</v>
      </c>
      <c r="B21" s="48">
        <f>K22*R21</f>
        <v>1256</v>
      </c>
      <c r="C21" s="41">
        <v>-244.95213794365515</v>
      </c>
      <c r="D21" s="41">
        <v>21.2921952366349</v>
      </c>
      <c r="E21" s="41">
        <v>-48.783153391416633</v>
      </c>
      <c r="F21" s="41">
        <v>-66.440336608767936</v>
      </c>
      <c r="G21" s="17">
        <v>-42.933693561048813</v>
      </c>
      <c r="I21" s="14" t="s">
        <v>23</v>
      </c>
      <c r="J21" s="40">
        <v>20</v>
      </c>
      <c r="K21" s="65"/>
      <c r="L21" s="39" t="s">
        <v>9</v>
      </c>
      <c r="M21" s="65"/>
      <c r="N21" s="71"/>
      <c r="O21" s="65"/>
      <c r="Q21" s="14" t="s">
        <v>75</v>
      </c>
      <c r="R21" s="20">
        <f>IF(J21=16,201,IF(J21=20,314,IF(J21=25,490,"Err")))</f>
        <v>314</v>
      </c>
      <c r="S21" s="16" t="s">
        <v>25</v>
      </c>
    </row>
    <row r="22" spans="1:19" x14ac:dyDescent="0.25">
      <c r="A22" s="26" t="s">
        <v>28</v>
      </c>
      <c r="B22" s="50">
        <f>phi*B12*(B20^2)*J22*fy*(1-(0.588*J22*fy/fc))/1000000</f>
        <v>235.047177796608</v>
      </c>
      <c r="C22" s="51">
        <v>242.24780250240053</v>
      </c>
      <c r="D22" s="27">
        <v>-20.989573425694125</v>
      </c>
      <c r="E22" s="27">
        <v>7.0560574341028293</v>
      </c>
      <c r="F22" s="27">
        <v>56.796228892059169</v>
      </c>
      <c r="G22" s="17">
        <v>42.323485362625696</v>
      </c>
      <c r="I22" s="14" t="s">
        <v>40</v>
      </c>
      <c r="J22" s="23">
        <f>MAX(rhoMin,(K22*R21/(B12*B15)))</f>
        <v>7.7530864197530866E-3</v>
      </c>
      <c r="K22" s="15">
        <v>4</v>
      </c>
      <c r="L22" s="20">
        <f>IF(M22&lt;2,(B12-(2*(J12+clrCover))-(K22*J21))/(K22-1),(B12-(2*(J12+clrCover))-(N22*J21))/((N22)-1))</f>
        <v>40</v>
      </c>
      <c r="M22" s="15">
        <v>1</v>
      </c>
      <c r="N22" s="21">
        <f>IF(M22&lt;2,K22,CEILING(K22/2,1))</f>
        <v>4</v>
      </c>
      <c r="O22" s="21">
        <f>K22-N22</f>
        <v>0</v>
      </c>
      <c r="Q22" s="36" t="s">
        <v>74</v>
      </c>
      <c r="R22" s="37">
        <f>rhoMin*B12*B20</f>
        <v>534.6</v>
      </c>
      <c r="S22" s="21">
        <f>ROUND(R22/R21,0)</f>
        <v>2</v>
      </c>
    </row>
    <row r="23" spans="1:19" x14ac:dyDescent="0.25">
      <c r="A23" s="61" t="s">
        <v>77</v>
      </c>
    </row>
  </sheetData>
  <dataConsolidate/>
  <mergeCells count="12">
    <mergeCell ref="N17:N18"/>
    <mergeCell ref="O17:O18"/>
    <mergeCell ref="O20:O21"/>
    <mergeCell ref="N20:N21"/>
    <mergeCell ref="M20:M21"/>
    <mergeCell ref="K17:K18"/>
    <mergeCell ref="K20:K21"/>
    <mergeCell ref="M17:M18"/>
    <mergeCell ref="I11:J11"/>
    <mergeCell ref="L13:M13"/>
    <mergeCell ref="I17:J17"/>
    <mergeCell ref="I20:J20"/>
  </mergeCells>
  <conditionalFormatting sqref="J19 J22">
    <cfRule type="cellIs" dxfId="3" priority="18" operator="greaterThanOrEqual">
      <formula>$B$7</formula>
    </cfRule>
  </conditionalFormatting>
  <conditionalFormatting sqref="L19 L22">
    <cfRule type="cellIs" dxfId="2" priority="17" operator="lessThan">
      <formula>$B$8</formula>
    </cfRule>
  </conditionalFormatting>
  <conditionalFormatting sqref="B17">
    <cfRule type="cellIs" dxfId="1" priority="16" operator="greaterThan">
      <formula>$F$19</formula>
    </cfRule>
  </conditionalFormatting>
  <conditionalFormatting sqref="B22">
    <cfRule type="cellIs" dxfId="0" priority="15" operator="lessThanOrEqual">
      <formula>$F$20</formula>
    </cfRule>
  </conditionalFormatting>
  <dataValidations count="3">
    <dataValidation type="list" allowBlank="1" showInputMessage="1" showErrorMessage="1" sqref="O14:O15">
      <formula1>$H$8:$H$16</formula1>
    </dataValidation>
    <dataValidation type="list" allowBlank="1" showInputMessage="1" showErrorMessage="1" sqref="M19 M22">
      <formula1>$H$6:$H$7</formula1>
    </dataValidation>
    <dataValidation type="list" allowBlank="1" showInputMessage="1" showErrorMessage="1" sqref="J18 J21">
      <formula1>$H$1:$H$3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Beam">
                <anchor moveWithCells="1" sizeWithCells="1">
                  <from>
                    <xdr:col>16</xdr:col>
                    <xdr:colOff>99060</xdr:colOff>
                    <xdr:row>1</xdr:row>
                    <xdr:rowOff>15240</xdr:rowOff>
                  </from>
                  <to>
                    <xdr:col>18</xdr:col>
                    <xdr:colOff>426720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L11"/>
  <sheetViews>
    <sheetView workbookViewId="0">
      <selection activeCell="D15" sqref="D15"/>
    </sheetView>
  </sheetViews>
  <sheetFormatPr defaultRowHeight="19.8" x14ac:dyDescent="0.3"/>
  <cols>
    <col min="1" max="1" width="16.77734375" style="30" customWidth="1"/>
    <col min="2" max="3" width="10.77734375" style="30" customWidth="1"/>
    <col min="4" max="9" width="16.77734375" style="30" customWidth="1"/>
    <col min="10" max="10" width="12.77734375" style="30" customWidth="1"/>
    <col min="11" max="11" width="40.77734375" style="30" customWidth="1"/>
    <col min="12" max="12" width="48.77734375" style="30" customWidth="1"/>
    <col min="13" max="16384" width="8.88671875" style="30"/>
  </cols>
  <sheetData>
    <row r="5" spans="1:12" x14ac:dyDescent="0.3">
      <c r="A5" s="73" t="s">
        <v>52</v>
      </c>
      <c r="B5" s="29" t="s">
        <v>41</v>
      </c>
      <c r="C5" s="29" t="s">
        <v>42</v>
      </c>
      <c r="D5" s="72" t="s">
        <v>43</v>
      </c>
      <c r="E5" s="72"/>
      <c r="F5" s="72" t="s">
        <v>46</v>
      </c>
      <c r="G5" s="72"/>
      <c r="H5" s="72" t="s">
        <v>47</v>
      </c>
      <c r="I5" s="72"/>
      <c r="J5" s="72" t="s">
        <v>48</v>
      </c>
      <c r="K5" s="72"/>
      <c r="L5" s="29" t="s">
        <v>51</v>
      </c>
    </row>
    <row r="6" spans="1:12" x14ac:dyDescent="0.3">
      <c r="A6" s="73"/>
      <c r="B6" s="29" t="s">
        <v>9</v>
      </c>
      <c r="C6" s="29" t="s">
        <v>9</v>
      </c>
      <c r="D6" s="29" t="s">
        <v>44</v>
      </c>
      <c r="E6" s="29" t="s">
        <v>45</v>
      </c>
      <c r="F6" s="29" t="s">
        <v>44</v>
      </c>
      <c r="G6" s="29" t="s">
        <v>45</v>
      </c>
      <c r="H6" s="29" t="s">
        <v>44</v>
      </c>
      <c r="I6" s="29" t="s">
        <v>45</v>
      </c>
      <c r="J6" s="29" t="s">
        <v>49</v>
      </c>
      <c r="K6" s="29" t="s">
        <v>50</v>
      </c>
      <c r="L6" s="29"/>
    </row>
    <row r="7" spans="1:12" x14ac:dyDescent="0.3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</row>
    <row r="8" spans="1:12" x14ac:dyDescent="0.3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</row>
    <row r="9" spans="1:12" x14ac:dyDescent="0.3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</row>
    <row r="10" spans="1:12" x14ac:dyDescent="0.3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</row>
    <row r="11" spans="1:12" x14ac:dyDescent="0.3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</row>
  </sheetData>
  <dataConsolidate/>
  <mergeCells count="5">
    <mergeCell ref="D5:E5"/>
    <mergeCell ref="F5:G5"/>
    <mergeCell ref="H5:I5"/>
    <mergeCell ref="J5:K5"/>
    <mergeCell ref="A5:A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_sched">
                <anchor moveWithCells="1" sizeWithCells="1">
                  <from>
                    <xdr:col>0</xdr:col>
                    <xdr:colOff>312420</xdr:colOff>
                    <xdr:row>0</xdr:row>
                    <xdr:rowOff>106680</xdr:rowOff>
                  </from>
                  <to>
                    <xdr:col>2</xdr:col>
                    <xdr:colOff>533400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"/>
  <sheetViews>
    <sheetView workbookViewId="0"/>
  </sheetViews>
  <sheetFormatPr defaultRowHeight="14.4" x14ac:dyDescent="0.3"/>
  <cols>
    <col min="1" max="16384" width="8.88671875" style="31"/>
  </cols>
  <sheetData>
    <row r="1" spans="1:17" x14ac:dyDescent="0.3">
      <c r="A1" s="31" t="s">
        <v>62</v>
      </c>
      <c r="B1" s="31" t="s">
        <v>41</v>
      </c>
      <c r="C1" s="31" t="s">
        <v>42</v>
      </c>
      <c r="D1" s="31" t="s">
        <v>60</v>
      </c>
      <c r="E1" s="31" t="s">
        <v>54</v>
      </c>
      <c r="F1" s="31" t="s">
        <v>55</v>
      </c>
      <c r="G1" s="31" t="s">
        <v>56</v>
      </c>
      <c r="H1" s="31" t="s">
        <v>61</v>
      </c>
      <c r="I1" s="31" t="s">
        <v>57</v>
      </c>
      <c r="J1" s="31" t="s">
        <v>58</v>
      </c>
      <c r="K1" s="31" t="s">
        <v>59</v>
      </c>
      <c r="L1" s="31" t="s">
        <v>53</v>
      </c>
      <c r="M1" s="31" t="s">
        <v>63</v>
      </c>
      <c r="N1" s="31" t="s">
        <v>64</v>
      </c>
      <c r="O1" s="31" t="s">
        <v>65</v>
      </c>
      <c r="P1" s="31" t="s">
        <v>66</v>
      </c>
    </row>
    <row r="2" spans="1:17" x14ac:dyDescent="0.2">
      <c r="Q2" s="32"/>
    </row>
    <row r="6" spans="1:17" x14ac:dyDescent="0.3">
      <c r="B6" s="31" t="s">
        <v>67</v>
      </c>
    </row>
  </sheetData>
  <sortState ref="A2:M470">
    <sortCondition ref="A2:A47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16</xdr:col>
                    <xdr:colOff>396240</xdr:colOff>
                    <xdr:row>1</xdr:row>
                    <xdr:rowOff>91440</xdr:rowOff>
                  </from>
                  <to>
                    <xdr:col>18</xdr:col>
                    <xdr:colOff>342900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BeamSum</vt:lpstr>
      <vt:lpstr>sched</vt:lpstr>
      <vt:lpstr>forFutureGrouping</vt:lpstr>
      <vt:lpstr>clrCover</vt:lpstr>
      <vt:lpstr>fc</vt:lpstr>
      <vt:lpstr>fy</vt:lpstr>
      <vt:lpstr>minSpac</vt:lpstr>
      <vt:lpstr>phi</vt:lpstr>
      <vt:lpstr>phiV</vt:lpstr>
      <vt:lpstr>phiVc</vt:lpstr>
      <vt:lpstr>BeamSum!Print_Area</vt:lpstr>
      <vt:lpstr>rhoMax</vt:lpstr>
      <vt:lpstr>rhoMin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2019-08-07T08:04:26Z</dcterms:created>
  <dcterms:modified xsi:type="dcterms:W3CDTF">2019-09-26T07:40:15Z</dcterms:modified>
</cp:coreProperties>
</file>