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GiulianoDiEnrico\Documents\001 Anthurium-CD\Outgoing\B Calcs\"/>
    </mc:Choice>
  </mc:AlternateContent>
  <bookViews>
    <workbookView xWindow="0" yWindow="0" windowWidth="23040" windowHeight="9780"/>
  </bookViews>
  <sheets>
    <sheet name="BeamSum" sheetId="2" r:id="rId1"/>
    <sheet name="sched" sheetId="1" r:id="rId2"/>
    <sheet name="forFutureGrouping" sheetId="3" r:id="rId3"/>
  </sheets>
  <functionGroups builtInGroupCount="18"/>
  <definedNames>
    <definedName name="_xlnm._FilterDatabase" localSheetId="2" hidden="1">forFutureGrouping!$A$2:$M$470</definedName>
    <definedName name="clrCover">BeamSum!$B$9</definedName>
    <definedName name="fc">BeamSum!$B$1</definedName>
    <definedName name="fy">BeamSum!$B$2</definedName>
    <definedName name="fys">BeamSum!$B$3</definedName>
    <definedName name="minSpac">BeamSum!$B$8</definedName>
    <definedName name="phi">BeamSum!$B$5</definedName>
    <definedName name="phiV">BeamSum!$C$5</definedName>
    <definedName name="phiVc">BeamSum!$B$4</definedName>
    <definedName name="_xlnm.Print_Area" localSheetId="0">BeamSum!$A$1:$O$335</definedName>
    <definedName name="rhoMax">BeamSum!$B$7</definedName>
    <definedName name="rhoMin">BeamSum!$B$6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47" i="2" l="1"/>
  <c r="O347" i="2" s="1"/>
  <c r="L347" i="2"/>
  <c r="J347" i="2"/>
  <c r="R346" i="2"/>
  <c r="B346" i="2"/>
  <c r="B345" i="2"/>
  <c r="B347" i="2" s="1"/>
  <c r="R344" i="2"/>
  <c r="S344" i="2" s="1"/>
  <c r="N344" i="2"/>
  <c r="O344" i="2" s="1"/>
  <c r="R343" i="2"/>
  <c r="B341" i="2" s="1"/>
  <c r="L340" i="2"/>
  <c r="M340" i="2" s="1"/>
  <c r="N340" i="2" s="1"/>
  <c r="B340" i="2"/>
  <c r="L339" i="2"/>
  <c r="M339" i="2" s="1"/>
  <c r="N339" i="2" s="1"/>
  <c r="N334" i="2"/>
  <c r="O334" i="2" s="1"/>
  <c r="R333" i="2"/>
  <c r="B333" i="2"/>
  <c r="B332" i="2"/>
  <c r="L327" i="2" s="1"/>
  <c r="M327" i="2" s="1"/>
  <c r="N327" i="2" s="1"/>
  <c r="N331" i="2"/>
  <c r="L331" i="2" s="1"/>
  <c r="R330" i="2"/>
  <c r="B328" i="2" s="1"/>
  <c r="B327" i="2"/>
  <c r="R331" i="2" s="1"/>
  <c r="S331" i="2" s="1"/>
  <c r="N321" i="2"/>
  <c r="O321" i="2" s="1"/>
  <c r="R320" i="2"/>
  <c r="B320" i="2" s="1"/>
  <c r="B319" i="2"/>
  <c r="R321" i="2" s="1"/>
  <c r="S321" i="2" s="1"/>
  <c r="N318" i="2"/>
  <c r="O318" i="2" s="1"/>
  <c r="R317" i="2"/>
  <c r="B315" i="2" s="1"/>
  <c r="B314" i="2"/>
  <c r="N308" i="2"/>
  <c r="O308" i="2" s="1"/>
  <c r="R307" i="2"/>
  <c r="B307" i="2"/>
  <c r="B306" i="2"/>
  <c r="L301" i="2" s="1"/>
  <c r="M301" i="2" s="1"/>
  <c r="N301" i="2" s="1"/>
  <c r="N305" i="2"/>
  <c r="O305" i="2" s="1"/>
  <c r="R304" i="2"/>
  <c r="B302" i="2" s="1"/>
  <c r="B301" i="2"/>
  <c r="L300" i="2" s="1"/>
  <c r="M300" i="2" s="1"/>
  <c r="N300" i="2" s="1"/>
  <c r="N295" i="2"/>
  <c r="O295" i="2" s="1"/>
  <c r="R294" i="2"/>
  <c r="B294" i="2"/>
  <c r="B293" i="2"/>
  <c r="L288" i="2" s="1"/>
  <c r="M288" i="2" s="1"/>
  <c r="N288" i="2" s="1"/>
  <c r="N292" i="2"/>
  <c r="O292" i="2" s="1"/>
  <c r="R291" i="2"/>
  <c r="B289" i="2" s="1"/>
  <c r="B288" i="2"/>
  <c r="R292" i="2" s="1"/>
  <c r="S292" i="2" s="1"/>
  <c r="N282" i="2"/>
  <c r="O282" i="2" s="1"/>
  <c r="R281" i="2"/>
  <c r="B281" i="2" s="1"/>
  <c r="B280" i="2"/>
  <c r="R282" i="2" s="1"/>
  <c r="S282" i="2" s="1"/>
  <c r="N279" i="2"/>
  <c r="O279" i="2" s="1"/>
  <c r="R278" i="2"/>
  <c r="B276" i="2" s="1"/>
  <c r="B275" i="2"/>
  <c r="N269" i="2"/>
  <c r="O269" i="2" s="1"/>
  <c r="L269" i="2"/>
  <c r="R268" i="2"/>
  <c r="B268" i="2"/>
  <c r="B267" i="2"/>
  <c r="L262" i="2" s="1"/>
  <c r="M262" i="2" s="1"/>
  <c r="N262" i="2" s="1"/>
  <c r="R266" i="2"/>
  <c r="S266" i="2" s="1"/>
  <c r="N266" i="2"/>
  <c r="O266" i="2" s="1"/>
  <c r="L266" i="2"/>
  <c r="R265" i="2"/>
  <c r="B263" i="2"/>
  <c r="B262" i="2"/>
  <c r="L261" i="2"/>
  <c r="M261" i="2" s="1"/>
  <c r="N261" i="2" s="1"/>
  <c r="N256" i="2"/>
  <c r="O256" i="2" s="1"/>
  <c r="L256" i="2"/>
  <c r="R255" i="2"/>
  <c r="B255" i="2" s="1"/>
  <c r="B254" i="2"/>
  <c r="L249" i="2" s="1"/>
  <c r="M249" i="2" s="1"/>
  <c r="N249" i="2" s="1"/>
  <c r="N253" i="2"/>
  <c r="L253" i="2" s="1"/>
  <c r="R252" i="2"/>
  <c r="B250" i="2"/>
  <c r="B249" i="2"/>
  <c r="L248" i="2"/>
  <c r="M248" i="2" s="1"/>
  <c r="N248" i="2" s="1"/>
  <c r="N243" i="2"/>
  <c r="O243" i="2" s="1"/>
  <c r="R242" i="2"/>
  <c r="J243" i="2" s="1"/>
  <c r="B242" i="2"/>
  <c r="B241" i="2"/>
  <c r="R243" i="2" s="1"/>
  <c r="S243" i="2" s="1"/>
  <c r="N240" i="2"/>
  <c r="O240" i="2" s="1"/>
  <c r="R239" i="2"/>
  <c r="B237" i="2" s="1"/>
  <c r="B236" i="2"/>
  <c r="O230" i="2"/>
  <c r="N230" i="2"/>
  <c r="L230" i="2"/>
  <c r="R229" i="2"/>
  <c r="J230" i="2" s="1"/>
  <c r="B230" i="2" s="1"/>
  <c r="B228" i="2"/>
  <c r="R230" i="2" s="1"/>
  <c r="S230" i="2" s="1"/>
  <c r="N227" i="2"/>
  <c r="O227" i="2" s="1"/>
  <c r="L227" i="2"/>
  <c r="R226" i="2"/>
  <c r="B224" i="2" s="1"/>
  <c r="L223" i="2"/>
  <c r="M223" i="2" s="1"/>
  <c r="N223" i="2" s="1"/>
  <c r="B223" i="2"/>
  <c r="N210" i="2"/>
  <c r="N209" i="2"/>
  <c r="N184" i="2"/>
  <c r="N183" i="2"/>
  <c r="N171" i="2"/>
  <c r="N170" i="2"/>
  <c r="N158" i="2"/>
  <c r="N157" i="2"/>
  <c r="N145" i="2"/>
  <c r="N144" i="2"/>
  <c r="N132" i="2"/>
  <c r="N131" i="2"/>
  <c r="N119" i="2"/>
  <c r="N118" i="2"/>
  <c r="N106" i="2"/>
  <c r="N105" i="2"/>
  <c r="N93" i="2"/>
  <c r="N92" i="2"/>
  <c r="N80" i="2"/>
  <c r="N79" i="2"/>
  <c r="N67" i="2"/>
  <c r="N66" i="2"/>
  <c r="N54" i="2"/>
  <c r="N53" i="2"/>
  <c r="N41" i="2"/>
  <c r="N40" i="2"/>
  <c r="N28" i="2"/>
  <c r="N27" i="2"/>
  <c r="N15" i="2"/>
  <c r="N14" i="2"/>
  <c r="N217" i="2"/>
  <c r="O217" i="2" s="1"/>
  <c r="R216" i="2"/>
  <c r="B216" i="2" s="1"/>
  <c r="B215" i="2"/>
  <c r="R217" i="2" s="1"/>
  <c r="S217" i="2" s="1"/>
  <c r="N214" i="2"/>
  <c r="O214" i="2" s="1"/>
  <c r="L214" i="2"/>
  <c r="R213" i="2"/>
  <c r="B211" i="2" s="1"/>
  <c r="B210" i="2"/>
  <c r="N74" i="2"/>
  <c r="O74" i="2" s="1"/>
  <c r="L74" i="2"/>
  <c r="R73" i="2"/>
  <c r="B73" i="2"/>
  <c r="B72" i="2"/>
  <c r="L67" i="2" s="1"/>
  <c r="R71" i="2"/>
  <c r="S71" i="2" s="1"/>
  <c r="O71" i="2"/>
  <c r="N71" i="2"/>
  <c r="L71" i="2" s="1"/>
  <c r="R70" i="2"/>
  <c r="B68" i="2"/>
  <c r="B67" i="2"/>
  <c r="L66" i="2"/>
  <c r="B15" i="2"/>
  <c r="B28" i="2"/>
  <c r="B41" i="2"/>
  <c r="B54" i="2"/>
  <c r="B80" i="2"/>
  <c r="B93" i="2"/>
  <c r="B106" i="2"/>
  <c r="B119" i="2"/>
  <c r="B145" i="2"/>
  <c r="B158" i="2"/>
  <c r="B171" i="2"/>
  <c r="B184" i="2"/>
  <c r="B197" i="2"/>
  <c r="N204" i="2"/>
  <c r="L204" i="2" s="1"/>
  <c r="R203" i="2"/>
  <c r="B203" i="2" s="1"/>
  <c r="B202" i="2"/>
  <c r="R204" i="2" s="1"/>
  <c r="N201" i="2"/>
  <c r="O201" i="2" s="1"/>
  <c r="R200" i="2"/>
  <c r="B198" i="2" s="1"/>
  <c r="R347" i="2" l="1"/>
  <c r="S347" i="2" s="1"/>
  <c r="J344" i="2"/>
  <c r="B342" i="2" s="1"/>
  <c r="L344" i="2"/>
  <c r="L334" i="2"/>
  <c r="O331" i="2"/>
  <c r="L326" i="2"/>
  <c r="M326" i="2" s="1"/>
  <c r="N326" i="2" s="1"/>
  <c r="J334" i="2"/>
  <c r="B334" i="2" s="1"/>
  <c r="J331" i="2"/>
  <c r="B329" i="2" s="1"/>
  <c r="R334" i="2"/>
  <c r="S334" i="2" s="1"/>
  <c r="L318" i="2"/>
  <c r="J318" i="2"/>
  <c r="B316" i="2" s="1"/>
  <c r="L314" i="2"/>
  <c r="M314" i="2" s="1"/>
  <c r="N314" i="2" s="1"/>
  <c r="J321" i="2"/>
  <c r="B321" i="2" s="1"/>
  <c r="L321" i="2"/>
  <c r="R318" i="2"/>
  <c r="S318" i="2" s="1"/>
  <c r="L313" i="2"/>
  <c r="M313" i="2" s="1"/>
  <c r="N313" i="2" s="1"/>
  <c r="R305" i="2"/>
  <c r="S305" i="2" s="1"/>
  <c r="J308" i="2"/>
  <c r="B308" i="2" s="1"/>
  <c r="J295" i="2"/>
  <c r="L287" i="2"/>
  <c r="M287" i="2" s="1"/>
  <c r="N287" i="2" s="1"/>
  <c r="L292" i="2"/>
  <c r="R308" i="2"/>
  <c r="S308" i="2" s="1"/>
  <c r="J305" i="2"/>
  <c r="B303" i="2" s="1"/>
  <c r="L305" i="2"/>
  <c r="L308" i="2"/>
  <c r="R295" i="2"/>
  <c r="S295" i="2" s="1"/>
  <c r="B295" i="2"/>
  <c r="L295" i="2"/>
  <c r="J292" i="2"/>
  <c r="B290" i="2" s="1"/>
  <c r="L275" i="2"/>
  <c r="M275" i="2" s="1"/>
  <c r="N275" i="2" s="1"/>
  <c r="L279" i="2"/>
  <c r="J279" i="2"/>
  <c r="B277" i="2" s="1"/>
  <c r="J282" i="2"/>
  <c r="B282" i="2" s="1"/>
  <c r="L282" i="2"/>
  <c r="R279" i="2"/>
  <c r="S279" i="2" s="1"/>
  <c r="L274" i="2"/>
  <c r="M274" i="2" s="1"/>
  <c r="N274" i="2" s="1"/>
  <c r="J269" i="2"/>
  <c r="B269" i="2" s="1"/>
  <c r="J266" i="2"/>
  <c r="B264" i="2" s="1"/>
  <c r="R269" i="2"/>
  <c r="S269" i="2" s="1"/>
  <c r="J256" i="2"/>
  <c r="B256" i="2" s="1"/>
  <c r="R253" i="2"/>
  <c r="S253" i="2" s="1"/>
  <c r="J253" i="2"/>
  <c r="B251" i="2" s="1"/>
  <c r="O253" i="2"/>
  <c r="R256" i="2"/>
  <c r="S256" i="2" s="1"/>
  <c r="L243" i="2"/>
  <c r="L236" i="2"/>
  <c r="M236" i="2" s="1"/>
  <c r="N236" i="2" s="1"/>
  <c r="B243" i="2"/>
  <c r="J240" i="2"/>
  <c r="B238" i="2" s="1"/>
  <c r="L240" i="2"/>
  <c r="R240" i="2"/>
  <c r="S240" i="2" s="1"/>
  <c r="L235" i="2"/>
  <c r="M235" i="2" s="1"/>
  <c r="N235" i="2" s="1"/>
  <c r="J227" i="2"/>
  <c r="B225" i="2" s="1"/>
  <c r="R227" i="2"/>
  <c r="S227" i="2" s="1"/>
  <c r="B229" i="2"/>
  <c r="L222" i="2"/>
  <c r="M222" i="2" s="1"/>
  <c r="N222" i="2" s="1"/>
  <c r="L210" i="2"/>
  <c r="M210" i="2" s="1"/>
  <c r="J217" i="2"/>
  <c r="B217" i="2" s="1"/>
  <c r="J214" i="2"/>
  <c r="B212" i="2" s="1"/>
  <c r="L217" i="2"/>
  <c r="R214" i="2"/>
  <c r="S214" i="2" s="1"/>
  <c r="L209" i="2"/>
  <c r="M209" i="2" s="1"/>
  <c r="J74" i="2"/>
  <c r="J71" i="2"/>
  <c r="B69" i="2" s="1"/>
  <c r="B74" i="2"/>
  <c r="R74" i="2"/>
  <c r="S74" i="2" s="1"/>
  <c r="S204" i="2"/>
  <c r="O204" i="2"/>
  <c r="L201" i="2"/>
  <c r="L197" i="2"/>
  <c r="N191" i="2"/>
  <c r="O191" i="2" s="1"/>
  <c r="L191" i="2"/>
  <c r="R190" i="2"/>
  <c r="J191" i="2" s="1"/>
  <c r="B190" i="2"/>
  <c r="B189" i="2"/>
  <c r="N188" i="2"/>
  <c r="L188" i="2" s="1"/>
  <c r="R187" i="2"/>
  <c r="B185" i="2"/>
  <c r="L183" i="2"/>
  <c r="N178" i="2"/>
  <c r="O178" i="2" s="1"/>
  <c r="L178" i="2"/>
  <c r="R177" i="2"/>
  <c r="B177" i="2"/>
  <c r="B176" i="2"/>
  <c r="L171" i="2" s="1"/>
  <c r="N175" i="2"/>
  <c r="O175" i="2" s="1"/>
  <c r="R174" i="2"/>
  <c r="B172" i="2" s="1"/>
  <c r="R175" i="2"/>
  <c r="S175" i="2" s="1"/>
  <c r="L170" i="2"/>
  <c r="N165" i="2"/>
  <c r="O165" i="2" s="1"/>
  <c r="L165" i="2"/>
  <c r="R164" i="2"/>
  <c r="B164" i="2"/>
  <c r="B163" i="2"/>
  <c r="L158" i="2" s="1"/>
  <c r="R162" i="2"/>
  <c r="N162" i="2"/>
  <c r="O162" i="2" s="1"/>
  <c r="L162" i="2"/>
  <c r="R161" i="2"/>
  <c r="B159" i="2" s="1"/>
  <c r="L157" i="2"/>
  <c r="S162" i="2" l="1"/>
  <c r="R188" i="2"/>
  <c r="S188" i="2" s="1"/>
  <c r="B191" i="2"/>
  <c r="L184" i="2"/>
  <c r="J188" i="2"/>
  <c r="B186" i="2" s="1"/>
  <c r="O188" i="2"/>
  <c r="R191" i="2"/>
  <c r="S191" i="2" s="1"/>
  <c r="L175" i="2"/>
  <c r="J178" i="2"/>
  <c r="B178" i="2" s="1"/>
  <c r="R178" i="2"/>
  <c r="S178" i="2" s="1"/>
  <c r="J175" i="2"/>
  <c r="B173" i="2" s="1"/>
  <c r="J165" i="2"/>
  <c r="B165" i="2" s="1"/>
  <c r="J162" i="2"/>
  <c r="B160" i="2" s="1"/>
  <c r="R165" i="2"/>
  <c r="S165" i="2" s="1"/>
  <c r="N152" i="2" l="1"/>
  <c r="O152" i="2" s="1"/>
  <c r="L152" i="2"/>
  <c r="R151" i="2"/>
  <c r="B151" i="2"/>
  <c r="B150" i="2"/>
  <c r="L145" i="2" s="1"/>
  <c r="N149" i="2"/>
  <c r="L149" i="2" s="1"/>
  <c r="R148" i="2"/>
  <c r="B146" i="2" s="1"/>
  <c r="L144" i="2"/>
  <c r="J152" i="2" l="1"/>
  <c r="B152" i="2" s="1"/>
  <c r="R149" i="2"/>
  <c r="S149" i="2" s="1"/>
  <c r="J149" i="2"/>
  <c r="B147" i="2" s="1"/>
  <c r="O149" i="2"/>
  <c r="R152" i="2"/>
  <c r="S152" i="2" s="1"/>
  <c r="N139" i="2"/>
  <c r="O139" i="2" s="1"/>
  <c r="L139" i="2"/>
  <c r="R138" i="2"/>
  <c r="B138" i="2" s="1"/>
  <c r="B137" i="2"/>
  <c r="R139" i="2" s="1"/>
  <c r="S139" i="2" s="1"/>
  <c r="N136" i="2"/>
  <c r="L136" i="2" s="1"/>
  <c r="R135" i="2"/>
  <c r="J136" i="2" s="1"/>
  <c r="B134" i="2" s="1"/>
  <c r="B133" i="2"/>
  <c r="B132" i="2"/>
  <c r="L131" i="2" s="1"/>
  <c r="N126" i="2"/>
  <c r="O126" i="2" s="1"/>
  <c r="L126" i="2"/>
  <c r="R125" i="2"/>
  <c r="B125" i="2"/>
  <c r="B124" i="2"/>
  <c r="N123" i="2"/>
  <c r="L123" i="2" s="1"/>
  <c r="R122" i="2"/>
  <c r="B120" i="2" s="1"/>
  <c r="R123" i="2"/>
  <c r="L118" i="2"/>
  <c r="N113" i="2"/>
  <c r="O113" i="2" s="1"/>
  <c r="L113" i="2"/>
  <c r="R112" i="2"/>
  <c r="J113" i="2" s="1"/>
  <c r="B112" i="2"/>
  <c r="B111" i="2"/>
  <c r="R113" i="2" s="1"/>
  <c r="S113" i="2" s="1"/>
  <c r="N110" i="2"/>
  <c r="O110" i="2" s="1"/>
  <c r="R109" i="2"/>
  <c r="B107" i="2" s="1"/>
  <c r="J100" i="2"/>
  <c r="L84" i="2"/>
  <c r="L32" i="2"/>
  <c r="L19" i="2"/>
  <c r="B81" i="2"/>
  <c r="N100" i="2"/>
  <c r="O100" i="2" s="1"/>
  <c r="R99" i="2"/>
  <c r="B99" i="2" s="1"/>
  <c r="B98" i="2"/>
  <c r="R100" i="2" s="1"/>
  <c r="S100" i="2" s="1"/>
  <c r="N97" i="2"/>
  <c r="O97" i="2" s="1"/>
  <c r="R96" i="2"/>
  <c r="B94" i="2" s="1"/>
  <c r="N87" i="2"/>
  <c r="O87" i="2" s="1"/>
  <c r="L87" i="2"/>
  <c r="R86" i="2"/>
  <c r="B86" i="2" s="1"/>
  <c r="B85" i="2"/>
  <c r="N84" i="2"/>
  <c r="R83" i="2"/>
  <c r="L80" i="2"/>
  <c r="R84" i="2"/>
  <c r="S84" i="2" s="1"/>
  <c r="B100" i="2" l="1"/>
  <c r="L100" i="2"/>
  <c r="R136" i="2"/>
  <c r="S136" i="2" s="1"/>
  <c r="L97" i="2"/>
  <c r="S123" i="2"/>
  <c r="O136" i="2"/>
  <c r="L132" i="2"/>
  <c r="J139" i="2"/>
  <c r="B139" i="2" s="1"/>
  <c r="L119" i="2"/>
  <c r="J126" i="2"/>
  <c r="B126" i="2" s="1"/>
  <c r="J123" i="2"/>
  <c r="B121" i="2" s="1"/>
  <c r="O123" i="2"/>
  <c r="R126" i="2"/>
  <c r="S126" i="2" s="1"/>
  <c r="R110" i="2"/>
  <c r="S110" i="2" s="1"/>
  <c r="L106" i="2"/>
  <c r="J110" i="2"/>
  <c r="B108" i="2" s="1"/>
  <c r="L110" i="2"/>
  <c r="B113" i="2"/>
  <c r="L105" i="2"/>
  <c r="J97" i="2"/>
  <c r="B95" i="2" s="1"/>
  <c r="L93" i="2"/>
  <c r="J87" i="2"/>
  <c r="B87" i="2" s="1"/>
  <c r="L79" i="2"/>
  <c r="J84" i="2"/>
  <c r="B82" i="2" s="1"/>
  <c r="R97" i="2"/>
  <c r="S97" i="2" s="1"/>
  <c r="L92" i="2"/>
  <c r="O84" i="2"/>
  <c r="R87" i="2"/>
  <c r="S87" i="2" s="1"/>
  <c r="N61" i="2" l="1"/>
  <c r="O61" i="2" s="1"/>
  <c r="R60" i="2"/>
  <c r="B60" i="2" s="1"/>
  <c r="B59" i="2"/>
  <c r="R61" i="2" s="1"/>
  <c r="N58" i="2"/>
  <c r="L58" i="2" s="1"/>
  <c r="R57" i="2"/>
  <c r="B55" i="2" s="1"/>
  <c r="S61" i="2" l="1"/>
  <c r="L61" i="2"/>
  <c r="J58" i="2"/>
  <c r="B56" i="2" s="1"/>
  <c r="L54" i="2"/>
  <c r="O58" i="2"/>
  <c r="J61" i="2"/>
  <c r="B61" i="2" s="1"/>
  <c r="R58" i="2"/>
  <c r="S58" i="2" s="1"/>
  <c r="L53" i="2"/>
  <c r="N48" i="2"/>
  <c r="O48" i="2" s="1"/>
  <c r="L48" i="2"/>
  <c r="R47" i="2"/>
  <c r="B47" i="2" s="1"/>
  <c r="B46" i="2"/>
  <c r="N45" i="2"/>
  <c r="L45" i="2" s="1"/>
  <c r="R44" i="2"/>
  <c r="B42" i="2" s="1"/>
  <c r="R45" i="2"/>
  <c r="L40" i="2"/>
  <c r="N35" i="2"/>
  <c r="O35" i="2" s="1"/>
  <c r="L35" i="2"/>
  <c r="R34" i="2"/>
  <c r="B34" i="2" s="1"/>
  <c r="B33" i="2"/>
  <c r="L28" i="2" s="1"/>
  <c r="N32" i="2"/>
  <c r="O32" i="2" s="1"/>
  <c r="R31" i="2"/>
  <c r="B29" i="2" s="1"/>
  <c r="R32" i="2" l="1"/>
  <c r="S32" i="2" s="1"/>
  <c r="J35" i="2"/>
  <c r="B35" i="2" s="1"/>
  <c r="J32" i="2"/>
  <c r="B30" i="2" s="1"/>
  <c r="S45" i="2"/>
  <c r="L41" i="2"/>
  <c r="J48" i="2"/>
  <c r="B48" i="2" s="1"/>
  <c r="J45" i="2"/>
  <c r="B43" i="2" s="1"/>
  <c r="O45" i="2"/>
  <c r="R48" i="2"/>
  <c r="S48" i="2" s="1"/>
  <c r="L27" i="2"/>
  <c r="R35" i="2"/>
  <c r="S35" i="2" s="1"/>
  <c r="B20" i="2"/>
  <c r="R18" i="2" l="1"/>
  <c r="B16" i="2" s="1"/>
  <c r="D3" i="2"/>
  <c r="N22" i="2" l="1"/>
  <c r="O22" i="2" s="1"/>
  <c r="L22" i="2"/>
  <c r="R22" i="2"/>
  <c r="N19" i="2"/>
  <c r="R21" i="2"/>
  <c r="B21" i="2" s="1"/>
  <c r="B4" i="2"/>
  <c r="D2" i="2"/>
  <c r="D1" i="2"/>
  <c r="M66" i="2" l="1"/>
  <c r="M67" i="2"/>
  <c r="M157" i="2"/>
  <c r="M170" i="2"/>
  <c r="M183" i="2"/>
  <c r="M158" i="2"/>
  <c r="M171" i="2"/>
  <c r="M197" i="2"/>
  <c r="N197" i="2" s="1"/>
  <c r="M184" i="2"/>
  <c r="M144" i="2"/>
  <c r="M145" i="2"/>
  <c r="M131" i="2"/>
  <c r="M80" i="2"/>
  <c r="M118" i="2"/>
  <c r="M105" i="2"/>
  <c r="M119" i="2"/>
  <c r="M92" i="2"/>
  <c r="M79" i="2"/>
  <c r="M106" i="2"/>
  <c r="M132" i="2"/>
  <c r="M93" i="2"/>
  <c r="M54" i="2"/>
  <c r="M53" i="2"/>
  <c r="M28" i="2"/>
  <c r="M40" i="2"/>
  <c r="M41" i="2"/>
  <c r="M27" i="2"/>
  <c r="S22" i="2"/>
  <c r="J19" i="2"/>
  <c r="B17" i="2" s="1"/>
  <c r="R19" i="2"/>
  <c r="S19" i="2" s="1"/>
  <c r="O19" i="2"/>
  <c r="J22" i="2"/>
  <c r="B22" i="2" s="1"/>
  <c r="L14" i="2"/>
  <c r="M14" i="2" s="1"/>
  <c r="L15" i="2"/>
  <c r="M15" i="2" s="1"/>
  <c r="L196" i="2" l="1"/>
  <c r="M196" i="2" s="1"/>
  <c r="N196" i="2" s="1"/>
  <c r="R201" i="2"/>
  <c r="S201" i="2" s="1"/>
  <c r="J201" i="2"/>
  <c r="B199" i="2" s="1"/>
  <c r="J204" i="2"/>
  <c r="B204" i="2" s="1"/>
</calcChain>
</file>

<file path=xl/sharedStrings.xml><?xml version="1.0" encoding="utf-8"?>
<sst xmlns="http://schemas.openxmlformats.org/spreadsheetml/2006/main" count="1648" uniqueCount="110">
  <si>
    <t>f'c =</t>
  </si>
  <si>
    <t>MPa</t>
  </si>
  <si>
    <t>ksi</t>
  </si>
  <si>
    <t>fy =</t>
  </si>
  <si>
    <t>phi * vc =</t>
  </si>
  <si>
    <t xml:space="preserve">phi = </t>
  </si>
  <si>
    <t>rho min =</t>
  </si>
  <si>
    <t>rho max =</t>
  </si>
  <si>
    <t>minSpac =</t>
  </si>
  <si>
    <t>mm</t>
  </si>
  <si>
    <t>clrCover =</t>
  </si>
  <si>
    <t>Beam</t>
  </si>
  <si>
    <t>P</t>
  </si>
  <si>
    <t>Vy</t>
  </si>
  <si>
    <t>Vz</t>
  </si>
  <si>
    <t>My</t>
  </si>
  <si>
    <t>Mz</t>
  </si>
  <si>
    <t>b =</t>
  </si>
  <si>
    <t>kN</t>
  </si>
  <si>
    <t>kNm</t>
  </si>
  <si>
    <t>links:</t>
  </si>
  <si>
    <t>fys =</t>
  </si>
  <si>
    <t>h =</t>
  </si>
  <si>
    <t>main:</t>
  </si>
  <si>
    <t>Top</t>
  </si>
  <si>
    <t>mm2</t>
  </si>
  <si>
    <t>d =</t>
  </si>
  <si>
    <t>As (mm2) =</t>
  </si>
  <si>
    <t>mCap (kNm)=</t>
  </si>
  <si>
    <t>vu</t>
  </si>
  <si>
    <t>vs</t>
  </si>
  <si>
    <t>legs</t>
  </si>
  <si>
    <t>linkSpac</t>
  </si>
  <si>
    <t>( + Side, bottom for Robot)</t>
  </si>
  <si>
    <t>Design Data</t>
  </si>
  <si>
    <t>pcs</t>
  </si>
  <si>
    <t>spac</t>
  </si>
  <si>
    <t>layers</t>
  </si>
  <si>
    <t>basePc</t>
  </si>
  <si>
    <t>Bottom</t>
  </si>
  <si>
    <t>rho =</t>
  </si>
  <si>
    <t>B</t>
  </si>
  <si>
    <t>H</t>
  </si>
  <si>
    <t>LEFT SUPPORT / END</t>
  </si>
  <si>
    <t>TOP</t>
  </si>
  <si>
    <t>BOTTOM</t>
  </si>
  <si>
    <t>MIDSPAN</t>
  </si>
  <si>
    <t>RIGHT SUPPORT / END</t>
  </si>
  <si>
    <t>STIRRUPS / LINKS</t>
  </si>
  <si>
    <t>TYPE</t>
  </si>
  <si>
    <t>SPACING</t>
  </si>
  <si>
    <t>REMARKS</t>
  </si>
  <si>
    <t>BEAM  MARK</t>
  </si>
  <si>
    <t>L</t>
  </si>
  <si>
    <t>x1</t>
  </si>
  <si>
    <t>y1</t>
  </si>
  <si>
    <t>z1</t>
  </si>
  <si>
    <t>x2</t>
  </si>
  <si>
    <t>y2</t>
  </si>
  <si>
    <t>z2</t>
  </si>
  <si>
    <t>start_node</t>
  </si>
  <si>
    <t>end_node</t>
  </si>
  <si>
    <t>bar_id</t>
  </si>
  <si>
    <t>storey</t>
  </si>
  <si>
    <t>Vmax</t>
  </si>
  <si>
    <t>Mmin</t>
  </si>
  <si>
    <t>Mmax</t>
  </si>
  <si>
    <t xml:space="preserve"> </t>
  </si>
  <si>
    <t>Top Bars</t>
  </si>
  <si>
    <t>Bottom Bars</t>
  </si>
  <si>
    <t>d taken from Top</t>
  </si>
  <si>
    <t>d taken from Bottom</t>
  </si>
  <si>
    <t>innLayer</t>
  </si>
  <si>
    <t>Validations</t>
  </si>
  <si>
    <t>minAst</t>
  </si>
  <si>
    <t>Ast</t>
  </si>
  <si>
    <t>left intentionally as blank</t>
  </si>
  <si>
    <t>MB-1</t>
  </si>
  <si>
    <t>MB-2</t>
  </si>
  <si>
    <t>MB-3</t>
  </si>
  <si>
    <t>MB-4</t>
  </si>
  <si>
    <t>2G-1</t>
  </si>
  <si>
    <t>2G-1A</t>
  </si>
  <si>
    <t>MG-1</t>
  </si>
  <si>
    <t>MG-1A</t>
  </si>
  <si>
    <t>MG-2</t>
  </si>
  <si>
    <t>MG-3</t>
  </si>
  <si>
    <t>MG-6</t>
  </si>
  <si>
    <t>MG-5</t>
  </si>
  <si>
    <t>MG-4</t>
  </si>
  <si>
    <t>FTB-1</t>
  </si>
  <si>
    <t>FTB-2</t>
  </si>
  <si>
    <t>FTB-3</t>
  </si>
  <si>
    <t>2G-1B</t>
  </si>
  <si>
    <t>2G-2</t>
  </si>
  <si>
    <t>2G-3</t>
  </si>
  <si>
    <t>2G-4</t>
  </si>
  <si>
    <t xml:space="preserve"> 249 250 255 258 261 460 461 467 492 2042 2044 2081 2092 2093 2100 2120 2126   2127 2129 2133 2145 2154 2165 2172 2183 2187 2189 2214 2215 2264 2265   2271to2273 2279 2280 2322 2324 2332 2345 100521 100522 100526 100527 100530  </t>
  </si>
  <si>
    <t>2G-4A</t>
  </si>
  <si>
    <t xml:space="preserve"> 171 188 195to197 199 200 263  </t>
  </si>
  <si>
    <t>2G-5</t>
  </si>
  <si>
    <t>with planted columns</t>
  </si>
  <si>
    <t>2G-5A</t>
  </si>
  <si>
    <t xml:space="preserve"> 292 295 296 299 342 370 372to393By7 373 385 390 391 457 2041 2048 2057 2062   2143 2180 2181 2205 2206 2222 2227 2255to2262 2268to2270 100511 100512   100514to100519 100523 100528 100529 100657 100658 100942  </t>
  </si>
  <si>
    <t xml:space="preserve"> 98 2035 2106 2176 2346 2352 2354 100508 100509  </t>
  </si>
  <si>
    <t>2G-6</t>
  </si>
  <si>
    <t xml:space="preserve"> 47 2050 2063to2075 2077to2080 2095 2096 2131 2134to2137 2141 2144 2162 2223   2224  </t>
  </si>
  <si>
    <t xml:space="preserve"> 466 2013to2021 2024 2025 2038 2039 2097to2099 2101to2105 2109 2111 2112 2119   2175 2193to2196 2198to2201 2221 2231to2237 2239 2241to2245 2250 2252to2254   2287to2292 2313 2314 2317 2318 2327 2337to2340 100520  </t>
  </si>
  <si>
    <t>2G-7</t>
  </si>
  <si>
    <t>2G-7A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</si>
</sst>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quot; mm&quot;"/>
  </numFmts>
  <fonts count="13" x14ac:knownFonts="1">
    <font>
      <sz val="11"/>
      <color theme="1"/>
      <name val="Calibri"/>
      <family val="2"/>
      <scheme val="minor"/>
    </font>
    <font>
      <i/>
      <sz val="10"/>
      <color theme="1"/>
      <name val="Arial"/>
      <family val="2"/>
    </font>
    <font>
      <i/>
      <sz val="10"/>
      <color rgb="FF0000FF"/>
      <name val="Arial"/>
      <family val="2"/>
    </font>
    <font>
      <i/>
      <sz val="10"/>
      <name val="Arial"/>
      <family val="2"/>
    </font>
    <font>
      <sz val="10"/>
      <color theme="1"/>
      <name val="Arial"/>
      <family val="2"/>
    </font>
    <font>
      <sz val="10"/>
      <color theme="0"/>
      <name val="Arial"/>
      <family val="2"/>
    </font>
    <font>
      <b/>
      <i/>
      <sz val="10"/>
      <color rgb="FF0000FF"/>
      <name val="Arial"/>
      <family val="2"/>
    </font>
    <font>
      <b/>
      <i/>
      <sz val="10"/>
      <color theme="1"/>
      <name val="Arial"/>
      <family val="2"/>
    </font>
    <font>
      <i/>
      <sz val="8"/>
      <color theme="1"/>
      <name val="Arial"/>
      <family val="2"/>
    </font>
    <font>
      <sz val="12"/>
      <color theme="1"/>
      <name val="RomanD"/>
    </font>
    <font>
      <b/>
      <i/>
      <sz val="11"/>
      <color rgb="FF000000"/>
      <name val="Arial"/>
      <family val="2"/>
    </font>
    <font>
      <sz val="8"/>
      <color rgb="FF242729"/>
      <name val="Consolas"/>
      <family val="3"/>
    </font>
    <font>
      <b/>
      <i/>
      <sz val="10"/>
      <color theme="0"/>
      <name val="Arial"/>
      <family val="2"/>
    </font>
  </fonts>
  <fills count="4">
    <fill>
      <patternFill patternType="none"/>
    </fill>
    <fill>
      <patternFill patternType="gray125"/>
    </fill>
    <fill>
      <patternFill patternType="solid">
        <fgColor theme="0" tint="-0.14999847407452621"/>
        <bgColor indexed="64"/>
      </patternFill>
    </fill>
    <fill>
      <patternFill patternType="solid">
        <fgColor rgb="FFC00000"/>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84">
    <xf numFmtId="0" fontId="0" fillId="0" borderId="0" xfId="0"/>
    <xf numFmtId="0" fontId="1" fillId="0" borderId="0" xfId="0" applyFont="1" applyAlignment="1">
      <alignment horizontal="right" vertical="center"/>
    </xf>
    <xf numFmtId="0" fontId="2" fillId="0" borderId="0" xfId="0" applyFont="1" applyAlignment="1">
      <alignment horizontal="center" vertical="center"/>
    </xf>
    <xf numFmtId="0" fontId="1" fillId="0" borderId="0" xfId="0" quotePrefix="1" applyFont="1" applyAlignment="1">
      <alignment horizontal="center" vertical="center"/>
    </xf>
    <xf numFmtId="1" fontId="3" fillId="0" borderId="0" xfId="0" applyNumberFormat="1" applyFont="1" applyAlignment="1">
      <alignment horizontal="center" vertical="center"/>
    </xf>
    <xf numFmtId="0" fontId="4" fillId="0" borderId="0" xfId="0" applyFont="1"/>
    <xf numFmtId="0" fontId="5" fillId="0" borderId="0" xfId="0" applyFont="1"/>
    <xf numFmtId="0" fontId="4" fillId="0" borderId="0" xfId="0" applyFont="1" applyAlignment="1">
      <alignment horizontal="center" vertical="center"/>
    </xf>
    <xf numFmtId="0" fontId="4" fillId="0" borderId="0" xfId="0" applyFont="1" applyAlignment="1">
      <alignment horizontal="center"/>
    </xf>
    <xf numFmtId="164" fontId="3" fillId="0" borderId="0" xfId="0" applyNumberFormat="1" applyFont="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1" fillId="0" borderId="4" xfId="0" applyFont="1" applyBorder="1" applyAlignment="1">
      <alignment horizontal="right" vertical="center"/>
    </xf>
    <xf numFmtId="0" fontId="4" fillId="0" borderId="5" xfId="0" applyFont="1" applyBorder="1" applyAlignment="1">
      <alignment horizontal="center" vertical="center"/>
    </xf>
    <xf numFmtId="0" fontId="1" fillId="0" borderId="6" xfId="0" applyFont="1" applyBorder="1" applyAlignment="1">
      <alignment horizontal="right" vertical="center"/>
    </xf>
    <xf numFmtId="0" fontId="2" fillId="0" borderId="6" xfId="0" applyFont="1" applyBorder="1" applyAlignment="1">
      <alignment horizontal="center" vertical="center"/>
    </xf>
    <xf numFmtId="0" fontId="1" fillId="0" borderId="6" xfId="0" quotePrefix="1" applyFont="1" applyBorder="1" applyAlignment="1">
      <alignment horizontal="center" vertical="center"/>
    </xf>
    <xf numFmtId="2" fontId="7" fillId="2" borderId="6"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5" xfId="0" applyNumberFormat="1" applyFont="1" applyBorder="1" applyAlignment="1">
      <alignment horizontal="center" vertical="center"/>
    </xf>
    <xf numFmtId="0" fontId="4" fillId="0" borderId="4" xfId="0" applyFont="1" applyBorder="1" applyAlignment="1">
      <alignment horizontal="center"/>
    </xf>
    <xf numFmtId="1" fontId="1" fillId="0" borderId="6" xfId="0" applyNumberFormat="1" applyFont="1" applyBorder="1" applyAlignment="1">
      <alignment horizontal="center" vertical="center"/>
    </xf>
    <xf numFmtId="0" fontId="1" fillId="0" borderId="6" xfId="0" applyFont="1" applyBorder="1" applyAlignment="1">
      <alignment horizontal="center" vertical="center"/>
    </xf>
    <xf numFmtId="0" fontId="8" fillId="0" borderId="4" xfId="0" applyFont="1" applyBorder="1" applyAlignment="1">
      <alignment horizontal="left"/>
    </xf>
    <xf numFmtId="164" fontId="1" fillId="0" borderId="6" xfId="0" applyNumberFormat="1" applyFont="1" applyBorder="1" applyAlignment="1">
      <alignment horizontal="center"/>
    </xf>
    <xf numFmtId="2" fontId="1" fillId="0" borderId="6" xfId="0" applyNumberFormat="1" applyFont="1" applyBorder="1" applyAlignment="1">
      <alignment horizontal="center" vertical="center"/>
    </xf>
    <xf numFmtId="1" fontId="3" fillId="0" borderId="6" xfId="0" applyNumberFormat="1" applyFont="1" applyBorder="1" applyAlignment="1">
      <alignment horizontal="center" vertical="center"/>
    </xf>
    <xf numFmtId="0" fontId="1" fillId="0" borderId="9" xfId="0" applyFont="1" applyBorder="1" applyAlignment="1">
      <alignment horizontal="right" vertical="center"/>
    </xf>
    <xf numFmtId="2" fontId="4" fillId="0" borderId="10" xfId="0" applyNumberFormat="1" applyFont="1" applyBorder="1" applyAlignment="1">
      <alignment horizontal="center" vertical="center"/>
    </xf>
    <xf numFmtId="0" fontId="4" fillId="0" borderId="0" xfId="0" applyFont="1" applyAlignment="1">
      <alignment horizontal="right"/>
    </xf>
    <xf numFmtId="0" fontId="9" fillId="0" borderId="6" xfId="0" applyFont="1" applyBorder="1" applyAlignment="1">
      <alignment horizontal="center" vertical="center"/>
    </xf>
    <xf numFmtId="0" fontId="9" fillId="0" borderId="0" xfId="0" applyFont="1" applyAlignment="1">
      <alignment horizontal="center" vertical="center"/>
    </xf>
    <xf numFmtId="0" fontId="0" fillId="0" borderId="0" xfId="0" applyAlignment="1">
      <alignment horizontal="center" vertical="center"/>
    </xf>
    <xf numFmtId="0" fontId="11" fillId="0" borderId="0" xfId="0" applyFont="1"/>
    <xf numFmtId="0" fontId="1" fillId="0" borderId="0" xfId="0" applyFont="1" applyAlignment="1">
      <alignment horizontal="left"/>
    </xf>
    <xf numFmtId="0" fontId="1" fillId="0" borderId="11" xfId="0" applyFont="1" applyBorder="1" applyAlignment="1">
      <alignment horizontal="center" vertical="center"/>
    </xf>
    <xf numFmtId="1" fontId="4" fillId="0" borderId="0" xfId="0" applyNumberFormat="1" applyFont="1" applyAlignment="1">
      <alignment horizontal="center"/>
    </xf>
    <xf numFmtId="0" fontId="1" fillId="0" borderId="6" xfId="0" applyFont="1" applyBorder="1" applyAlignment="1">
      <alignment horizontal="right"/>
    </xf>
    <xf numFmtId="1" fontId="1" fillId="0" borderId="6" xfId="0" applyNumberFormat="1" applyFont="1" applyBorder="1" applyAlignment="1">
      <alignment horizontal="center"/>
    </xf>
    <xf numFmtId="1" fontId="1" fillId="0" borderId="13" xfId="0" applyNumberFormat="1" applyFont="1" applyBorder="1" applyAlignment="1">
      <alignment horizontal="center" vertical="center"/>
    </xf>
    <xf numFmtId="0" fontId="1" fillId="0" borderId="13" xfId="0" quotePrefix="1" applyFont="1" applyBorder="1" applyAlignment="1">
      <alignment horizontal="center" vertical="center"/>
    </xf>
    <xf numFmtId="166" fontId="2" fillId="0" borderId="6" xfId="0" applyNumberFormat="1" applyFont="1" applyBorder="1" applyAlignment="1">
      <alignment horizontal="center" vertical="center"/>
    </xf>
    <xf numFmtId="0" fontId="1" fillId="0" borderId="11" xfId="0" applyFont="1" applyBorder="1" applyAlignment="1">
      <alignment horizontal="center" vertical="center"/>
    </xf>
    <xf numFmtId="2" fontId="4" fillId="0" borderId="0" xfId="0" applyNumberFormat="1" applyFont="1" applyAlignment="1">
      <alignment horizontal="center" vertical="center"/>
    </xf>
    <xf numFmtId="0" fontId="4" fillId="0" borderId="10" xfId="0" applyFont="1" applyBorder="1" applyAlignment="1">
      <alignment horizontal="center" vertical="center"/>
    </xf>
    <xf numFmtId="0" fontId="4" fillId="0" borderId="12" xfId="0" applyFont="1" applyBorder="1" applyAlignment="1">
      <alignment horizontal="center" vertical="center"/>
    </xf>
    <xf numFmtId="2" fontId="7" fillId="2" borderId="12" xfId="0" applyNumberFormat="1" applyFont="1" applyFill="1" applyBorder="1" applyAlignment="1">
      <alignment horizontal="center" vertical="center"/>
    </xf>
    <xf numFmtId="2" fontId="7" fillId="2" borderId="8" xfId="0" applyNumberFormat="1" applyFont="1" applyFill="1" applyBorder="1" applyAlignment="1">
      <alignment horizontal="center" vertical="center"/>
    </xf>
    <xf numFmtId="0" fontId="2" fillId="0" borderId="5" xfId="0" applyFont="1" applyBorder="1" applyAlignment="1">
      <alignment horizontal="center" vertical="center"/>
    </xf>
    <xf numFmtId="0" fontId="1" fillId="0" borderId="5" xfId="0" applyFont="1" applyBorder="1" applyAlignment="1">
      <alignment horizontal="center" vertical="center"/>
    </xf>
    <xf numFmtId="1" fontId="1" fillId="0" borderId="5" xfId="0" applyNumberFormat="1" applyFont="1" applyBorder="1" applyAlignment="1">
      <alignment horizontal="center" vertical="center"/>
    </xf>
    <xf numFmtId="165" fontId="1" fillId="0" borderId="5" xfId="0" applyNumberFormat="1" applyFont="1" applyBorder="1" applyAlignment="1">
      <alignment horizontal="center" vertical="center"/>
    </xf>
    <xf numFmtId="165" fontId="1" fillId="0" borderId="12" xfId="0" applyNumberFormat="1" applyFont="1" applyBorder="1" applyAlignment="1">
      <alignment horizontal="center" vertical="center"/>
    </xf>
    <xf numFmtId="2" fontId="4" fillId="0" borderId="9" xfId="0" applyNumberFormat="1" applyFont="1" applyBorder="1" applyAlignment="1">
      <alignment horizontal="center" vertical="center"/>
    </xf>
    <xf numFmtId="2" fontId="4" fillId="0" borderId="3" xfId="0" applyNumberFormat="1" applyFont="1" applyBorder="1" applyAlignment="1">
      <alignment horizontal="center" vertical="center"/>
    </xf>
    <xf numFmtId="2" fontId="4" fillId="0" borderId="12" xfId="0" applyNumberFormat="1" applyFont="1" applyBorder="1" applyAlignment="1">
      <alignment horizontal="center" vertical="center"/>
    </xf>
    <xf numFmtId="0" fontId="4" fillId="0" borderId="7" xfId="0" applyFont="1" applyBorder="1"/>
    <xf numFmtId="0" fontId="4" fillId="0" borderId="14" xfId="0" applyFont="1" applyBorder="1"/>
    <xf numFmtId="0" fontId="4" fillId="0" borderId="8" xfId="0" applyFont="1" applyBorder="1" applyAlignment="1">
      <alignment horizontal="center" vertical="center"/>
    </xf>
    <xf numFmtId="0" fontId="1" fillId="0" borderId="7" xfId="0" applyFont="1" applyBorder="1" applyAlignment="1">
      <alignment horizontal="left"/>
    </xf>
    <xf numFmtId="0" fontId="1" fillId="0" borderId="14" xfId="0" applyFont="1" applyBorder="1" applyAlignment="1">
      <alignment horizontal="right"/>
    </xf>
    <xf numFmtId="0" fontId="1" fillId="0" borderId="8" xfId="0" applyFont="1" applyBorder="1" applyAlignment="1">
      <alignment horizontal="right"/>
    </xf>
    <xf numFmtId="0" fontId="6" fillId="0" borderId="6" xfId="0" applyFont="1" applyBorder="1" applyAlignment="1">
      <alignment horizontal="center" vertical="center"/>
    </xf>
    <xf numFmtId="2" fontId="4" fillId="0" borderId="2" xfId="0" applyNumberFormat="1" applyFont="1" applyBorder="1" applyAlignment="1">
      <alignment horizontal="center" vertical="center"/>
    </xf>
    <xf numFmtId="2" fontId="4" fillId="0" borderId="4" xfId="0" applyNumberFormat="1" applyFont="1" applyBorder="1" applyAlignment="1">
      <alignment horizontal="center" vertical="center"/>
    </xf>
    <xf numFmtId="0" fontId="12" fillId="0" borderId="0" xfId="0" applyFont="1" applyFill="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7" xfId="0" applyFont="1" applyBorder="1" applyAlignment="1">
      <alignment horizontal="center"/>
    </xf>
    <xf numFmtId="0" fontId="1" fillId="0" borderId="8" xfId="0" applyFont="1" applyBorder="1" applyAlignment="1">
      <alignment horizont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1" xfId="0" applyFont="1" applyBorder="1" applyAlignment="1">
      <alignment horizontal="center" vertical="center"/>
    </xf>
    <xf numFmtId="0" fontId="1" fillId="0" borderId="9" xfId="0" applyFont="1" applyBorder="1" applyAlignment="1">
      <alignment horizontal="center" vertical="center"/>
    </xf>
    <xf numFmtId="0" fontId="1" fillId="0" borderId="11" xfId="0" applyFont="1" applyBorder="1" applyAlignment="1">
      <alignment horizontal="center" vertical="center"/>
    </xf>
    <xf numFmtId="0" fontId="1" fillId="0" borderId="13" xfId="0" applyFont="1" applyBorder="1" applyAlignment="1">
      <alignment horizontal="center" vertical="center"/>
    </xf>
    <xf numFmtId="0" fontId="1" fillId="0" borderId="3" xfId="0" applyFont="1" applyBorder="1" applyAlignment="1">
      <alignment horizontal="center" vertical="center"/>
    </xf>
    <xf numFmtId="0" fontId="1" fillId="0" borderId="12" xfId="0" applyFont="1" applyBorder="1" applyAlignment="1">
      <alignment horizontal="center" vertical="center"/>
    </xf>
    <xf numFmtId="0" fontId="9" fillId="0" borderId="6" xfId="0" applyFont="1" applyBorder="1" applyAlignment="1">
      <alignment horizontal="center" vertical="center"/>
    </xf>
    <xf numFmtId="0" fontId="9" fillId="0" borderId="6" xfId="0" applyFont="1" applyBorder="1" applyAlignment="1">
      <alignment horizontal="center" vertical="center" wrapText="1"/>
    </xf>
    <xf numFmtId="0" fontId="6" fillId="0" borderId="6" xfId="0" applyFont="1" applyFill="1" applyBorder="1" applyAlignment="1">
      <alignment horizontal="center" vertical="center"/>
    </xf>
    <xf numFmtId="0" fontId="6" fillId="3" borderId="6" xfId="0" applyFont="1" applyFill="1" applyBorder="1" applyAlignment="1">
      <alignment horizontal="center" vertical="center"/>
    </xf>
    <xf numFmtId="0" fontId="1" fillId="0" borderId="0" xfId="0" quotePrefix="1" applyFont="1" applyAlignment="1">
      <alignment horizontal="left" vertical="center"/>
    </xf>
  </cellXfs>
  <cellStyles count="1">
    <cellStyle name="Normal" xfId="0" builtinId="0"/>
  </cellStyles>
  <dxfs count="156">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91440</xdr:rowOff>
        </xdr:from>
        <xdr:to>
          <xdr:col>10</xdr:col>
          <xdr:colOff>251460</xdr:colOff>
          <xdr:row>2</xdr:row>
          <xdr:rowOff>91440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Add Beam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167640</xdr:colOff>
          <xdr:row>0</xdr:row>
          <xdr:rowOff>91440</xdr:rowOff>
        </xdr:from>
        <xdr:to>
          <xdr:col>1</xdr:col>
          <xdr:colOff>594360</xdr:colOff>
          <xdr:row>1</xdr:row>
          <xdr:rowOff>198120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Generate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129540</xdr:colOff>
          <xdr:row>0</xdr:row>
          <xdr:rowOff>91440</xdr:rowOff>
        </xdr:from>
        <xdr:to>
          <xdr:col>3</xdr:col>
          <xdr:colOff>419100</xdr:colOff>
          <xdr:row>1</xdr:row>
          <xdr:rowOff>198120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396240</xdr:colOff>
          <xdr:row>1</xdr:row>
          <xdr:rowOff>91440</xdr:rowOff>
        </xdr:from>
        <xdr:to>
          <xdr:col>18</xdr:col>
          <xdr:colOff>342900</xdr:colOff>
          <xdr:row>3</xdr:row>
          <xdr:rowOff>99060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Exec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348"/>
  <sheetViews>
    <sheetView tabSelected="1" view="pageBreakPreview" zoomScaleNormal="100" zoomScaleSheetLayoutView="100" workbookViewId="0">
      <pane ySplit="1344" topLeftCell="A324" activePane="bottomLeft"/>
      <selection activeCell="L2" sqref="L2"/>
      <selection pane="bottomLeft" activeCell="I327" sqref="I327"/>
    </sheetView>
  </sheetViews>
  <sheetFormatPr defaultRowHeight="13.2" x14ac:dyDescent="0.25"/>
  <cols>
    <col min="1" max="1" width="16.77734375" style="29" customWidth="1"/>
    <col min="2" max="2" width="10.77734375" style="5" customWidth="1"/>
    <col min="3" max="7" width="8.77734375" style="5" customWidth="1"/>
    <col min="8" max="8" width="2.77734375" style="5" customWidth="1"/>
    <col min="9" max="10" width="8.77734375" style="5" customWidth="1"/>
    <col min="11" max="11" width="5.77734375" style="7" customWidth="1"/>
    <col min="12" max="12" width="6.77734375" style="8" customWidth="1"/>
    <col min="13" max="13" width="6.77734375" style="5" customWidth="1"/>
    <col min="14" max="15" width="8.77734375" style="5" customWidth="1"/>
    <col min="16" max="16" width="2.77734375" style="5" customWidth="1"/>
    <col min="17" max="17" width="8.77734375" style="29" customWidth="1"/>
    <col min="18" max="18" width="6.77734375" style="8" customWidth="1"/>
    <col min="19" max="19" width="6.77734375" style="7" customWidth="1"/>
    <col min="20" max="16384" width="8.88671875" style="5"/>
  </cols>
  <sheetData>
    <row r="1" spans="1:16" x14ac:dyDescent="0.25">
      <c r="A1" s="1" t="s">
        <v>0</v>
      </c>
      <c r="B1" s="2">
        <v>27</v>
      </c>
      <c r="C1" s="3" t="s">
        <v>1</v>
      </c>
      <c r="D1" s="4">
        <f>B1*145.0377/1000</f>
        <v>3.9160178999999999</v>
      </c>
      <c r="E1" s="3" t="s">
        <v>2</v>
      </c>
      <c r="H1" s="6">
        <v>16</v>
      </c>
    </row>
    <row r="2" spans="1:16" x14ac:dyDescent="0.25">
      <c r="A2" s="1" t="s">
        <v>3</v>
      </c>
      <c r="B2" s="2">
        <v>414</v>
      </c>
      <c r="C2" s="3" t="s">
        <v>1</v>
      </c>
      <c r="D2" s="4">
        <f>B2*145.0377/1000</f>
        <v>60.045607799999999</v>
      </c>
      <c r="E2" s="3" t="s">
        <v>2</v>
      </c>
      <c r="H2" s="6">
        <v>20</v>
      </c>
    </row>
    <row r="3" spans="1:16" x14ac:dyDescent="0.25">
      <c r="A3" s="1" t="s">
        <v>21</v>
      </c>
      <c r="B3" s="2">
        <v>275</v>
      </c>
      <c r="C3" s="3" t="s">
        <v>1</v>
      </c>
      <c r="D3" s="4">
        <f>B3*145.0377/1000</f>
        <v>39.885367500000001</v>
      </c>
      <c r="E3" s="3" t="s">
        <v>2</v>
      </c>
      <c r="H3" s="6">
        <v>25</v>
      </c>
    </row>
    <row r="4" spans="1:16" x14ac:dyDescent="0.25">
      <c r="A4" s="1" t="s">
        <v>4</v>
      </c>
      <c r="B4" s="9">
        <f>0.75*0.17*SQRT(fc)</f>
        <v>0.66250943389509565</v>
      </c>
      <c r="C4" s="3" t="s">
        <v>1</v>
      </c>
      <c r="D4" s="7"/>
      <c r="E4" s="7"/>
      <c r="H4" s="6"/>
    </row>
    <row r="5" spans="1:16" x14ac:dyDescent="0.25">
      <c r="A5" s="1" t="s">
        <v>5</v>
      </c>
      <c r="B5" s="2">
        <v>0.9</v>
      </c>
      <c r="C5" s="2">
        <v>0.75</v>
      </c>
      <c r="D5" s="7"/>
      <c r="E5" s="7"/>
      <c r="H5" s="6"/>
    </row>
    <row r="6" spans="1:16" x14ac:dyDescent="0.25">
      <c r="A6" s="1" t="s">
        <v>6</v>
      </c>
      <c r="B6" s="2">
        <v>3.3E-3</v>
      </c>
      <c r="H6" s="6">
        <v>1</v>
      </c>
    </row>
    <row r="7" spans="1:16" x14ac:dyDescent="0.25">
      <c r="A7" s="1" t="s">
        <v>7</v>
      </c>
      <c r="B7" s="2">
        <v>2.1399999999999999E-2</v>
      </c>
      <c r="H7" s="6">
        <v>2</v>
      </c>
    </row>
    <row r="8" spans="1:16" x14ac:dyDescent="0.25">
      <c r="A8" s="1" t="s">
        <v>8</v>
      </c>
      <c r="B8" s="2">
        <v>30</v>
      </c>
      <c r="C8" s="3" t="s">
        <v>9</v>
      </c>
      <c r="H8" s="6">
        <v>50</v>
      </c>
    </row>
    <row r="9" spans="1:16" x14ac:dyDescent="0.25">
      <c r="A9" s="1" t="s">
        <v>10</v>
      </c>
      <c r="B9" s="2">
        <v>40</v>
      </c>
      <c r="C9" s="3" t="s">
        <v>9</v>
      </c>
      <c r="E9" s="5" t="s">
        <v>67</v>
      </c>
      <c r="H9" s="6">
        <v>75</v>
      </c>
    </row>
    <row r="10" spans="1:16" x14ac:dyDescent="0.25">
      <c r="A10" s="65" t="s">
        <v>76</v>
      </c>
      <c r="H10" s="6">
        <v>100</v>
      </c>
    </row>
    <row r="11" spans="1:16" x14ac:dyDescent="0.25">
      <c r="A11" s="62" t="s">
        <v>90</v>
      </c>
      <c r="B11" s="11" t="s">
        <v>11</v>
      </c>
      <c r="C11" s="10" t="s">
        <v>12</v>
      </c>
      <c r="D11" s="10" t="s">
        <v>13</v>
      </c>
      <c r="E11" s="10" t="s">
        <v>14</v>
      </c>
      <c r="F11" s="10" t="s">
        <v>15</v>
      </c>
      <c r="G11" s="11" t="s">
        <v>16</v>
      </c>
      <c r="H11" s="6">
        <v>125</v>
      </c>
      <c r="I11" s="69" t="s">
        <v>34</v>
      </c>
      <c r="J11" s="70"/>
      <c r="K11" s="3"/>
    </row>
    <row r="12" spans="1:16" x14ac:dyDescent="0.25">
      <c r="A12" s="12" t="s">
        <v>17</v>
      </c>
      <c r="B12" s="48">
        <v>300</v>
      </c>
      <c r="C12" s="44" t="s">
        <v>18</v>
      </c>
      <c r="D12" s="44" t="s">
        <v>18</v>
      </c>
      <c r="E12" s="44" t="s">
        <v>18</v>
      </c>
      <c r="F12" s="44" t="s">
        <v>19</v>
      </c>
      <c r="G12" s="45" t="s">
        <v>19</v>
      </c>
      <c r="H12" s="6">
        <v>150</v>
      </c>
      <c r="I12" s="14" t="s">
        <v>20</v>
      </c>
      <c r="J12" s="15">
        <v>10</v>
      </c>
      <c r="K12" s="16" t="s">
        <v>9</v>
      </c>
      <c r="L12" s="22" t="s">
        <v>29</v>
      </c>
      <c r="M12" s="22" t="s">
        <v>30</v>
      </c>
      <c r="N12" s="22" t="s">
        <v>31</v>
      </c>
      <c r="O12" s="22" t="s">
        <v>32</v>
      </c>
      <c r="P12" s="3"/>
    </row>
    <row r="13" spans="1:16" x14ac:dyDescent="0.25">
      <c r="A13" s="12" t="s">
        <v>22</v>
      </c>
      <c r="B13" s="48">
        <v>600</v>
      </c>
      <c r="C13" s="46">
        <v>-575.80762125798606</v>
      </c>
      <c r="D13" s="43">
        <v>3.4420116550565205</v>
      </c>
      <c r="E13" s="43">
        <v>0</v>
      </c>
      <c r="F13" s="43">
        <v>83.521527061426298</v>
      </c>
      <c r="G13" s="54">
        <v>0</v>
      </c>
      <c r="H13" s="6">
        <v>175</v>
      </c>
      <c r="I13" s="56"/>
      <c r="J13" s="57"/>
      <c r="K13" s="58"/>
      <c r="L13" s="71" t="s">
        <v>1</v>
      </c>
      <c r="M13" s="72"/>
      <c r="N13" s="22" t="s">
        <v>35</v>
      </c>
      <c r="O13" s="22" t="s">
        <v>9</v>
      </c>
    </row>
    <row r="14" spans="1:16" x14ac:dyDescent="0.25">
      <c r="A14" s="20" t="s">
        <v>24</v>
      </c>
      <c r="B14" s="13"/>
      <c r="C14" s="47">
        <v>619.60121541108606</v>
      </c>
      <c r="D14" s="43">
        <v>0</v>
      </c>
      <c r="E14" s="43">
        <v>-94.805379219272297</v>
      </c>
      <c r="F14" s="43">
        <v>0</v>
      </c>
      <c r="G14" s="19">
        <v>12.414201492167976</v>
      </c>
      <c r="H14" s="6">
        <v>200</v>
      </c>
      <c r="I14" s="59" t="s">
        <v>70</v>
      </c>
      <c r="J14" s="60"/>
      <c r="K14" s="61"/>
      <c r="L14" s="25">
        <f>MAX(ABS(E17),ABS(E18))*1000/(B15*B12)</f>
        <v>1.0857361427424117</v>
      </c>
      <c r="M14" s="25">
        <f>L14-phiVc</f>
        <v>0.42322670884731606</v>
      </c>
      <c r="N14" s="26">
        <f>M14*O14*B12/(phiV*fys*0.25*PI()*(J12^2))</f>
        <v>0.78380942849820789</v>
      </c>
      <c r="O14" s="15">
        <v>100</v>
      </c>
    </row>
    <row r="15" spans="1:16" x14ac:dyDescent="0.25">
      <c r="A15" s="12" t="s">
        <v>26</v>
      </c>
      <c r="B15" s="49">
        <f>B13-clrCover-J12-(IF(M19&gt;1,1.5*J18,0.5*J18))</f>
        <v>540</v>
      </c>
      <c r="C15" s="43">
        <v>242.24780250240053</v>
      </c>
      <c r="D15" s="17">
        <v>-20.989573425694125</v>
      </c>
      <c r="E15" s="43">
        <v>7.0560574341028293</v>
      </c>
      <c r="F15" s="43">
        <v>56.796228892059169</v>
      </c>
      <c r="G15" s="19">
        <v>42.323485362625696</v>
      </c>
      <c r="H15" s="6">
        <v>250</v>
      </c>
      <c r="I15" s="59" t="s">
        <v>71</v>
      </c>
      <c r="J15" s="60"/>
      <c r="K15" s="61"/>
      <c r="L15" s="25">
        <f>MAX(ABS(E17),ABS(E18))*1000/(B20*B12)</f>
        <v>1.0857361427424117</v>
      </c>
      <c r="M15" s="25">
        <f>L15-phiVc</f>
        <v>0.42322670884731606</v>
      </c>
      <c r="N15" s="26">
        <f>M15*O15*B12/(phiV*fys*0.25*PI()*(J12^2))</f>
        <v>0.78380942849820789</v>
      </c>
      <c r="O15" s="15">
        <v>100</v>
      </c>
    </row>
    <row r="16" spans="1:16" x14ac:dyDescent="0.25">
      <c r="A16" s="12" t="s">
        <v>27</v>
      </c>
      <c r="B16" s="50">
        <f>K19*R18</f>
        <v>1256</v>
      </c>
      <c r="C16" s="43">
        <v>-244.95213794365515</v>
      </c>
      <c r="D16" s="17">
        <v>21.2921952366349</v>
      </c>
      <c r="E16" s="43">
        <v>-48.783153391416633</v>
      </c>
      <c r="F16" s="43">
        <v>-66.440336608767936</v>
      </c>
      <c r="G16" s="19">
        <v>-42.933693561048813</v>
      </c>
      <c r="H16" s="6">
        <v>300</v>
      </c>
    </row>
    <row r="17" spans="1:19" ht="14.4" customHeight="1" x14ac:dyDescent="0.25">
      <c r="A17" s="12" t="s">
        <v>28</v>
      </c>
      <c r="B17" s="51">
        <f>-phi*B12*(B15^2)*J19*fy*(1-(0.588*J19*fy/fc))/1000000</f>
        <v>-235.047177796608</v>
      </c>
      <c r="C17" s="43">
        <v>-29.138046342215493</v>
      </c>
      <c r="D17" s="43">
        <v>-12.889999733038406</v>
      </c>
      <c r="E17" s="17">
        <v>-175.88925512427068</v>
      </c>
      <c r="F17" s="43">
        <v>-222.95213695692763</v>
      </c>
      <c r="G17" s="19">
        <v>17.260976821526853</v>
      </c>
      <c r="I17" s="69" t="s">
        <v>68</v>
      </c>
      <c r="J17" s="70"/>
      <c r="K17" s="73" t="s">
        <v>35</v>
      </c>
      <c r="L17" s="35" t="s">
        <v>36</v>
      </c>
      <c r="M17" s="75" t="s">
        <v>37</v>
      </c>
      <c r="N17" s="77" t="s">
        <v>38</v>
      </c>
      <c r="O17" s="75" t="s">
        <v>72</v>
      </c>
      <c r="Q17" s="34" t="s">
        <v>73</v>
      </c>
    </row>
    <row r="18" spans="1:19" x14ac:dyDescent="0.25">
      <c r="A18" s="23" t="s">
        <v>33</v>
      </c>
      <c r="B18" s="13"/>
      <c r="C18" s="43">
        <v>-202.67277744124559</v>
      </c>
      <c r="D18" s="43">
        <v>-10.140277765825223</v>
      </c>
      <c r="E18" s="17">
        <v>167.5918989899167</v>
      </c>
      <c r="F18" s="43">
        <v>-174.88819214116282</v>
      </c>
      <c r="G18" s="19">
        <v>-11.137699833189403</v>
      </c>
      <c r="I18" s="14" t="s">
        <v>23</v>
      </c>
      <c r="J18" s="41">
        <v>20</v>
      </c>
      <c r="K18" s="74"/>
      <c r="L18" s="40" t="s">
        <v>9</v>
      </c>
      <c r="M18" s="76"/>
      <c r="N18" s="78"/>
      <c r="O18" s="76"/>
      <c r="Q18" s="14" t="s">
        <v>75</v>
      </c>
      <c r="R18" s="21">
        <f>IF(J18=16,201,IF(J18=20,314,IF(J18=25,490,"Err")))</f>
        <v>314</v>
      </c>
      <c r="S18" s="16" t="s">
        <v>25</v>
      </c>
    </row>
    <row r="19" spans="1:19" x14ac:dyDescent="0.25">
      <c r="A19" s="20" t="s">
        <v>39</v>
      </c>
      <c r="B19" s="13"/>
      <c r="C19" s="43">
        <v>-29.138046342215493</v>
      </c>
      <c r="D19" s="43">
        <v>-12.889999733038406</v>
      </c>
      <c r="E19" s="43">
        <v>-175.88925512427068</v>
      </c>
      <c r="F19" s="17">
        <v>-222.95213695692763</v>
      </c>
      <c r="G19" s="19">
        <v>17.260976821526853</v>
      </c>
      <c r="I19" s="14" t="s">
        <v>40</v>
      </c>
      <c r="J19" s="24">
        <f>MAX(rhoMin,(K19*R18/(B12*B15)))</f>
        <v>7.7530864197530866E-3</v>
      </c>
      <c r="K19" s="15">
        <v>4</v>
      </c>
      <c r="L19" s="39">
        <f>IF(M19&lt;2,(B12-(2*(J12+clrCover))-(K19*J18))/(K19-1),(B12-(2*(J12+clrCover))-(N19*J18))/((N19)-1))</f>
        <v>40</v>
      </c>
      <c r="M19" s="15">
        <v>1</v>
      </c>
      <c r="N19" s="22">
        <f>IF(M19&lt;2,K19,CEILING(K19/2,1))</f>
        <v>4</v>
      </c>
      <c r="O19" s="22">
        <f>K19-N19</f>
        <v>0</v>
      </c>
      <c r="Q19" s="37" t="s">
        <v>74</v>
      </c>
      <c r="R19" s="38">
        <f>rhoMin*B12*B15</f>
        <v>534.6</v>
      </c>
      <c r="S19" s="22">
        <f>ROUND(R19/R18,0)</f>
        <v>2</v>
      </c>
    </row>
    <row r="20" spans="1:19" x14ac:dyDescent="0.25">
      <c r="A20" s="12" t="s">
        <v>26</v>
      </c>
      <c r="B20" s="49">
        <f>B13-clrCover-J12-(IF(M22&gt;1,1.5*J21,0.5*J21))</f>
        <v>540</v>
      </c>
      <c r="C20" s="43">
        <v>-29.138046342215493</v>
      </c>
      <c r="D20" s="43">
        <v>-12.889999733038406</v>
      </c>
      <c r="E20" s="43">
        <v>-143.79143420409446</v>
      </c>
      <c r="F20" s="17">
        <v>194.18905695269609</v>
      </c>
      <c r="G20" s="55">
        <v>-16.378526956015065</v>
      </c>
      <c r="I20" s="69" t="s">
        <v>69</v>
      </c>
      <c r="J20" s="70"/>
      <c r="K20" s="75" t="s">
        <v>35</v>
      </c>
      <c r="L20" s="35" t="s">
        <v>36</v>
      </c>
      <c r="M20" s="75" t="s">
        <v>37</v>
      </c>
      <c r="N20" s="77" t="s">
        <v>38</v>
      </c>
      <c r="O20" s="75" t="s">
        <v>72</v>
      </c>
      <c r="R20" s="36"/>
    </row>
    <row r="21" spans="1:19" x14ac:dyDescent="0.25">
      <c r="A21" s="12" t="s">
        <v>27</v>
      </c>
      <c r="B21" s="50">
        <f>K22*R21</f>
        <v>1256</v>
      </c>
      <c r="C21" s="43">
        <v>-244.95213794365515</v>
      </c>
      <c r="D21" s="43">
        <v>21.2921952366349</v>
      </c>
      <c r="E21" s="43">
        <v>-48.783153391416633</v>
      </c>
      <c r="F21" s="43">
        <v>-66.440336608767936</v>
      </c>
      <c r="G21" s="17">
        <v>-42.933693561048813</v>
      </c>
      <c r="I21" s="14" t="s">
        <v>23</v>
      </c>
      <c r="J21" s="41">
        <v>20</v>
      </c>
      <c r="K21" s="76"/>
      <c r="L21" s="40" t="s">
        <v>9</v>
      </c>
      <c r="M21" s="76"/>
      <c r="N21" s="78"/>
      <c r="O21" s="76"/>
      <c r="Q21" s="14" t="s">
        <v>75</v>
      </c>
      <c r="R21" s="21">
        <f>IF(J21=16,201,IF(J21=20,314,IF(J21=25,490,"Err")))</f>
        <v>314</v>
      </c>
      <c r="S21" s="16" t="s">
        <v>25</v>
      </c>
    </row>
    <row r="22" spans="1:19" x14ac:dyDescent="0.25">
      <c r="A22" s="27" t="s">
        <v>28</v>
      </c>
      <c r="B22" s="52">
        <f>phi*B12*(B20^2)*J22*fy*(1-(0.588*J22*fy/fc))/1000000</f>
        <v>235.047177796608</v>
      </c>
      <c r="C22" s="53">
        <v>242.24780250240053</v>
      </c>
      <c r="D22" s="28">
        <v>-20.989573425694125</v>
      </c>
      <c r="E22" s="28">
        <v>7.0560574341028293</v>
      </c>
      <c r="F22" s="28">
        <v>56.796228892059169</v>
      </c>
      <c r="G22" s="17">
        <v>42.323485362625696</v>
      </c>
      <c r="I22" s="14" t="s">
        <v>40</v>
      </c>
      <c r="J22" s="24">
        <f>MAX(rhoMin,(K22*R21/(B12*B15)))</f>
        <v>7.7530864197530866E-3</v>
      </c>
      <c r="K22" s="15">
        <v>4</v>
      </c>
      <c r="L22" s="21">
        <f>IF(M22&lt;2,(B12-(2*(J12+clrCover))-(K22*J21))/(K22-1),(B12-(2*(J12+clrCover))-(N22*J21))/((N22)-1))</f>
        <v>40</v>
      </c>
      <c r="M22" s="15">
        <v>1</v>
      </c>
      <c r="N22" s="22">
        <f>IF(M22&lt;2,K22,CEILING(K22/2,1))</f>
        <v>4</v>
      </c>
      <c r="O22" s="22">
        <f>K22-N22</f>
        <v>0</v>
      </c>
      <c r="Q22" s="37" t="s">
        <v>74</v>
      </c>
      <c r="R22" s="38">
        <f>rhoMin*B12*B20</f>
        <v>534.6</v>
      </c>
      <c r="S22" s="22">
        <f>ROUND(R22/R21,0)</f>
        <v>2</v>
      </c>
    </row>
    <row r="23" spans="1:19" x14ac:dyDescent="0.25">
      <c r="A23" s="65" t="s">
        <v>76</v>
      </c>
    </row>
    <row r="24" spans="1:19" x14ac:dyDescent="0.25">
      <c r="A24" s="62" t="s">
        <v>91</v>
      </c>
      <c r="B24" s="11" t="s">
        <v>11</v>
      </c>
      <c r="C24" s="10" t="s">
        <v>12</v>
      </c>
      <c r="D24" s="10" t="s">
        <v>13</v>
      </c>
      <c r="E24" s="10" t="s">
        <v>14</v>
      </c>
      <c r="F24" s="10" t="s">
        <v>15</v>
      </c>
      <c r="G24" s="11" t="s">
        <v>16</v>
      </c>
      <c r="H24" s="6">
        <v>125</v>
      </c>
      <c r="I24" s="69" t="s">
        <v>34</v>
      </c>
      <c r="J24" s="70"/>
      <c r="K24" s="3"/>
    </row>
    <row r="25" spans="1:19" x14ac:dyDescent="0.25">
      <c r="A25" s="12" t="s">
        <v>17</v>
      </c>
      <c r="B25" s="48">
        <v>400</v>
      </c>
      <c r="C25" s="44" t="s">
        <v>18</v>
      </c>
      <c r="D25" s="44" t="s">
        <v>18</v>
      </c>
      <c r="E25" s="44" t="s">
        <v>18</v>
      </c>
      <c r="F25" s="44" t="s">
        <v>19</v>
      </c>
      <c r="G25" s="45" t="s">
        <v>19</v>
      </c>
      <c r="H25" s="6">
        <v>150</v>
      </c>
      <c r="I25" s="14" t="s">
        <v>20</v>
      </c>
      <c r="J25" s="15">
        <v>10</v>
      </c>
      <c r="K25" s="16" t="s">
        <v>9</v>
      </c>
      <c r="L25" s="22" t="s">
        <v>29</v>
      </c>
      <c r="M25" s="22" t="s">
        <v>30</v>
      </c>
      <c r="N25" s="22" t="s">
        <v>31</v>
      </c>
      <c r="O25" s="22" t="s">
        <v>32</v>
      </c>
      <c r="P25" s="3"/>
    </row>
    <row r="26" spans="1:19" x14ac:dyDescent="0.25">
      <c r="A26" s="12" t="s">
        <v>22</v>
      </c>
      <c r="B26" s="48">
        <v>700</v>
      </c>
      <c r="C26" s="17">
        <v>-567.05826414896683</v>
      </c>
      <c r="D26" s="63">
        <v>0.19023157907883542</v>
      </c>
      <c r="E26" s="63">
        <v>0</v>
      </c>
      <c r="F26" s="63">
        <v>175.34421332007778</v>
      </c>
      <c r="G26" s="54">
        <v>0</v>
      </c>
      <c r="H26" s="6">
        <v>175</v>
      </c>
      <c r="I26" s="56"/>
      <c r="J26" s="57"/>
      <c r="K26" s="58"/>
      <c r="L26" s="71" t="s">
        <v>1</v>
      </c>
      <c r="M26" s="72"/>
      <c r="N26" s="22" t="s">
        <v>35</v>
      </c>
      <c r="O26" s="22" t="s">
        <v>9</v>
      </c>
    </row>
    <row r="27" spans="1:19" x14ac:dyDescent="0.25">
      <c r="A27" s="20" t="s">
        <v>24</v>
      </c>
      <c r="B27" s="13"/>
      <c r="C27" s="17">
        <v>610.25978408874062</v>
      </c>
      <c r="D27" s="18">
        <v>0</v>
      </c>
      <c r="E27" s="18">
        <v>-138.98888682908472</v>
      </c>
      <c r="F27" s="18">
        <v>0</v>
      </c>
      <c r="G27" s="19">
        <v>-8.4265793572695298</v>
      </c>
      <c r="H27" s="6">
        <v>200</v>
      </c>
      <c r="I27" s="59" t="s">
        <v>70</v>
      </c>
      <c r="J27" s="60"/>
      <c r="K27" s="61"/>
      <c r="L27" s="25">
        <f>MAX(ABS(E30),ABS(E31))*1000/(B28*B25)</f>
        <v>0.58838486733314632</v>
      </c>
      <c r="M27" s="25">
        <f>L27-phiVc</f>
        <v>-7.4124566561949323E-2</v>
      </c>
      <c r="N27" s="26">
        <f>M27*O27*B25/(phiV*fys*0.25*PI()*(J25^2))</f>
        <v>-0.45759190003892175</v>
      </c>
      <c r="O27" s="15">
        <v>250</v>
      </c>
    </row>
    <row r="28" spans="1:19" x14ac:dyDescent="0.25">
      <c r="A28" s="12" t="s">
        <v>26</v>
      </c>
      <c r="B28" s="49">
        <f>B26-clrCover-J25-(IF(M32&gt;1,1.5*J31,0.5*J31))</f>
        <v>640</v>
      </c>
      <c r="C28" s="64">
        <v>12.541380175435993</v>
      </c>
      <c r="D28" s="17">
        <v>-9.0415366243987556</v>
      </c>
      <c r="E28" s="18">
        <v>33.083797025065202</v>
      </c>
      <c r="F28" s="18">
        <v>144.72715533195728</v>
      </c>
      <c r="G28" s="19">
        <v>18.444768200396108</v>
      </c>
      <c r="H28" s="6">
        <v>250</v>
      </c>
      <c r="I28" s="59" t="s">
        <v>71</v>
      </c>
      <c r="J28" s="60"/>
      <c r="K28" s="61"/>
      <c r="L28" s="25">
        <f>MAX(ABS(E30),ABS(E31))*1000/(B33*B25)</f>
        <v>0.58838486733314632</v>
      </c>
      <c r="M28" s="25">
        <f>L28-phiVc</f>
        <v>-7.4124566561949323E-2</v>
      </c>
      <c r="N28" s="26">
        <f>M28*O28*B25/(phiV*fys*0.25*PI()*(J25^2))</f>
        <v>-0.18303676001556868</v>
      </c>
      <c r="O28" s="15">
        <v>100</v>
      </c>
    </row>
    <row r="29" spans="1:19" x14ac:dyDescent="0.25">
      <c r="A29" s="12" t="s">
        <v>27</v>
      </c>
      <c r="B29" s="50">
        <f>K32*R31</f>
        <v>1256</v>
      </c>
      <c r="C29" s="64">
        <v>-7.7146575971836429</v>
      </c>
      <c r="D29" s="17">
        <v>9.3956142952833392</v>
      </c>
      <c r="E29" s="18">
        <v>-120.43709353705147</v>
      </c>
      <c r="F29" s="18">
        <v>-201.63778501523291</v>
      </c>
      <c r="G29" s="19">
        <v>-18.817242189849296</v>
      </c>
      <c r="H29" s="6">
        <v>300</v>
      </c>
    </row>
    <row r="30" spans="1:19" x14ac:dyDescent="0.25">
      <c r="A30" s="12" t="s">
        <v>28</v>
      </c>
      <c r="B30" s="51">
        <f>-phi*B25*(B28^2)*J32*fy*(1-(0.588*J32*fy/fc))/1000000</f>
        <v>-286.26199934745597</v>
      </c>
      <c r="C30" s="64">
        <v>57.741566685287076</v>
      </c>
      <c r="D30" s="18">
        <v>5.2262217124334036</v>
      </c>
      <c r="E30" s="17">
        <v>-146.60883566406142</v>
      </c>
      <c r="F30" s="18">
        <v>-244.87288352850535</v>
      </c>
      <c r="G30" s="19">
        <v>-8.1617922908789051</v>
      </c>
      <c r="I30" s="69" t="s">
        <v>68</v>
      </c>
      <c r="J30" s="70"/>
      <c r="K30" s="73" t="s">
        <v>35</v>
      </c>
      <c r="L30" s="42" t="s">
        <v>36</v>
      </c>
      <c r="M30" s="75" t="s">
        <v>37</v>
      </c>
      <c r="N30" s="77" t="s">
        <v>38</v>
      </c>
      <c r="O30" s="75" t="s">
        <v>72</v>
      </c>
      <c r="Q30" s="34" t="s">
        <v>73</v>
      </c>
    </row>
    <row r="31" spans="1:19" x14ac:dyDescent="0.25">
      <c r="A31" s="23" t="s">
        <v>33</v>
      </c>
      <c r="B31" s="13"/>
      <c r="C31" s="64">
        <v>-72.920364696622457</v>
      </c>
      <c r="D31" s="18">
        <v>-3.8501382369214556</v>
      </c>
      <c r="E31" s="17">
        <v>150.62652603728546</v>
      </c>
      <c r="F31" s="18">
        <v>-247.80482864320871</v>
      </c>
      <c r="G31" s="19">
        <v>-8.5908926912453598</v>
      </c>
      <c r="I31" s="14" t="s">
        <v>23</v>
      </c>
      <c r="J31" s="41">
        <v>20</v>
      </c>
      <c r="K31" s="74"/>
      <c r="L31" s="40" t="s">
        <v>9</v>
      </c>
      <c r="M31" s="76"/>
      <c r="N31" s="78"/>
      <c r="O31" s="76"/>
      <c r="Q31" s="14" t="s">
        <v>75</v>
      </c>
      <c r="R31" s="21">
        <f>IF(J31=16,201,IF(J31=20,314,IF(J31=25,490,"Err")))</f>
        <v>314</v>
      </c>
      <c r="S31" s="16" t="s">
        <v>25</v>
      </c>
    </row>
    <row r="32" spans="1:19" x14ac:dyDescent="0.25">
      <c r="A32" s="20" t="s">
        <v>39</v>
      </c>
      <c r="B32" s="13"/>
      <c r="C32" s="64">
        <v>68.056765062626368</v>
      </c>
      <c r="D32" s="18">
        <v>-0.30084301373763361</v>
      </c>
      <c r="E32" s="18">
        <v>-128.05758974021677</v>
      </c>
      <c r="F32" s="17">
        <v>-255.01714419209819</v>
      </c>
      <c r="G32" s="19">
        <v>0.97573553239260102</v>
      </c>
      <c r="I32" s="14" t="s">
        <v>40</v>
      </c>
      <c r="J32" s="24">
        <f>MAX(rhoMin,(K32*R31/(B25*B28)))</f>
        <v>4.90625E-3</v>
      </c>
      <c r="K32" s="15">
        <v>4</v>
      </c>
      <c r="L32" s="39">
        <f>IF(M32&lt;2,(B25-(2*(J25+clrCover))-(K32*J31))/(K32-1),(B25-(2*(J25+clrCover))-(N32*J31))/((N32)-1))</f>
        <v>73.333333333333329</v>
      </c>
      <c r="M32" s="15">
        <v>1</v>
      </c>
      <c r="N32" s="22">
        <f>IF(M32&lt;2,K32,CEILING(K32/2,1))</f>
        <v>4</v>
      </c>
      <c r="O32" s="22">
        <f>K32-N32</f>
        <v>0</v>
      </c>
      <c r="Q32" s="37" t="s">
        <v>74</v>
      </c>
      <c r="R32" s="38">
        <f>rhoMin*B25*B28</f>
        <v>844.80000000000007</v>
      </c>
      <c r="S32" s="22">
        <f>ROUND(R32/R31,0)</f>
        <v>3</v>
      </c>
    </row>
    <row r="33" spans="1:19" x14ac:dyDescent="0.25">
      <c r="A33" s="12" t="s">
        <v>26</v>
      </c>
      <c r="B33" s="49">
        <f>B26-clrCover-J25-(IF(M35&gt;1,1.5*J34,0.5*J34))</f>
        <v>640</v>
      </c>
      <c r="C33" s="64">
        <v>-69.318610034072151</v>
      </c>
      <c r="D33" s="18">
        <v>-3.7536858887747786</v>
      </c>
      <c r="E33" s="18">
        <v>60.556948972743015</v>
      </c>
      <c r="F33" s="17">
        <v>186.84947905451619</v>
      </c>
      <c r="G33" s="19">
        <v>7.3142404255396647</v>
      </c>
      <c r="I33" s="69" t="s">
        <v>69</v>
      </c>
      <c r="J33" s="70"/>
      <c r="K33" s="75" t="s">
        <v>35</v>
      </c>
      <c r="L33" s="42" t="s">
        <v>36</v>
      </c>
      <c r="M33" s="75" t="s">
        <v>37</v>
      </c>
      <c r="N33" s="77" t="s">
        <v>38</v>
      </c>
      <c r="O33" s="75" t="s">
        <v>72</v>
      </c>
      <c r="R33" s="36"/>
    </row>
    <row r="34" spans="1:19" x14ac:dyDescent="0.25">
      <c r="A34" s="12" t="s">
        <v>27</v>
      </c>
      <c r="B34" s="50">
        <f>K35*R34</f>
        <v>942</v>
      </c>
      <c r="C34" s="64">
        <v>-25.138277963279748</v>
      </c>
      <c r="D34" s="18">
        <v>-7.5936837987449604</v>
      </c>
      <c r="E34" s="18">
        <v>85.533287351402464</v>
      </c>
      <c r="F34" s="18">
        <v>-109.04166973037451</v>
      </c>
      <c r="G34" s="17">
        <v>-27.789117710700914</v>
      </c>
      <c r="I34" s="14" t="s">
        <v>23</v>
      </c>
      <c r="J34" s="41">
        <v>20</v>
      </c>
      <c r="K34" s="76"/>
      <c r="L34" s="40" t="s">
        <v>9</v>
      </c>
      <c r="M34" s="76"/>
      <c r="N34" s="78"/>
      <c r="O34" s="76"/>
      <c r="Q34" s="14" t="s">
        <v>75</v>
      </c>
      <c r="R34" s="21">
        <f>IF(J34=16,201,IF(J34=20,314,IF(J34=25,490,"Err")))</f>
        <v>314</v>
      </c>
      <c r="S34" s="16" t="s">
        <v>25</v>
      </c>
    </row>
    <row r="35" spans="1:19" x14ac:dyDescent="0.25">
      <c r="A35" s="27" t="s">
        <v>28</v>
      </c>
      <c r="B35" s="52">
        <f>phi*B25*(B33^2)*J35*fy*(1-(0.588*J35*fy/fc))/1000000</f>
        <v>217.18064663294399</v>
      </c>
      <c r="C35" s="53">
        <v>-7.7146575971836429</v>
      </c>
      <c r="D35" s="28">
        <v>9.3956142952833392</v>
      </c>
      <c r="E35" s="28">
        <v>-10.096383370988486</v>
      </c>
      <c r="F35" s="28">
        <v>101.3036785291264</v>
      </c>
      <c r="G35" s="17">
        <v>24.793350478522758</v>
      </c>
      <c r="I35" s="14" t="s">
        <v>40</v>
      </c>
      <c r="J35" s="24">
        <f>MAX(rhoMin,(K35*R34/(B25*B28)))</f>
        <v>3.6796874999999998E-3</v>
      </c>
      <c r="K35" s="15">
        <v>3</v>
      </c>
      <c r="L35" s="21">
        <f>IF(M35&lt;2,(B25-(2*(J25+clrCover))-(K35*J34))/(K35-1),(B25-(2*(J25+clrCover))-(N35*J34))/((N35)-1))</f>
        <v>120</v>
      </c>
      <c r="M35" s="15">
        <v>1</v>
      </c>
      <c r="N35" s="22">
        <f>IF(M35&lt;2,K35,CEILING(K35/2,1))</f>
        <v>3</v>
      </c>
      <c r="O35" s="22">
        <f>K35-N35</f>
        <v>0</v>
      </c>
      <c r="Q35" s="37" t="s">
        <v>74</v>
      </c>
      <c r="R35" s="38">
        <f>rhoMin*B25*B33</f>
        <v>844.80000000000007</v>
      </c>
      <c r="S35" s="22">
        <f>ROUND(R35/R34,0)</f>
        <v>3</v>
      </c>
    </row>
    <row r="36" spans="1:19" x14ac:dyDescent="0.25">
      <c r="A36" s="65" t="s">
        <v>76</v>
      </c>
    </row>
    <row r="37" spans="1:19" x14ac:dyDescent="0.25">
      <c r="A37" s="62" t="s">
        <v>92</v>
      </c>
      <c r="B37" s="11" t="s">
        <v>11</v>
      </c>
      <c r="C37" s="10" t="s">
        <v>12</v>
      </c>
      <c r="D37" s="10" t="s">
        <v>13</v>
      </c>
      <c r="E37" s="10" t="s">
        <v>14</v>
      </c>
      <c r="F37" s="10" t="s">
        <v>15</v>
      </c>
      <c r="G37" s="11" t="s">
        <v>16</v>
      </c>
      <c r="H37" s="6">
        <v>125</v>
      </c>
      <c r="I37" s="69" t="s">
        <v>34</v>
      </c>
      <c r="J37" s="70"/>
      <c r="K37" s="3"/>
    </row>
    <row r="38" spans="1:19" x14ac:dyDescent="0.25">
      <c r="A38" s="12" t="s">
        <v>17</v>
      </c>
      <c r="B38" s="48">
        <v>400</v>
      </c>
      <c r="C38" s="44" t="s">
        <v>18</v>
      </c>
      <c r="D38" s="44" t="s">
        <v>18</v>
      </c>
      <c r="E38" s="44" t="s">
        <v>18</v>
      </c>
      <c r="F38" s="44" t="s">
        <v>19</v>
      </c>
      <c r="G38" s="45" t="s">
        <v>19</v>
      </c>
      <c r="H38" s="6">
        <v>150</v>
      </c>
      <c r="I38" s="14" t="s">
        <v>20</v>
      </c>
      <c r="J38" s="15">
        <v>10</v>
      </c>
      <c r="K38" s="16" t="s">
        <v>9</v>
      </c>
      <c r="L38" s="22" t="s">
        <v>29</v>
      </c>
      <c r="M38" s="22" t="s">
        <v>30</v>
      </c>
      <c r="N38" s="22" t="s">
        <v>31</v>
      </c>
      <c r="O38" s="22" t="s">
        <v>32</v>
      </c>
      <c r="P38" s="3"/>
    </row>
    <row r="39" spans="1:19" x14ac:dyDescent="0.25">
      <c r="A39" s="12" t="s">
        <v>22</v>
      </c>
      <c r="B39" s="48">
        <v>800</v>
      </c>
      <c r="C39" s="17">
        <v>-844.32518942047886</v>
      </c>
      <c r="D39" s="63">
        <v>-1.3756552470636827</v>
      </c>
      <c r="E39" s="63">
        <v>0</v>
      </c>
      <c r="F39" s="63">
        <v>-356.89347311270558</v>
      </c>
      <c r="G39" s="54">
        <v>0</v>
      </c>
      <c r="H39" s="6">
        <v>175</v>
      </c>
      <c r="I39" s="56"/>
      <c r="J39" s="57"/>
      <c r="K39" s="58"/>
      <c r="L39" s="71" t="s">
        <v>1</v>
      </c>
      <c r="M39" s="72"/>
      <c r="N39" s="22" t="s">
        <v>35</v>
      </c>
      <c r="O39" s="22" t="s">
        <v>9</v>
      </c>
    </row>
    <row r="40" spans="1:19" x14ac:dyDescent="0.25">
      <c r="A40" s="20" t="s">
        <v>24</v>
      </c>
      <c r="B40" s="13"/>
      <c r="C40" s="17">
        <v>828.6007530748883</v>
      </c>
      <c r="D40" s="18">
        <v>0</v>
      </c>
      <c r="E40" s="18">
        <v>-42.037809108604904</v>
      </c>
      <c r="F40" s="18">
        <v>0</v>
      </c>
      <c r="G40" s="19">
        <v>0.15418072560286772</v>
      </c>
      <c r="H40" s="6">
        <v>200</v>
      </c>
      <c r="I40" s="59" t="s">
        <v>70</v>
      </c>
      <c r="J40" s="60"/>
      <c r="K40" s="61"/>
      <c r="L40" s="25">
        <f>MAX(ABS(E43),ABS(E44))*1000/(B41*B38)</f>
        <v>0.59302828200959745</v>
      </c>
      <c r="M40" s="25">
        <f>L40-phiVc</f>
        <v>-6.9481151885498194E-2</v>
      </c>
      <c r="N40" s="26">
        <f>M40*O40*B38/(phiV*fys*0.25*PI()*(J38^2))</f>
        <v>-0.17157071552846817</v>
      </c>
      <c r="O40" s="15">
        <v>100</v>
      </c>
    </row>
    <row r="41" spans="1:19" x14ac:dyDescent="0.25">
      <c r="A41" s="12" t="s">
        <v>26</v>
      </c>
      <c r="B41" s="49">
        <f>B39-clrCover-J38-(IF(M45&gt;1,1.5*J44,0.5*J44))</f>
        <v>740</v>
      </c>
      <c r="C41" s="64">
        <v>251.52738548250105</v>
      </c>
      <c r="D41" s="17">
        <v>-5.3921657115824813</v>
      </c>
      <c r="E41" s="18">
        <v>-146.34850091297355</v>
      </c>
      <c r="F41" s="18">
        <v>-303.66048950835659</v>
      </c>
      <c r="G41" s="19">
        <v>31.315695575528011</v>
      </c>
      <c r="H41" s="6">
        <v>250</v>
      </c>
      <c r="I41" s="59" t="s">
        <v>71</v>
      </c>
      <c r="J41" s="60"/>
      <c r="K41" s="61"/>
      <c r="L41" s="25">
        <f>MAX(ABS(E43),ABS(E44))*1000/(B46*B38)</f>
        <v>0.59302828200959745</v>
      </c>
      <c r="M41" s="25">
        <f>L41-phiVc</f>
        <v>-6.9481151885498194E-2</v>
      </c>
      <c r="N41" s="26">
        <f>M41*O41*B38/(phiV*fys*0.25*PI()*(J38^2))</f>
        <v>-0.17157071552846817</v>
      </c>
      <c r="O41" s="15">
        <v>100</v>
      </c>
    </row>
    <row r="42" spans="1:19" x14ac:dyDescent="0.25">
      <c r="A42" s="12" t="s">
        <v>27</v>
      </c>
      <c r="B42" s="50">
        <f>K45*R44</f>
        <v>1570</v>
      </c>
      <c r="C42" s="64">
        <v>-265.71664673274336</v>
      </c>
      <c r="D42" s="17">
        <v>5.2647552083235185</v>
      </c>
      <c r="E42" s="18">
        <v>-23.691569367642003</v>
      </c>
      <c r="F42" s="18">
        <v>104.06622702220224</v>
      </c>
      <c r="G42" s="19">
        <v>-30.373622035612541</v>
      </c>
      <c r="H42" s="6">
        <v>300</v>
      </c>
    </row>
    <row r="43" spans="1:19" x14ac:dyDescent="0.25">
      <c r="A43" s="12" t="s">
        <v>28</v>
      </c>
      <c r="B43" s="51">
        <f>-phi*B38*(B41^2)*J45*fy*(1-(0.588*J45*fy/fc))/1000000</f>
        <v>-412.18545398039998</v>
      </c>
      <c r="C43" s="64">
        <v>74.250325249118987</v>
      </c>
      <c r="D43" s="18">
        <v>0.16434753785726805</v>
      </c>
      <c r="E43" s="17">
        <v>-172.75473871355754</v>
      </c>
      <c r="F43" s="18">
        <v>-256.02684818355954</v>
      </c>
      <c r="G43" s="19">
        <v>-0.96753880061160091</v>
      </c>
      <c r="I43" s="69" t="s">
        <v>68</v>
      </c>
      <c r="J43" s="70"/>
      <c r="K43" s="73" t="s">
        <v>35</v>
      </c>
      <c r="L43" s="42" t="s">
        <v>36</v>
      </c>
      <c r="M43" s="75" t="s">
        <v>37</v>
      </c>
      <c r="N43" s="77" t="s">
        <v>38</v>
      </c>
      <c r="O43" s="75" t="s">
        <v>72</v>
      </c>
      <c r="Q43" s="34" t="s">
        <v>73</v>
      </c>
    </row>
    <row r="44" spans="1:19" x14ac:dyDescent="0.25">
      <c r="A44" s="23" t="s">
        <v>33</v>
      </c>
      <c r="B44" s="13"/>
      <c r="C44" s="64">
        <v>150.79823347169329</v>
      </c>
      <c r="D44" s="18">
        <v>0.35419327206317291</v>
      </c>
      <c r="E44" s="17">
        <v>175.53637147484085</v>
      </c>
      <c r="F44" s="18">
        <v>-284.49253241760346</v>
      </c>
      <c r="G44" s="19">
        <v>1.8038371178969757</v>
      </c>
      <c r="I44" s="14" t="s">
        <v>23</v>
      </c>
      <c r="J44" s="41">
        <v>20</v>
      </c>
      <c r="K44" s="74"/>
      <c r="L44" s="40" t="s">
        <v>9</v>
      </c>
      <c r="M44" s="76"/>
      <c r="N44" s="78"/>
      <c r="O44" s="76"/>
      <c r="Q44" s="14" t="s">
        <v>75</v>
      </c>
      <c r="R44" s="21">
        <f>IF(J44=16,201,IF(J44=20,314,IF(J44=25,490,"Err")))</f>
        <v>314</v>
      </c>
      <c r="S44" s="16" t="s">
        <v>25</v>
      </c>
    </row>
    <row r="45" spans="1:19" x14ac:dyDescent="0.25">
      <c r="A45" s="20" t="s">
        <v>39</v>
      </c>
      <c r="B45" s="13"/>
      <c r="C45" s="64">
        <v>-768.46210057034443</v>
      </c>
      <c r="D45" s="18">
        <v>-0.42508078411556582</v>
      </c>
      <c r="E45" s="18">
        <v>-162.6737110635236</v>
      </c>
      <c r="F45" s="17">
        <v>-375.85045729261213</v>
      </c>
      <c r="G45" s="19">
        <v>2.1469989420530773</v>
      </c>
      <c r="I45" s="14" t="s">
        <v>40</v>
      </c>
      <c r="J45" s="24">
        <f>MAX(rhoMin,(K45*R44/(B38*B41)))</f>
        <v>5.3040540540540537E-3</v>
      </c>
      <c r="K45" s="15">
        <v>5</v>
      </c>
      <c r="L45" s="39">
        <f>IF(M45&lt;2,(B38-(2*(J38+clrCover))-(K45*J44))/(K45-1),(B38-(2*(J38+clrCover))-(N45*J44))/((N45)-1))</f>
        <v>50</v>
      </c>
      <c r="M45" s="15">
        <v>1</v>
      </c>
      <c r="N45" s="22">
        <f>IF(M45&lt;2,K45,CEILING(K45/2,1))</f>
        <v>5</v>
      </c>
      <c r="O45" s="22">
        <f>K45-N45</f>
        <v>0</v>
      </c>
      <c r="Q45" s="37" t="s">
        <v>74</v>
      </c>
      <c r="R45" s="38">
        <f>rhoMin*B38*B41</f>
        <v>976.80000000000007</v>
      </c>
      <c r="S45" s="22">
        <f>ROUND(R45/R44,0)</f>
        <v>3</v>
      </c>
    </row>
    <row r="46" spans="1:19" x14ac:dyDescent="0.25">
      <c r="A46" s="12" t="s">
        <v>26</v>
      </c>
      <c r="B46" s="49">
        <f>B39-clrCover-J38-(IF(M48&gt;1,1.5*J47,0.5*J47))</f>
        <v>740</v>
      </c>
      <c r="C46" s="64">
        <v>13.512857309168249</v>
      </c>
      <c r="D46" s="18">
        <v>1.4630212009913166</v>
      </c>
      <c r="E46" s="18">
        <v>27.108681469179576</v>
      </c>
      <c r="F46" s="17">
        <v>193.66644724765371</v>
      </c>
      <c r="G46" s="19">
        <v>-5.8114863744903076</v>
      </c>
      <c r="I46" s="69" t="s">
        <v>69</v>
      </c>
      <c r="J46" s="70"/>
      <c r="K46" s="75" t="s">
        <v>35</v>
      </c>
      <c r="L46" s="42" t="s">
        <v>36</v>
      </c>
      <c r="M46" s="75" t="s">
        <v>37</v>
      </c>
      <c r="N46" s="77" t="s">
        <v>38</v>
      </c>
      <c r="O46" s="75" t="s">
        <v>72</v>
      </c>
      <c r="R46" s="36"/>
    </row>
    <row r="47" spans="1:19" x14ac:dyDescent="0.25">
      <c r="A47" s="12" t="s">
        <v>27</v>
      </c>
      <c r="B47" s="50">
        <f>K48*R47</f>
        <v>1256</v>
      </c>
      <c r="C47" s="64">
        <v>-265.71664673274336</v>
      </c>
      <c r="D47" s="18">
        <v>5.2647552083235185</v>
      </c>
      <c r="E47" s="18">
        <v>-23.691569367642003</v>
      </c>
      <c r="F47" s="18">
        <v>104.06622702220224</v>
      </c>
      <c r="G47" s="17">
        <v>-30.373622035612541</v>
      </c>
      <c r="I47" s="14" t="s">
        <v>23</v>
      </c>
      <c r="J47" s="41">
        <v>20</v>
      </c>
      <c r="K47" s="76"/>
      <c r="L47" s="40" t="s">
        <v>9</v>
      </c>
      <c r="M47" s="76"/>
      <c r="N47" s="78"/>
      <c r="O47" s="76"/>
      <c r="Q47" s="14" t="s">
        <v>75</v>
      </c>
      <c r="R47" s="21">
        <f>IF(J47=16,201,IF(J47=20,314,IF(J47=25,490,"Err")))</f>
        <v>314</v>
      </c>
      <c r="S47" s="16" t="s">
        <v>25</v>
      </c>
    </row>
    <row r="48" spans="1:19" x14ac:dyDescent="0.25">
      <c r="A48" s="27" t="s">
        <v>28</v>
      </c>
      <c r="B48" s="52">
        <f>phi*B38*(B46^2)*J48*fy*(1-(0.588*J48*fy/fc))/1000000</f>
        <v>333.06055934745604</v>
      </c>
      <c r="C48" s="53">
        <v>251.52738548250105</v>
      </c>
      <c r="D48" s="28">
        <v>-5.3921657115824813</v>
      </c>
      <c r="E48" s="28">
        <v>-146.34850091297355</v>
      </c>
      <c r="F48" s="28">
        <v>-303.66048950835659</v>
      </c>
      <c r="G48" s="17">
        <v>31.315695575528011</v>
      </c>
      <c r="I48" s="14" t="s">
        <v>40</v>
      </c>
      <c r="J48" s="24">
        <f>MAX(rhoMin,(K48*R47/(B38*B41)))</f>
        <v>4.2432432432432431E-3</v>
      </c>
      <c r="K48" s="15">
        <v>4</v>
      </c>
      <c r="L48" s="21">
        <f>IF(M48&lt;2,(B38-(2*(J38+clrCover))-(K48*J47))/(K48-1),(B38-(2*(J38+clrCover))-(N48*J47))/((N48)-1))</f>
        <v>73.333333333333329</v>
      </c>
      <c r="M48" s="15">
        <v>1</v>
      </c>
      <c r="N48" s="22">
        <f>IF(M48&lt;2,K48,CEILING(K48/2,1))</f>
        <v>4</v>
      </c>
      <c r="O48" s="22">
        <f>K48-N48</f>
        <v>0</v>
      </c>
      <c r="Q48" s="37" t="s">
        <v>74</v>
      </c>
      <c r="R48" s="38">
        <f>rhoMin*B38*B46</f>
        <v>976.80000000000007</v>
      </c>
      <c r="S48" s="22">
        <f>ROUND(R48/R47,0)</f>
        <v>3</v>
      </c>
    </row>
    <row r="49" spans="1:19" x14ac:dyDescent="0.25">
      <c r="A49" s="65" t="s">
        <v>76</v>
      </c>
    </row>
    <row r="50" spans="1:19" x14ac:dyDescent="0.25">
      <c r="A50" s="82" t="s">
        <v>83</v>
      </c>
      <c r="B50" s="11" t="s">
        <v>11</v>
      </c>
      <c r="C50" s="10" t="s">
        <v>12</v>
      </c>
      <c r="D50" s="10" t="s">
        <v>13</v>
      </c>
      <c r="E50" s="10" t="s">
        <v>14</v>
      </c>
      <c r="F50" s="10" t="s">
        <v>15</v>
      </c>
      <c r="G50" s="11" t="s">
        <v>16</v>
      </c>
      <c r="H50" s="6">
        <v>125</v>
      </c>
      <c r="I50" s="69" t="s">
        <v>34</v>
      </c>
      <c r="J50" s="70"/>
      <c r="K50" s="3"/>
    </row>
    <row r="51" spans="1:19" x14ac:dyDescent="0.25">
      <c r="A51" s="12" t="s">
        <v>17</v>
      </c>
      <c r="B51" s="48">
        <v>200</v>
      </c>
      <c r="C51" s="44" t="s">
        <v>18</v>
      </c>
      <c r="D51" s="44" t="s">
        <v>18</v>
      </c>
      <c r="E51" s="44" t="s">
        <v>18</v>
      </c>
      <c r="F51" s="44" t="s">
        <v>19</v>
      </c>
      <c r="G51" s="45" t="s">
        <v>19</v>
      </c>
      <c r="H51" s="6">
        <v>150</v>
      </c>
      <c r="I51" s="14" t="s">
        <v>20</v>
      </c>
      <c r="J51" s="15">
        <v>10</v>
      </c>
      <c r="K51" s="16" t="s">
        <v>9</v>
      </c>
      <c r="L51" s="22" t="s">
        <v>29</v>
      </c>
      <c r="M51" s="22" t="s">
        <v>30</v>
      </c>
      <c r="N51" s="22" t="s">
        <v>31</v>
      </c>
      <c r="O51" s="22" t="s">
        <v>32</v>
      </c>
      <c r="P51" s="3"/>
    </row>
    <row r="52" spans="1:19" x14ac:dyDescent="0.25">
      <c r="A52" s="12" t="s">
        <v>22</v>
      </c>
      <c r="B52" s="48">
        <v>600</v>
      </c>
      <c r="C52" s="17">
        <v>-432.76731571940201</v>
      </c>
      <c r="D52" s="63">
        <v>4.1735399637461148</v>
      </c>
      <c r="E52" s="63">
        <v>0</v>
      </c>
      <c r="F52" s="63">
        <v>-6.3623701862525195E-13</v>
      </c>
      <c r="G52" s="54">
        <v>0</v>
      </c>
      <c r="H52" s="6">
        <v>175</v>
      </c>
      <c r="I52" s="56"/>
      <c r="J52" s="57"/>
      <c r="K52" s="58"/>
      <c r="L52" s="71" t="s">
        <v>1</v>
      </c>
      <c r="M52" s="72"/>
      <c r="N52" s="22" t="s">
        <v>35</v>
      </c>
      <c r="O52" s="22" t="s">
        <v>9</v>
      </c>
    </row>
    <row r="53" spans="1:19" x14ac:dyDescent="0.25">
      <c r="A53" s="20" t="s">
        <v>24</v>
      </c>
      <c r="B53" s="13"/>
      <c r="C53" s="17">
        <v>545.67675803353995</v>
      </c>
      <c r="D53" s="18">
        <v>0</v>
      </c>
      <c r="E53" s="18">
        <v>-78.832198991432634</v>
      </c>
      <c r="F53" s="18">
        <v>0</v>
      </c>
      <c r="G53" s="19">
        <v>1.1803535926446784E-14</v>
      </c>
      <c r="H53" s="6">
        <v>200</v>
      </c>
      <c r="I53" s="59" t="s">
        <v>70</v>
      </c>
      <c r="J53" s="60"/>
      <c r="K53" s="61"/>
      <c r="L53" s="25">
        <f>MAX(ABS(E56),ABS(E57))*1000/(B54*B51)</f>
        <v>1.3926437846933188</v>
      </c>
      <c r="M53" s="25">
        <f>L53-phiVc</f>
        <v>0.7301343507982232</v>
      </c>
      <c r="N53" s="26">
        <f>M53*O53*B51/(phiV*fys*0.25*PI()*(J51^2))</f>
        <v>0.90146514269656541</v>
      </c>
      <c r="O53" s="15">
        <v>100</v>
      </c>
    </row>
    <row r="54" spans="1:19" x14ac:dyDescent="0.25">
      <c r="A54" s="12" t="s">
        <v>26</v>
      </c>
      <c r="B54" s="49">
        <f>B52-clrCover-J51-(IF(M58&gt;1,1.5*J57,0.5*J57))</f>
        <v>520</v>
      </c>
      <c r="C54" s="64">
        <v>-10.24356279618682</v>
      </c>
      <c r="D54" s="17">
        <v>-4.4170767308201908</v>
      </c>
      <c r="E54" s="18">
        <v>-101.90717453172337</v>
      </c>
      <c r="F54" s="18">
        <v>-2.3551990580017439E-12</v>
      </c>
      <c r="G54" s="19">
        <v>-5.4062354593042977E-14</v>
      </c>
      <c r="H54" s="6">
        <v>250</v>
      </c>
      <c r="I54" s="59" t="s">
        <v>71</v>
      </c>
      <c r="J54" s="60"/>
      <c r="K54" s="61"/>
      <c r="L54" s="25">
        <f>MAX(ABS(E56),ABS(E57))*1000/(B59*B51)</f>
        <v>1.3926437846933188</v>
      </c>
      <c r="M54" s="25">
        <f>L54-phiVc</f>
        <v>0.7301343507982232</v>
      </c>
      <c r="N54" s="26">
        <f>M54*O54*B51/(phiV*fys*0.25*PI()*(J51^2))</f>
        <v>0.90146514269656541</v>
      </c>
      <c r="O54" s="15">
        <v>100</v>
      </c>
    </row>
    <row r="55" spans="1:19" x14ac:dyDescent="0.25">
      <c r="A55" s="12" t="s">
        <v>27</v>
      </c>
      <c r="B55" s="50">
        <f>K58*R57</f>
        <v>1256</v>
      </c>
      <c r="C55" s="64">
        <v>11.412030312180866</v>
      </c>
      <c r="D55" s="17">
        <v>4.8785911033287706</v>
      </c>
      <c r="E55" s="18">
        <v>100.14950495704964</v>
      </c>
      <c r="F55" s="18">
        <v>2.3663801584916653E-12</v>
      </c>
      <c r="G55" s="19">
        <v>6.2845373349773578E-14</v>
      </c>
      <c r="H55" s="6">
        <v>300</v>
      </c>
    </row>
    <row r="56" spans="1:19" x14ac:dyDescent="0.25">
      <c r="A56" s="12" t="s">
        <v>28</v>
      </c>
      <c r="B56" s="51">
        <f>-phi*B51*(B54^2)*J58*fy*(1-(0.588*J58*fy/fc))/1000000</f>
        <v>-216.85494269491198</v>
      </c>
      <c r="C56" s="64">
        <v>-53.839730634565115</v>
      </c>
      <c r="D56" s="18">
        <v>3.7734147967795515</v>
      </c>
      <c r="E56" s="17">
        <v>-141.58497074903181</v>
      </c>
      <c r="F56" s="18">
        <v>-4.4243506636121312E-12</v>
      </c>
      <c r="G56" s="19">
        <v>1.3141175259079317E-12</v>
      </c>
      <c r="I56" s="69" t="s">
        <v>68</v>
      </c>
      <c r="J56" s="70"/>
      <c r="K56" s="73" t="s">
        <v>35</v>
      </c>
      <c r="L56" s="66" t="s">
        <v>36</v>
      </c>
      <c r="M56" s="75" t="s">
        <v>37</v>
      </c>
      <c r="N56" s="77" t="s">
        <v>38</v>
      </c>
      <c r="O56" s="75" t="s">
        <v>72</v>
      </c>
      <c r="Q56" s="34" t="s">
        <v>73</v>
      </c>
    </row>
    <row r="57" spans="1:19" x14ac:dyDescent="0.25">
      <c r="A57" s="23" t="s">
        <v>33</v>
      </c>
      <c r="B57" s="13"/>
      <c r="C57" s="64">
        <v>60.222320766476699</v>
      </c>
      <c r="D57" s="18">
        <v>-3.1966127258762542</v>
      </c>
      <c r="E57" s="17">
        <v>144.83495360810517</v>
      </c>
      <c r="F57" s="18">
        <v>-171.37223234073707</v>
      </c>
      <c r="G57" s="19">
        <v>-3.8363425002765852</v>
      </c>
      <c r="I57" s="14" t="s">
        <v>23</v>
      </c>
      <c r="J57" s="41">
        <v>20</v>
      </c>
      <c r="K57" s="74"/>
      <c r="L57" s="40" t="s">
        <v>9</v>
      </c>
      <c r="M57" s="76"/>
      <c r="N57" s="78"/>
      <c r="O57" s="76"/>
      <c r="Q57" s="14" t="s">
        <v>75</v>
      </c>
      <c r="R57" s="21">
        <f>IF(J57=16,201,IF(J57=20,314,IF(J57=25,490,"Err")))</f>
        <v>314</v>
      </c>
      <c r="S57" s="16" t="s">
        <v>25</v>
      </c>
    </row>
    <row r="58" spans="1:19" x14ac:dyDescent="0.25">
      <c r="A58" s="20" t="s">
        <v>39</v>
      </c>
      <c r="B58" s="13"/>
      <c r="C58" s="64">
        <v>58.790803778945097</v>
      </c>
      <c r="D58" s="18">
        <v>-3.3519553854471691</v>
      </c>
      <c r="E58" s="18">
        <v>144.74283661015406</v>
      </c>
      <c r="F58" s="17">
        <v>-171.87372098065359</v>
      </c>
      <c r="G58" s="19">
        <v>-4.0227734814816145</v>
      </c>
      <c r="I58" s="14" t="s">
        <v>40</v>
      </c>
      <c r="J58" s="24">
        <f>MAX(rhoMin,(K58*R57/(B51*B54)))</f>
        <v>1.2076923076923077E-2</v>
      </c>
      <c r="K58" s="15">
        <v>4</v>
      </c>
      <c r="L58" s="39">
        <f>IF(M58&lt;2,(B51-(2*(J51+clrCover))-(K58*J57))/(K58-1),(B51-(2*(J51+clrCover))-(N58*J57))/((N58)-1))</f>
        <v>60</v>
      </c>
      <c r="M58" s="15">
        <v>2</v>
      </c>
      <c r="N58" s="22">
        <f>IF(M58&lt;2,K58,CEILING(K58/2,1))</f>
        <v>2</v>
      </c>
      <c r="O58" s="22">
        <f>K58-N58</f>
        <v>2</v>
      </c>
      <c r="Q58" s="37" t="s">
        <v>74</v>
      </c>
      <c r="R58" s="38">
        <f>rhoMin*B51*B54</f>
        <v>343.2</v>
      </c>
      <c r="S58" s="22">
        <f>ROUND(R58/R57,0)</f>
        <v>1</v>
      </c>
    </row>
    <row r="59" spans="1:19" x14ac:dyDescent="0.25">
      <c r="A59" s="12" t="s">
        <v>26</v>
      </c>
      <c r="B59" s="49">
        <f>B52-clrCover-J51-(IF(M61&gt;1,1.5*J60,0.5*J60))</f>
        <v>520</v>
      </c>
      <c r="C59" s="64">
        <v>-53.839730634565115</v>
      </c>
      <c r="D59" s="18">
        <v>3.7734147967795515</v>
      </c>
      <c r="E59" s="18">
        <v>-137.50513205405088</v>
      </c>
      <c r="F59" s="17">
        <v>167.47183888159111</v>
      </c>
      <c r="G59" s="19">
        <v>4.5285784664729203</v>
      </c>
      <c r="I59" s="69" t="s">
        <v>69</v>
      </c>
      <c r="J59" s="70"/>
      <c r="K59" s="75" t="s">
        <v>35</v>
      </c>
      <c r="L59" s="66" t="s">
        <v>36</v>
      </c>
      <c r="M59" s="75" t="s">
        <v>37</v>
      </c>
      <c r="N59" s="77" t="s">
        <v>38</v>
      </c>
      <c r="O59" s="75" t="s">
        <v>72</v>
      </c>
      <c r="R59" s="36"/>
    </row>
    <row r="60" spans="1:19" x14ac:dyDescent="0.25">
      <c r="A60" s="12" t="s">
        <v>27</v>
      </c>
      <c r="B60" s="50">
        <f>K61*R60</f>
        <v>1256</v>
      </c>
      <c r="C60" s="64">
        <v>-10.24356279618682</v>
      </c>
      <c r="D60" s="18">
        <v>-4.4170767308201908</v>
      </c>
      <c r="E60" s="18">
        <v>-98.847078044463359</v>
      </c>
      <c r="F60" s="18">
        <v>120.47390047578186</v>
      </c>
      <c r="G60" s="17">
        <v>-5.3014315326724164</v>
      </c>
      <c r="I60" s="14" t="s">
        <v>23</v>
      </c>
      <c r="J60" s="41">
        <v>20</v>
      </c>
      <c r="K60" s="76"/>
      <c r="L60" s="40" t="s">
        <v>9</v>
      </c>
      <c r="M60" s="76"/>
      <c r="N60" s="78"/>
      <c r="O60" s="76"/>
      <c r="Q60" s="14" t="s">
        <v>75</v>
      </c>
      <c r="R60" s="21">
        <f>IF(J60=16,201,IF(J60=20,314,IF(J60=25,490,"Err")))</f>
        <v>314</v>
      </c>
      <c r="S60" s="16" t="s">
        <v>25</v>
      </c>
    </row>
    <row r="61" spans="1:19" x14ac:dyDescent="0.25">
      <c r="A61" s="27" t="s">
        <v>28</v>
      </c>
      <c r="B61" s="52">
        <f>phi*B51*(B59^2)*J61*fy*(1-(0.588*J61*fy/fc))/1000000</f>
        <v>216.85494269491198</v>
      </c>
      <c r="C61" s="53">
        <v>-414.0041922412999</v>
      </c>
      <c r="D61" s="28">
        <v>4.3021526089659581</v>
      </c>
      <c r="E61" s="28">
        <v>112.33037905900842</v>
      </c>
      <c r="F61" s="28">
        <v>-151.24067693632136</v>
      </c>
      <c r="G61" s="17">
        <v>5.9154598373281866</v>
      </c>
      <c r="I61" s="14" t="s">
        <v>40</v>
      </c>
      <c r="J61" s="24">
        <f>MAX(rhoMin,(K61*R60/(B51*B54)))</f>
        <v>1.2076923076923077E-2</v>
      </c>
      <c r="K61" s="15">
        <v>4</v>
      </c>
      <c r="L61" s="21">
        <f>IF(M61&lt;2,(B51-(2*(J51+clrCover))-(K61*J60))/(K61-1),(B51-(2*(J51+clrCover))-(N61*J60))/((N61)-1))</f>
        <v>60</v>
      </c>
      <c r="M61" s="15">
        <v>2</v>
      </c>
      <c r="N61" s="22">
        <f>IF(M61&lt;2,K61,CEILING(K61/2,1))</f>
        <v>2</v>
      </c>
      <c r="O61" s="22">
        <f>K61-N61</f>
        <v>2</v>
      </c>
      <c r="Q61" s="37" t="s">
        <v>74</v>
      </c>
      <c r="R61" s="38">
        <f>rhoMin*B51*B59</f>
        <v>343.2</v>
      </c>
      <c r="S61" s="22">
        <f>ROUND(R61/R60,0)</f>
        <v>1</v>
      </c>
    </row>
    <row r="62" spans="1:19" x14ac:dyDescent="0.25">
      <c r="A62" s="65" t="s">
        <v>76</v>
      </c>
    </row>
    <row r="63" spans="1:19" x14ac:dyDescent="0.25">
      <c r="A63" s="82" t="s">
        <v>84</v>
      </c>
      <c r="B63" s="11" t="s">
        <v>11</v>
      </c>
      <c r="C63" s="10" t="s">
        <v>12</v>
      </c>
      <c r="D63" s="10" t="s">
        <v>13</v>
      </c>
      <c r="E63" s="10" t="s">
        <v>14</v>
      </c>
      <c r="F63" s="10" t="s">
        <v>15</v>
      </c>
      <c r="G63" s="11" t="s">
        <v>16</v>
      </c>
      <c r="H63" s="6">
        <v>125</v>
      </c>
      <c r="I63" s="69" t="s">
        <v>34</v>
      </c>
      <c r="J63" s="70"/>
      <c r="K63" s="3"/>
    </row>
    <row r="64" spans="1:19" x14ac:dyDescent="0.25">
      <c r="A64" s="12" t="s">
        <v>17</v>
      </c>
      <c r="B64" s="48">
        <v>200</v>
      </c>
      <c r="C64" s="44" t="s">
        <v>18</v>
      </c>
      <c r="D64" s="44" t="s">
        <v>18</v>
      </c>
      <c r="E64" s="44" t="s">
        <v>18</v>
      </c>
      <c r="F64" s="44" t="s">
        <v>19</v>
      </c>
      <c r="G64" s="45" t="s">
        <v>19</v>
      </c>
      <c r="H64" s="6">
        <v>150</v>
      </c>
      <c r="I64" s="14" t="s">
        <v>20</v>
      </c>
      <c r="J64" s="15">
        <v>12</v>
      </c>
      <c r="K64" s="16" t="s">
        <v>9</v>
      </c>
      <c r="L64" s="22" t="s">
        <v>29</v>
      </c>
      <c r="M64" s="22" t="s">
        <v>30</v>
      </c>
      <c r="N64" s="22" t="s">
        <v>31</v>
      </c>
      <c r="O64" s="22" t="s">
        <v>32</v>
      </c>
      <c r="P64" s="3"/>
    </row>
    <row r="65" spans="1:19" x14ac:dyDescent="0.25">
      <c r="A65" s="12" t="s">
        <v>22</v>
      </c>
      <c r="B65" s="48">
        <v>600</v>
      </c>
      <c r="C65" s="17">
        <v>-1082.3718554091683</v>
      </c>
      <c r="D65" s="63">
        <v>-17.312847436745319</v>
      </c>
      <c r="E65" s="63">
        <v>0</v>
      </c>
      <c r="F65" s="63">
        <v>-15.403015959182484</v>
      </c>
      <c r="G65" s="54">
        <v>0</v>
      </c>
      <c r="H65" s="6">
        <v>175</v>
      </c>
      <c r="I65" s="56"/>
      <c r="J65" s="57"/>
      <c r="K65" s="58"/>
      <c r="L65" s="71" t="s">
        <v>1</v>
      </c>
      <c r="M65" s="72"/>
      <c r="N65" s="22" t="s">
        <v>35</v>
      </c>
      <c r="O65" s="22" t="s">
        <v>9</v>
      </c>
    </row>
    <row r="66" spans="1:19" x14ac:dyDescent="0.25">
      <c r="A66" s="20" t="s">
        <v>24</v>
      </c>
      <c r="B66" s="13"/>
      <c r="C66" s="17">
        <v>991.97851247919095</v>
      </c>
      <c r="D66" s="18">
        <v>0</v>
      </c>
      <c r="E66" s="18">
        <v>91.528632261709689</v>
      </c>
      <c r="F66" s="18">
        <v>0</v>
      </c>
      <c r="G66" s="19">
        <v>-7.1376736143736803</v>
      </c>
      <c r="H66" s="6">
        <v>200</v>
      </c>
      <c r="I66" s="59" t="s">
        <v>70</v>
      </c>
      <c r="J66" s="60"/>
      <c r="K66" s="61"/>
      <c r="L66" s="25">
        <f>MAX(ABS(E69),ABS(E70))*1000/(B67*B64)</f>
        <v>10.008076918936931</v>
      </c>
      <c r="M66" s="25">
        <f>L66-phiVc</f>
        <v>9.3455674850418351</v>
      </c>
      <c r="N66" s="26">
        <f>M66*O66*B64/(phiV*fys*0.25*PI()*(J64^2))</f>
        <v>8.0128929898628982</v>
      </c>
      <c r="O66" s="15">
        <v>100</v>
      </c>
    </row>
    <row r="67" spans="1:19" x14ac:dyDescent="0.25">
      <c r="A67" s="12" t="s">
        <v>26</v>
      </c>
      <c r="B67" s="49">
        <f>B65-clrCover-J64-(IF(M71&gt;1,1.5*J70,0.5*J70))</f>
        <v>510.5</v>
      </c>
      <c r="C67" s="64">
        <v>-1082.3718554091683</v>
      </c>
      <c r="D67" s="17">
        <v>-17.312847436745319</v>
      </c>
      <c r="E67" s="18">
        <v>-35.625476808180245</v>
      </c>
      <c r="F67" s="18">
        <v>-15.403015959182484</v>
      </c>
      <c r="G67" s="19">
        <v>7.6465076756022308</v>
      </c>
      <c r="H67" s="6">
        <v>250</v>
      </c>
      <c r="I67" s="59" t="s">
        <v>71</v>
      </c>
      <c r="J67" s="60"/>
      <c r="K67" s="61"/>
      <c r="L67" s="25">
        <f>MAX(ABS(E69),ABS(E70))*1000/(B72*B64)</f>
        <v>9.8631723303422838</v>
      </c>
      <c r="M67" s="25">
        <f>L67-phiVc</f>
        <v>9.2006628964471879</v>
      </c>
      <c r="N67" s="26">
        <f>M67*O67*B64/(phiV*fys*0.25*PI()*(J64^2))</f>
        <v>7.8886517424472187</v>
      </c>
      <c r="O67" s="15">
        <v>100</v>
      </c>
    </row>
    <row r="68" spans="1:19" x14ac:dyDescent="0.25">
      <c r="A68" s="12" t="s">
        <v>27</v>
      </c>
      <c r="B68" s="50">
        <f>K71*R70</f>
        <v>1960</v>
      </c>
      <c r="C68" s="64">
        <v>991.97851247919095</v>
      </c>
      <c r="D68" s="17">
        <v>16.160770325677895</v>
      </c>
      <c r="E68" s="18">
        <v>91.528632261709689</v>
      </c>
      <c r="F68" s="18">
        <v>40.673823533097213</v>
      </c>
      <c r="G68" s="19">
        <v>-7.1376736143736803</v>
      </c>
      <c r="H68" s="6">
        <v>300</v>
      </c>
    </row>
    <row r="69" spans="1:19" x14ac:dyDescent="0.25">
      <c r="A69" s="12" t="s">
        <v>28</v>
      </c>
      <c r="B69" s="51">
        <f>-phi*B64*(B67^2)*J71*fy*(1-(0.588*J71*fy/fc))/1000000</f>
        <v>-308.28949038719998</v>
      </c>
      <c r="C69" s="64">
        <v>555.65615252601333</v>
      </c>
      <c r="D69" s="18">
        <v>-12.990965688058553</v>
      </c>
      <c r="E69" s="17">
        <v>-1021.8246534234606</v>
      </c>
      <c r="F69" s="18">
        <v>-334.63878573397642</v>
      </c>
      <c r="G69" s="19">
        <v>19.342458357189244</v>
      </c>
      <c r="I69" s="69" t="s">
        <v>68</v>
      </c>
      <c r="J69" s="70"/>
      <c r="K69" s="73" t="s">
        <v>35</v>
      </c>
      <c r="L69" s="68" t="s">
        <v>36</v>
      </c>
      <c r="M69" s="75" t="s">
        <v>37</v>
      </c>
      <c r="N69" s="77" t="s">
        <v>38</v>
      </c>
      <c r="O69" s="75" t="s">
        <v>72</v>
      </c>
      <c r="Q69" s="34" t="s">
        <v>73</v>
      </c>
    </row>
    <row r="70" spans="1:19" x14ac:dyDescent="0.25">
      <c r="A70" s="23" t="s">
        <v>33</v>
      </c>
      <c r="B70" s="13"/>
      <c r="C70" s="64">
        <v>-361.27547989011879</v>
      </c>
      <c r="D70" s="18">
        <v>13.589216119747777</v>
      </c>
      <c r="E70" s="17">
        <v>526.91439896573308</v>
      </c>
      <c r="F70" s="18">
        <v>-87.157824199054915</v>
      </c>
      <c r="G70" s="19">
        <v>-12.476791302511625</v>
      </c>
      <c r="I70" s="14" t="s">
        <v>23</v>
      </c>
      <c r="J70" s="41">
        <v>25</v>
      </c>
      <c r="K70" s="74"/>
      <c r="L70" s="40" t="s">
        <v>9</v>
      </c>
      <c r="M70" s="76"/>
      <c r="N70" s="78"/>
      <c r="O70" s="76"/>
      <c r="Q70" s="14" t="s">
        <v>75</v>
      </c>
      <c r="R70" s="21">
        <f>IF(J70=16,201,IF(J70=20,314,IF(J70=25,490,"Err")))</f>
        <v>490</v>
      </c>
      <c r="S70" s="16" t="s">
        <v>25</v>
      </c>
    </row>
    <row r="71" spans="1:19" x14ac:dyDescent="0.25">
      <c r="A71" s="20" t="s">
        <v>39</v>
      </c>
      <c r="B71" s="13"/>
      <c r="C71" s="64">
        <v>555.65615252601333</v>
      </c>
      <c r="D71" s="18">
        <v>-12.990965688058553</v>
      </c>
      <c r="E71" s="18">
        <v>-1021.8246534234606</v>
      </c>
      <c r="F71" s="17">
        <v>-334.63878573397642</v>
      </c>
      <c r="G71" s="19">
        <v>19.342458357189244</v>
      </c>
      <c r="I71" s="14" t="s">
        <v>40</v>
      </c>
      <c r="J71" s="24">
        <f>MAX(rhoMin,(K71*R70/(B64*B67)))</f>
        <v>1.9196865817825662E-2</v>
      </c>
      <c r="K71" s="15">
        <v>4</v>
      </c>
      <c r="L71" s="39">
        <f>IF(M71&lt;2,(B64-(2*(J64+clrCover))-(K71*J70))/(K71-1),(B64-(2*(J64+clrCover))-(N71*J70))/((N71)-1))</f>
        <v>46</v>
      </c>
      <c r="M71" s="15">
        <v>2</v>
      </c>
      <c r="N71" s="22">
        <f>IF(M71&lt;2,K71,CEILING(K71/2,1))</f>
        <v>2</v>
      </c>
      <c r="O71" s="22">
        <f>K71-N71</f>
        <v>2</v>
      </c>
      <c r="Q71" s="37" t="s">
        <v>74</v>
      </c>
      <c r="R71" s="38">
        <f>rhoMin*B64*B67</f>
        <v>336.93</v>
      </c>
      <c r="S71" s="22">
        <f>ROUND(R71/R70,0)</f>
        <v>1</v>
      </c>
    </row>
    <row r="72" spans="1:19" x14ac:dyDescent="0.25">
      <c r="A72" s="12" t="s">
        <v>26</v>
      </c>
      <c r="B72" s="49">
        <f>B65-clrCover-J64-(IF(M74&gt;1,1.5*J73,0.5*J73))</f>
        <v>518</v>
      </c>
      <c r="C72" s="64">
        <v>-361.27547989011879</v>
      </c>
      <c r="D72" s="18">
        <v>13.589216119747777</v>
      </c>
      <c r="E72" s="18">
        <v>525.78831303128243</v>
      </c>
      <c r="F72" s="17">
        <v>145.31402645479056</v>
      </c>
      <c r="G72" s="19">
        <v>-18.478695134030946</v>
      </c>
      <c r="I72" s="69" t="s">
        <v>69</v>
      </c>
      <c r="J72" s="70"/>
      <c r="K72" s="75" t="s">
        <v>35</v>
      </c>
      <c r="L72" s="68" t="s">
        <v>36</v>
      </c>
      <c r="M72" s="75" t="s">
        <v>37</v>
      </c>
      <c r="N72" s="77" t="s">
        <v>38</v>
      </c>
      <c r="O72" s="75" t="s">
        <v>72</v>
      </c>
      <c r="R72" s="36"/>
    </row>
    <row r="73" spans="1:19" x14ac:dyDescent="0.25">
      <c r="A73" s="12" t="s">
        <v>27</v>
      </c>
      <c r="B73" s="50">
        <f>K74*R73</f>
        <v>1256</v>
      </c>
      <c r="C73" s="64">
        <v>-361.27547989011879</v>
      </c>
      <c r="D73" s="18">
        <v>13.589216119747777</v>
      </c>
      <c r="E73" s="18">
        <v>525.78831303128243</v>
      </c>
      <c r="F73" s="18">
        <v>145.31402645479056</v>
      </c>
      <c r="G73" s="17">
        <v>-18.478695134030946</v>
      </c>
      <c r="I73" s="14" t="s">
        <v>23</v>
      </c>
      <c r="J73" s="41">
        <v>20</v>
      </c>
      <c r="K73" s="76"/>
      <c r="L73" s="40" t="s">
        <v>9</v>
      </c>
      <c r="M73" s="76"/>
      <c r="N73" s="78"/>
      <c r="O73" s="76"/>
      <c r="Q73" s="14" t="s">
        <v>75</v>
      </c>
      <c r="R73" s="21">
        <f>IF(J73=16,201,IF(J73=20,314,IF(J73=25,490,"Err")))</f>
        <v>314</v>
      </c>
      <c r="S73" s="16" t="s">
        <v>25</v>
      </c>
    </row>
    <row r="74" spans="1:19" x14ac:dyDescent="0.25">
      <c r="A74" s="27" t="s">
        <v>28</v>
      </c>
      <c r="B74" s="52">
        <f>phi*B64*(B72^2)*J74*fy*(1-(0.588*J74*fy/fc))/1000000</f>
        <v>218.69613281286047</v>
      </c>
      <c r="C74" s="53">
        <v>555.65615252601333</v>
      </c>
      <c r="D74" s="28">
        <v>-12.990965688058553</v>
      </c>
      <c r="E74" s="28">
        <v>-1021.8246534234606</v>
      </c>
      <c r="F74" s="28">
        <v>-334.63878573397642</v>
      </c>
      <c r="G74" s="17">
        <v>19.342458357189244</v>
      </c>
      <c r="I74" s="14" t="s">
        <v>40</v>
      </c>
      <c r="J74" s="24">
        <f>MAX(rhoMin,(K74*R73/(B64*B67)))</f>
        <v>1.2301665034280117E-2</v>
      </c>
      <c r="K74" s="15">
        <v>4</v>
      </c>
      <c r="L74" s="21">
        <f>IF(M74&lt;2,(B64-(2*(J64+clrCover))-(K74*J73))/(K74-1),(B64-(2*(J64+clrCover))-(N74*J73))/((N74)-1))</f>
        <v>56</v>
      </c>
      <c r="M74" s="15">
        <v>2</v>
      </c>
      <c r="N74" s="22">
        <f>IF(M74&lt;2,K74,CEILING(K74/2,1))</f>
        <v>2</v>
      </c>
      <c r="O74" s="22">
        <f>K74-N74</f>
        <v>2</v>
      </c>
      <c r="Q74" s="37" t="s">
        <v>74</v>
      </c>
      <c r="R74" s="38">
        <f>rhoMin*B64*B72</f>
        <v>341.88</v>
      </c>
      <c r="S74" s="22">
        <f>ROUND(R74/R73,0)</f>
        <v>1</v>
      </c>
    </row>
    <row r="75" spans="1:19" x14ac:dyDescent="0.25">
      <c r="A75" s="65" t="s">
        <v>76</v>
      </c>
    </row>
    <row r="76" spans="1:19" x14ac:dyDescent="0.25">
      <c r="A76" s="62" t="s">
        <v>85</v>
      </c>
      <c r="B76" s="11" t="s">
        <v>11</v>
      </c>
      <c r="C76" s="10" t="s">
        <v>12</v>
      </c>
      <c r="D76" s="10" t="s">
        <v>13</v>
      </c>
      <c r="E76" s="10" t="s">
        <v>14</v>
      </c>
      <c r="F76" s="10" t="s">
        <v>15</v>
      </c>
      <c r="G76" s="11" t="s">
        <v>16</v>
      </c>
      <c r="H76" s="6">
        <v>125</v>
      </c>
      <c r="I76" s="69" t="s">
        <v>34</v>
      </c>
      <c r="J76" s="70"/>
      <c r="K76" s="3"/>
    </row>
    <row r="77" spans="1:19" x14ac:dyDescent="0.25">
      <c r="A77" s="12" t="s">
        <v>17</v>
      </c>
      <c r="B77" s="48">
        <v>300</v>
      </c>
      <c r="C77" s="44" t="s">
        <v>18</v>
      </c>
      <c r="D77" s="44" t="s">
        <v>18</v>
      </c>
      <c r="E77" s="44" t="s">
        <v>18</v>
      </c>
      <c r="F77" s="44" t="s">
        <v>19</v>
      </c>
      <c r="G77" s="45" t="s">
        <v>19</v>
      </c>
      <c r="H77" s="6">
        <v>150</v>
      </c>
      <c r="I77" s="14" t="s">
        <v>20</v>
      </c>
      <c r="J77" s="15">
        <v>10</v>
      </c>
      <c r="K77" s="16" t="s">
        <v>9</v>
      </c>
      <c r="L77" s="22" t="s">
        <v>29</v>
      </c>
      <c r="M77" s="22" t="s">
        <v>30</v>
      </c>
      <c r="N77" s="22" t="s">
        <v>31</v>
      </c>
      <c r="O77" s="22" t="s">
        <v>32</v>
      </c>
      <c r="P77" s="3"/>
    </row>
    <row r="78" spans="1:19" x14ac:dyDescent="0.25">
      <c r="A78" s="12" t="s">
        <v>22</v>
      </c>
      <c r="B78" s="48">
        <v>400</v>
      </c>
      <c r="C78" s="17">
        <v>-108.78328187409943</v>
      </c>
      <c r="D78" s="63">
        <v>-2.0393982653595004</v>
      </c>
      <c r="E78" s="63">
        <v>0</v>
      </c>
      <c r="F78" s="63">
        <v>20.112992019104368</v>
      </c>
      <c r="G78" s="54">
        <v>0</v>
      </c>
      <c r="H78" s="6">
        <v>175</v>
      </c>
      <c r="I78" s="56"/>
      <c r="J78" s="57"/>
      <c r="K78" s="58"/>
      <c r="L78" s="71" t="s">
        <v>1</v>
      </c>
      <c r="M78" s="72"/>
      <c r="N78" s="22" t="s">
        <v>35</v>
      </c>
      <c r="O78" s="22" t="s">
        <v>9</v>
      </c>
    </row>
    <row r="79" spans="1:19" x14ac:dyDescent="0.25">
      <c r="A79" s="20" t="s">
        <v>24</v>
      </c>
      <c r="B79" s="13"/>
      <c r="C79" s="17">
        <v>87.992586336908758</v>
      </c>
      <c r="D79" s="18">
        <v>0</v>
      </c>
      <c r="E79" s="18">
        <v>34.952706336617489</v>
      </c>
      <c r="F79" s="18">
        <v>0</v>
      </c>
      <c r="G79" s="19">
        <v>-0.14428376716912339</v>
      </c>
      <c r="H79" s="6">
        <v>200</v>
      </c>
      <c r="I79" s="59" t="s">
        <v>70</v>
      </c>
      <c r="J79" s="60"/>
      <c r="K79" s="61"/>
      <c r="L79" s="25">
        <f>MAX(ABS(E82),ABS(E83))*1000/(B80*B77)</f>
        <v>0.8766539498715703</v>
      </c>
      <c r="M79" s="25">
        <f>L79-phiVc</f>
        <v>0.21414451597647466</v>
      </c>
      <c r="N79" s="26">
        <f>M79*O79*B77/(phiV*fys*0.25*PI()*(J77^2))</f>
        <v>0.39659238695188126</v>
      </c>
      <c r="O79" s="15">
        <v>100</v>
      </c>
    </row>
    <row r="80" spans="1:19" x14ac:dyDescent="0.25">
      <c r="A80" s="12" t="s">
        <v>26</v>
      </c>
      <c r="B80" s="49">
        <f>B78-clrCover-J77-(IF(M84&gt;1,1.5*J83,0.5*J83))</f>
        <v>340</v>
      </c>
      <c r="C80" s="64">
        <v>-106.18510014330134</v>
      </c>
      <c r="D80" s="17">
        <v>-23.721004787814618</v>
      </c>
      <c r="E80" s="18">
        <v>22.025979640488067</v>
      </c>
      <c r="F80" s="18">
        <v>-10.569455539433365</v>
      </c>
      <c r="G80" s="19">
        <v>-1.0252322452121718</v>
      </c>
      <c r="H80" s="6">
        <v>250</v>
      </c>
      <c r="I80" s="59" t="s">
        <v>71</v>
      </c>
      <c r="J80" s="60"/>
      <c r="K80" s="61"/>
      <c r="L80" s="25">
        <f>MAX(ABS(E82),ABS(E83))*1000/(B85*B77)</f>
        <v>0.8766539498715703</v>
      </c>
      <c r="M80" s="25">
        <f>L80-phiVc</f>
        <v>0.21414451597647466</v>
      </c>
      <c r="N80" s="26">
        <f>M80*O80*B77/(phiV*fys*0.25*PI()*(J77^2))</f>
        <v>0.39659238695188126</v>
      </c>
      <c r="O80" s="15">
        <v>100</v>
      </c>
    </row>
    <row r="81" spans="1:19" x14ac:dyDescent="0.25">
      <c r="A81" s="12" t="s">
        <v>27</v>
      </c>
      <c r="B81" s="50">
        <f>K84*R83</f>
        <v>942</v>
      </c>
      <c r="C81" s="64">
        <v>49.523096404147971</v>
      </c>
      <c r="D81" s="17">
        <v>14.408207670292761</v>
      </c>
      <c r="E81" s="18">
        <v>29.888506903403954</v>
      </c>
      <c r="F81" s="18">
        <v>-4.8472738851524202</v>
      </c>
      <c r="G81" s="19">
        <v>5.3662786938045688</v>
      </c>
      <c r="H81" s="6">
        <v>300</v>
      </c>
    </row>
    <row r="82" spans="1:19" x14ac:dyDescent="0.25">
      <c r="A82" s="12" t="s">
        <v>28</v>
      </c>
      <c r="B82" s="51">
        <f>-phi*B77*(B80^2)*J84*fy*(1-(0.588*J84*fy/fc))/1000000</f>
        <v>-109.399739510592</v>
      </c>
      <c r="C82" s="64">
        <v>51.608294237390169</v>
      </c>
      <c r="D82" s="18">
        <v>1.9821704303105399</v>
      </c>
      <c r="E82" s="17">
        <v>-89.418702886900164</v>
      </c>
      <c r="F82" s="18">
        <v>-101.66507266321948</v>
      </c>
      <c r="G82" s="19">
        <v>-1.3979294613128508</v>
      </c>
      <c r="I82" s="69" t="s">
        <v>68</v>
      </c>
      <c r="J82" s="70"/>
      <c r="K82" s="73" t="s">
        <v>35</v>
      </c>
      <c r="L82" s="66" t="s">
        <v>36</v>
      </c>
      <c r="M82" s="75" t="s">
        <v>37</v>
      </c>
      <c r="N82" s="77" t="s">
        <v>38</v>
      </c>
      <c r="O82" s="75" t="s">
        <v>72</v>
      </c>
      <c r="Q82" s="34" t="s">
        <v>73</v>
      </c>
    </row>
    <row r="83" spans="1:19" x14ac:dyDescent="0.25">
      <c r="A83" s="23" t="s">
        <v>33</v>
      </c>
      <c r="B83" s="13"/>
      <c r="C83" s="64">
        <v>28.536558052419412</v>
      </c>
      <c r="D83" s="18">
        <v>-1.9453847414439018</v>
      </c>
      <c r="E83" s="17">
        <v>71.194010901911994</v>
      </c>
      <c r="F83" s="18">
        <v>-82.893626016199164</v>
      </c>
      <c r="G83" s="19">
        <v>-2.3717680552275264</v>
      </c>
      <c r="I83" s="14" t="s">
        <v>23</v>
      </c>
      <c r="J83" s="41">
        <v>20</v>
      </c>
      <c r="K83" s="74"/>
      <c r="L83" s="40" t="s">
        <v>9</v>
      </c>
      <c r="M83" s="76"/>
      <c r="N83" s="78"/>
      <c r="O83" s="76"/>
      <c r="Q83" s="14" t="s">
        <v>75</v>
      </c>
      <c r="R83" s="21">
        <f>IF(J83=16,201,IF(J83=20,314,IF(J83=25,490,"Err")))</f>
        <v>314</v>
      </c>
      <c r="S83" s="16" t="s">
        <v>25</v>
      </c>
    </row>
    <row r="84" spans="1:19" x14ac:dyDescent="0.25">
      <c r="A84" s="20" t="s">
        <v>39</v>
      </c>
      <c r="B84" s="13"/>
      <c r="C84" s="64">
        <v>51.608294237390169</v>
      </c>
      <c r="D84" s="18">
        <v>1.9821704303105399</v>
      </c>
      <c r="E84" s="18">
        <v>-89.418702886900164</v>
      </c>
      <c r="F84" s="17">
        <v>-101.66507266321948</v>
      </c>
      <c r="G84" s="19">
        <v>-1.3979294613128508</v>
      </c>
      <c r="I84" s="14" t="s">
        <v>40</v>
      </c>
      <c r="J84" s="24">
        <f>MAX(rhoMin,(K84*R83/(B77*B80)))</f>
        <v>9.2352941176470586E-3</v>
      </c>
      <c r="K84" s="15">
        <v>3</v>
      </c>
      <c r="L84" s="39">
        <f>IF(M84&lt;2,(B77-(2*(J77+clrCover))-(K84*J83))/(K84-1),(B77-(2*(J77+clrCover))-(N84*J83))/((N84)-1))</f>
        <v>70</v>
      </c>
      <c r="M84" s="15">
        <v>1</v>
      </c>
      <c r="N84" s="22">
        <f>IF(M84&lt;2,K84,CEILING(K84/2,1))</f>
        <v>3</v>
      </c>
      <c r="O84" s="22">
        <f>K84-N84</f>
        <v>0</v>
      </c>
      <c r="Q84" s="37" t="s">
        <v>74</v>
      </c>
      <c r="R84" s="38">
        <f>rhoMin*B77*B80</f>
        <v>336.6</v>
      </c>
      <c r="S84" s="22">
        <f>ROUND(R84/R83,0)</f>
        <v>1</v>
      </c>
    </row>
    <row r="85" spans="1:19" x14ac:dyDescent="0.25">
      <c r="A85" s="12" t="s">
        <v>26</v>
      </c>
      <c r="B85" s="49">
        <f>B78-clrCover-J77-(IF(M87&gt;1,1.5*J86,0.5*J86))</f>
        <v>340</v>
      </c>
      <c r="C85" s="64">
        <v>77.09692055135497</v>
      </c>
      <c r="D85" s="18">
        <v>3.2936539282209778</v>
      </c>
      <c r="E85" s="18">
        <v>42.49673368456989</v>
      </c>
      <c r="F85" s="17">
        <v>78.517600952302871</v>
      </c>
      <c r="G85" s="19">
        <v>-5.4578363993027335</v>
      </c>
      <c r="I85" s="69" t="s">
        <v>69</v>
      </c>
      <c r="J85" s="70"/>
      <c r="K85" s="75" t="s">
        <v>35</v>
      </c>
      <c r="L85" s="66" t="s">
        <v>36</v>
      </c>
      <c r="M85" s="75" t="s">
        <v>37</v>
      </c>
      <c r="N85" s="77" t="s">
        <v>38</v>
      </c>
      <c r="O85" s="75" t="s">
        <v>72</v>
      </c>
      <c r="R85" s="36"/>
    </row>
    <row r="86" spans="1:19" x14ac:dyDescent="0.25">
      <c r="A86" s="12" t="s">
        <v>27</v>
      </c>
      <c r="B86" s="50">
        <f>K87*R86</f>
        <v>628</v>
      </c>
      <c r="C86" s="64">
        <v>-106.18510014330134</v>
      </c>
      <c r="D86" s="18">
        <v>-23.721004787814618</v>
      </c>
      <c r="E86" s="18">
        <v>32.775777804695032</v>
      </c>
      <c r="F86" s="18">
        <v>-47.703510140185848</v>
      </c>
      <c r="G86" s="17">
        <v>-33.172270152035495</v>
      </c>
      <c r="I86" s="14" t="s">
        <v>23</v>
      </c>
      <c r="J86" s="41">
        <v>20</v>
      </c>
      <c r="K86" s="76"/>
      <c r="L86" s="40" t="s">
        <v>9</v>
      </c>
      <c r="M86" s="76"/>
      <c r="N86" s="78"/>
      <c r="O86" s="76"/>
      <c r="Q86" s="14" t="s">
        <v>75</v>
      </c>
      <c r="R86" s="21">
        <f>IF(J86=16,201,IF(J86=20,314,IF(J86=25,490,"Err")))</f>
        <v>314</v>
      </c>
      <c r="S86" s="16" t="s">
        <v>25</v>
      </c>
    </row>
    <row r="87" spans="1:19" x14ac:dyDescent="0.25">
      <c r="A87" s="27" t="s">
        <v>28</v>
      </c>
      <c r="B87" s="52">
        <f>phi*B77*(B85^2)*J87*fy*(1-(0.588*J87*fy/fc))/1000000</f>
        <v>75.141290449151995</v>
      </c>
      <c r="C87" s="53">
        <v>-107.96700182466743</v>
      </c>
      <c r="D87" s="28">
        <v>13.456897026328395</v>
      </c>
      <c r="E87" s="28">
        <v>31.534134932719823</v>
      </c>
      <c r="F87" s="28">
        <v>-42.581383252173815</v>
      </c>
      <c r="G87" s="17">
        <v>26.460265503059123</v>
      </c>
      <c r="I87" s="14" t="s">
        <v>40</v>
      </c>
      <c r="J87" s="24">
        <f>MAX(rhoMin,(K87*R86/(B77*B80)))</f>
        <v>6.1568627450980396E-3</v>
      </c>
      <c r="K87" s="15">
        <v>2</v>
      </c>
      <c r="L87" s="21">
        <f>IF(M87&lt;2,(B77-(2*(J77+clrCover))-(K87*J86))/(K87-1),(B77-(2*(J77+clrCover))-(N87*J86))/((N87)-1))</f>
        <v>160</v>
      </c>
      <c r="M87" s="15">
        <v>1</v>
      </c>
      <c r="N87" s="22">
        <f>IF(M87&lt;2,K87,CEILING(K87/2,1))</f>
        <v>2</v>
      </c>
      <c r="O87" s="22">
        <f>K87-N87</f>
        <v>0</v>
      </c>
      <c r="Q87" s="37" t="s">
        <v>74</v>
      </c>
      <c r="R87" s="38">
        <f>rhoMin*B77*B85</f>
        <v>336.6</v>
      </c>
      <c r="S87" s="22">
        <f>ROUND(R87/R86,0)</f>
        <v>1</v>
      </c>
    </row>
    <row r="88" spans="1:19" x14ac:dyDescent="0.25">
      <c r="A88" s="65" t="s">
        <v>76</v>
      </c>
    </row>
    <row r="89" spans="1:19" x14ac:dyDescent="0.25">
      <c r="A89" s="62" t="s">
        <v>86</v>
      </c>
      <c r="B89" s="11" t="s">
        <v>11</v>
      </c>
      <c r="C89" s="10" t="s">
        <v>12</v>
      </c>
      <c r="D89" s="10" t="s">
        <v>13</v>
      </c>
      <c r="E89" s="10" t="s">
        <v>14</v>
      </c>
      <c r="F89" s="10" t="s">
        <v>15</v>
      </c>
      <c r="G89" s="11" t="s">
        <v>16</v>
      </c>
      <c r="H89" s="6">
        <v>125</v>
      </c>
      <c r="I89" s="69" t="s">
        <v>34</v>
      </c>
      <c r="J89" s="70"/>
      <c r="K89" s="3"/>
    </row>
    <row r="90" spans="1:19" x14ac:dyDescent="0.25">
      <c r="A90" s="12" t="s">
        <v>17</v>
      </c>
      <c r="B90" s="48">
        <v>300</v>
      </c>
      <c r="C90" s="44" t="s">
        <v>18</v>
      </c>
      <c r="D90" s="44" t="s">
        <v>18</v>
      </c>
      <c r="E90" s="44" t="s">
        <v>18</v>
      </c>
      <c r="F90" s="44" t="s">
        <v>19</v>
      </c>
      <c r="G90" s="45" t="s">
        <v>19</v>
      </c>
      <c r="H90" s="6">
        <v>150</v>
      </c>
      <c r="I90" s="14" t="s">
        <v>20</v>
      </c>
      <c r="J90" s="15">
        <v>10</v>
      </c>
      <c r="K90" s="16" t="s">
        <v>9</v>
      </c>
      <c r="L90" s="22" t="s">
        <v>29</v>
      </c>
      <c r="M90" s="22" t="s">
        <v>30</v>
      </c>
      <c r="N90" s="22" t="s">
        <v>31</v>
      </c>
      <c r="O90" s="22" t="s">
        <v>32</v>
      </c>
      <c r="P90" s="3"/>
    </row>
    <row r="91" spans="1:19" x14ac:dyDescent="0.25">
      <c r="A91" s="12" t="s">
        <v>22</v>
      </c>
      <c r="B91" s="48">
        <v>500</v>
      </c>
      <c r="C91" s="17">
        <v>-495.54947846578119</v>
      </c>
      <c r="D91" s="63">
        <v>-12.263885278729852</v>
      </c>
      <c r="E91" s="63">
        <v>0</v>
      </c>
      <c r="F91" s="63">
        <v>-201.61167288503472</v>
      </c>
      <c r="G91" s="54">
        <v>0</v>
      </c>
      <c r="H91" s="6">
        <v>175</v>
      </c>
      <c r="I91" s="56"/>
      <c r="J91" s="57"/>
      <c r="K91" s="58"/>
      <c r="L91" s="71" t="s">
        <v>1</v>
      </c>
      <c r="M91" s="72"/>
      <c r="N91" s="22" t="s">
        <v>35</v>
      </c>
      <c r="O91" s="22" t="s">
        <v>9</v>
      </c>
    </row>
    <row r="92" spans="1:19" x14ac:dyDescent="0.25">
      <c r="A92" s="20" t="s">
        <v>24</v>
      </c>
      <c r="B92" s="13"/>
      <c r="C92" s="17">
        <v>565.63252546959336</v>
      </c>
      <c r="D92" s="18">
        <v>0</v>
      </c>
      <c r="E92" s="18">
        <v>86.48836947020699</v>
      </c>
      <c r="F92" s="18">
        <v>0</v>
      </c>
      <c r="G92" s="19">
        <v>-25.665731490701344</v>
      </c>
      <c r="H92" s="6">
        <v>200</v>
      </c>
      <c r="I92" s="59" t="s">
        <v>70</v>
      </c>
      <c r="J92" s="60"/>
      <c r="K92" s="61"/>
      <c r="L92" s="25">
        <f>MAX(ABS(E95),ABS(E96))*1000/(B93*B90)</f>
        <v>1.0615519016909347</v>
      </c>
      <c r="M92" s="25">
        <f>L92-phiVc</f>
        <v>0.39904246779583907</v>
      </c>
      <c r="N92" s="26">
        <f>M92*O92*B90/(phiV*fys*0.25*PI()*(J90^2))</f>
        <v>0.73902058185653807</v>
      </c>
      <c r="O92" s="15">
        <v>100</v>
      </c>
    </row>
    <row r="93" spans="1:19" x14ac:dyDescent="0.25">
      <c r="A93" s="12" t="s">
        <v>26</v>
      </c>
      <c r="B93" s="49">
        <f>B91-clrCover-J90-(IF(M97&gt;1,1.5*J96,0.5*J96))</f>
        <v>420</v>
      </c>
      <c r="C93" s="64">
        <v>-232.67207711748975</v>
      </c>
      <c r="D93" s="17">
        <v>-27.865419568211923</v>
      </c>
      <c r="E93" s="18">
        <v>9.0741402425725823</v>
      </c>
      <c r="F93" s="18">
        <v>44.905992987052869</v>
      </c>
      <c r="G93" s="19">
        <v>46.693138589963432</v>
      </c>
      <c r="H93" s="6">
        <v>250</v>
      </c>
      <c r="I93" s="59" t="s">
        <v>71</v>
      </c>
      <c r="J93" s="60"/>
      <c r="K93" s="61"/>
      <c r="L93" s="25">
        <f>MAX(ABS(E95),ABS(E96))*1000/(B98*B90)</f>
        <v>1.0615519016909347</v>
      </c>
      <c r="M93" s="25">
        <f>L93-phiVc</f>
        <v>0.39904246779583907</v>
      </c>
      <c r="N93" s="26">
        <f>M93*O93*B90/(phiV*fys*0.25*PI()*(J90^2))</f>
        <v>0.73902058185653807</v>
      </c>
      <c r="O93" s="15">
        <v>100</v>
      </c>
    </row>
    <row r="94" spans="1:19" x14ac:dyDescent="0.25">
      <c r="A94" s="12" t="s">
        <v>27</v>
      </c>
      <c r="B94" s="50">
        <f>K97*R96</f>
        <v>1570</v>
      </c>
      <c r="C94" s="64">
        <v>7.5990560930558342</v>
      </c>
      <c r="D94" s="17">
        <v>23.616406790770249</v>
      </c>
      <c r="E94" s="18">
        <v>-25.338778001837372</v>
      </c>
      <c r="F94" s="18">
        <v>-7.2666566097723288E-13</v>
      </c>
      <c r="G94" s="19">
        <v>-4.6678479748152311E-12</v>
      </c>
      <c r="H94" s="6">
        <v>300</v>
      </c>
    </row>
    <row r="95" spans="1:19" x14ac:dyDescent="0.25">
      <c r="A95" s="12" t="s">
        <v>28</v>
      </c>
      <c r="B95" s="51">
        <f>-phi*B90*(B93^2)*J97*fy*(1-(0.588*J97*fy/fc))/1000000</f>
        <v>-218.09080530719999</v>
      </c>
      <c r="C95" s="64">
        <v>-92.983918838421459</v>
      </c>
      <c r="D95" s="18">
        <v>19.146962839984365</v>
      </c>
      <c r="E95" s="17">
        <v>-133.75553961305778</v>
      </c>
      <c r="F95" s="18">
        <v>-159.3369546278264</v>
      </c>
      <c r="G95" s="19">
        <v>-18.781041667186003</v>
      </c>
      <c r="I95" s="69" t="s">
        <v>68</v>
      </c>
      <c r="J95" s="70"/>
      <c r="K95" s="73" t="s">
        <v>35</v>
      </c>
      <c r="L95" s="66" t="s">
        <v>36</v>
      </c>
      <c r="M95" s="75" t="s">
        <v>37</v>
      </c>
      <c r="N95" s="77" t="s">
        <v>38</v>
      </c>
      <c r="O95" s="75" t="s">
        <v>72</v>
      </c>
      <c r="Q95" s="34" t="s">
        <v>73</v>
      </c>
    </row>
    <row r="96" spans="1:19" x14ac:dyDescent="0.25">
      <c r="A96" s="23" t="s">
        <v>33</v>
      </c>
      <c r="B96" s="13"/>
      <c r="C96" s="64">
        <v>565.63252546959336</v>
      </c>
      <c r="D96" s="18">
        <v>12.728459176568082</v>
      </c>
      <c r="E96" s="17">
        <v>126.99670183204863</v>
      </c>
      <c r="F96" s="18">
        <v>2.4475298232573551E-12</v>
      </c>
      <c r="G96" s="19">
        <v>1.2121226689032481E-12</v>
      </c>
      <c r="I96" s="14" t="s">
        <v>23</v>
      </c>
      <c r="J96" s="41">
        <v>20</v>
      </c>
      <c r="K96" s="74"/>
      <c r="L96" s="40" t="s">
        <v>9</v>
      </c>
      <c r="M96" s="76"/>
      <c r="N96" s="78"/>
      <c r="O96" s="76"/>
      <c r="Q96" s="14" t="s">
        <v>75</v>
      </c>
      <c r="R96" s="21">
        <f>IF(J96=16,201,IF(J96=20,314,IF(J96=25,490,"Err")))</f>
        <v>314</v>
      </c>
      <c r="S96" s="16" t="s">
        <v>25</v>
      </c>
    </row>
    <row r="97" spans="1:19" x14ac:dyDescent="0.25">
      <c r="A97" s="20" t="s">
        <v>39</v>
      </c>
      <c r="B97" s="13"/>
      <c r="C97" s="64">
        <v>-495.54947846578119</v>
      </c>
      <c r="D97" s="18">
        <v>-12.263885278729852</v>
      </c>
      <c r="E97" s="18">
        <v>-115.17631757284097</v>
      </c>
      <c r="F97" s="17">
        <v>-201.61167288503472</v>
      </c>
      <c r="G97" s="19">
        <v>24.728962259319918</v>
      </c>
      <c r="I97" s="14" t="s">
        <v>40</v>
      </c>
      <c r="J97" s="24">
        <f>MAX(rhoMin,(K97*R96/(B90*B93)))</f>
        <v>1.246031746031746E-2</v>
      </c>
      <c r="K97" s="15">
        <v>5</v>
      </c>
      <c r="L97" s="39">
        <f>IF(M97&lt;2,(B90-(2*(J90+clrCover))-(K97*J96))/(K97-1),(B90-(2*(J90+clrCover))-(N97*J96))/((N97)-1))</f>
        <v>70</v>
      </c>
      <c r="M97" s="15">
        <v>2</v>
      </c>
      <c r="N97" s="22">
        <f>IF(M97&lt;2,K97,CEILING(K97/2,1))</f>
        <v>3</v>
      </c>
      <c r="O97" s="22">
        <f>K97-N97</f>
        <v>2</v>
      </c>
      <c r="Q97" s="37" t="s">
        <v>74</v>
      </c>
      <c r="R97" s="38">
        <f>rhoMin*B90*B93</f>
        <v>415.8</v>
      </c>
      <c r="S97" s="22">
        <f>ROUND(R97/R96,0)</f>
        <v>1</v>
      </c>
    </row>
    <row r="98" spans="1:19" x14ac:dyDescent="0.25">
      <c r="A98" s="12" t="s">
        <v>26</v>
      </c>
      <c r="B98" s="49">
        <f>B91-clrCover-J90-(IF(M100&gt;1,1.5*J99,0.5*J99))</f>
        <v>420</v>
      </c>
      <c r="C98" s="64">
        <v>565.63252546959336</v>
      </c>
      <c r="D98" s="18">
        <v>12.728459176568082</v>
      </c>
      <c r="E98" s="18">
        <v>86.48836947020699</v>
      </c>
      <c r="F98" s="17">
        <v>215.23620578538049</v>
      </c>
      <c r="G98" s="19">
        <v>-25.665731490701344</v>
      </c>
      <c r="I98" s="69" t="s">
        <v>69</v>
      </c>
      <c r="J98" s="70"/>
      <c r="K98" s="75" t="s">
        <v>35</v>
      </c>
      <c r="L98" s="66" t="s">
        <v>36</v>
      </c>
      <c r="M98" s="75" t="s">
        <v>37</v>
      </c>
      <c r="N98" s="77" t="s">
        <v>38</v>
      </c>
      <c r="O98" s="75" t="s">
        <v>72</v>
      </c>
      <c r="R98" s="36"/>
    </row>
    <row r="99" spans="1:19" x14ac:dyDescent="0.25">
      <c r="A99" s="12" t="s">
        <v>27</v>
      </c>
      <c r="B99" s="50">
        <f>K100*R99</f>
        <v>1570</v>
      </c>
      <c r="C99" s="64">
        <v>-232.67207711748975</v>
      </c>
      <c r="D99" s="18">
        <v>-27.865419568211923</v>
      </c>
      <c r="E99" s="18">
        <v>70.771379539961131</v>
      </c>
      <c r="F99" s="18">
        <v>-77.702268984289816</v>
      </c>
      <c r="G99" s="17">
        <v>-38.885380321703181</v>
      </c>
      <c r="I99" s="14" t="s">
        <v>23</v>
      </c>
      <c r="J99" s="41">
        <v>20</v>
      </c>
      <c r="K99" s="76"/>
      <c r="L99" s="40" t="s">
        <v>9</v>
      </c>
      <c r="M99" s="76"/>
      <c r="N99" s="78"/>
      <c r="O99" s="76"/>
      <c r="Q99" s="14" t="s">
        <v>75</v>
      </c>
      <c r="R99" s="21">
        <f>IF(J99=16,201,IF(J99=20,314,IF(J99=25,490,"Err")))</f>
        <v>314</v>
      </c>
      <c r="S99" s="16" t="s">
        <v>25</v>
      </c>
    </row>
    <row r="100" spans="1:19" x14ac:dyDescent="0.25">
      <c r="A100" s="27" t="s">
        <v>28</v>
      </c>
      <c r="B100" s="52">
        <f>phi*B90*(B98^2)*J100*fy*(1-(0.588*J100*fy/fc))/1000000</f>
        <v>218.09080530719999</v>
      </c>
      <c r="C100" s="53">
        <v>-232.67207711748975</v>
      </c>
      <c r="D100" s="28">
        <v>-27.865419568211923</v>
      </c>
      <c r="E100" s="28">
        <v>9.0741402425725823</v>
      </c>
      <c r="F100" s="28">
        <v>44.905992987052869</v>
      </c>
      <c r="G100" s="17">
        <v>46.693138589963432</v>
      </c>
      <c r="I100" s="14" t="s">
        <v>40</v>
      </c>
      <c r="J100" s="24">
        <f>MAX(rhoMin,(K100*R99/(B90*B93)))</f>
        <v>1.246031746031746E-2</v>
      </c>
      <c r="K100" s="15">
        <v>5</v>
      </c>
      <c r="L100" s="21">
        <f>IF(M100&lt;2,(B90-(2*(J90+clrCover))-(K100*J99))/(K100-1),(B90-(2*(J90+clrCover))-(N100*J99))/((N100)-1))</f>
        <v>70</v>
      </c>
      <c r="M100" s="15">
        <v>2</v>
      </c>
      <c r="N100" s="22">
        <f>IF(M100&lt;2,K100,CEILING(K100/2,1))</f>
        <v>3</v>
      </c>
      <c r="O100" s="22">
        <f>K100-N100</f>
        <v>2</v>
      </c>
      <c r="Q100" s="37" t="s">
        <v>74</v>
      </c>
      <c r="R100" s="38">
        <f>rhoMin*B90*B98</f>
        <v>415.8</v>
      </c>
      <c r="S100" s="22">
        <f>ROUND(R100/R99,0)</f>
        <v>1</v>
      </c>
    </row>
    <row r="101" spans="1:19" x14ac:dyDescent="0.25">
      <c r="A101" s="65" t="s">
        <v>76</v>
      </c>
    </row>
    <row r="102" spans="1:19" x14ac:dyDescent="0.25">
      <c r="A102" s="62" t="s">
        <v>89</v>
      </c>
      <c r="B102" s="11" t="s">
        <v>11</v>
      </c>
      <c r="C102" s="10" t="s">
        <v>12</v>
      </c>
      <c r="D102" s="10" t="s">
        <v>13</v>
      </c>
      <c r="E102" s="10" t="s">
        <v>14</v>
      </c>
      <c r="F102" s="10" t="s">
        <v>15</v>
      </c>
      <c r="G102" s="11" t="s">
        <v>16</v>
      </c>
      <c r="H102" s="6">
        <v>125</v>
      </c>
      <c r="I102" s="69" t="s">
        <v>34</v>
      </c>
      <c r="J102" s="70"/>
      <c r="K102" s="3"/>
    </row>
    <row r="103" spans="1:19" x14ac:dyDescent="0.25">
      <c r="A103" s="12" t="s">
        <v>17</v>
      </c>
      <c r="B103" s="48">
        <v>300</v>
      </c>
      <c r="C103" s="44" t="s">
        <v>18</v>
      </c>
      <c r="D103" s="44" t="s">
        <v>18</v>
      </c>
      <c r="E103" s="44" t="s">
        <v>18</v>
      </c>
      <c r="F103" s="44" t="s">
        <v>19</v>
      </c>
      <c r="G103" s="45" t="s">
        <v>19</v>
      </c>
      <c r="H103" s="6">
        <v>150</v>
      </c>
      <c r="I103" s="14" t="s">
        <v>20</v>
      </c>
      <c r="J103" s="15">
        <v>10</v>
      </c>
      <c r="K103" s="16" t="s">
        <v>9</v>
      </c>
      <c r="L103" s="22" t="s">
        <v>29</v>
      </c>
      <c r="M103" s="22" t="s">
        <v>30</v>
      </c>
      <c r="N103" s="22" t="s">
        <v>31</v>
      </c>
      <c r="O103" s="22" t="s">
        <v>32</v>
      </c>
      <c r="P103" s="3"/>
    </row>
    <row r="104" spans="1:19" x14ac:dyDescent="0.25">
      <c r="A104" s="12" t="s">
        <v>22</v>
      </c>
      <c r="B104" s="48">
        <v>600</v>
      </c>
      <c r="C104" s="17">
        <v>-542.8039916766121</v>
      </c>
      <c r="D104" s="63">
        <v>-22.843255993820105</v>
      </c>
      <c r="E104" s="63">
        <v>0</v>
      </c>
      <c r="F104" s="63">
        <v>-84.438211368578649</v>
      </c>
      <c r="G104" s="54">
        <v>0</v>
      </c>
      <c r="H104" s="6">
        <v>175</v>
      </c>
      <c r="I104" s="56"/>
      <c r="J104" s="57"/>
      <c r="K104" s="58"/>
      <c r="L104" s="71" t="s">
        <v>1</v>
      </c>
      <c r="M104" s="72"/>
      <c r="N104" s="22" t="s">
        <v>35</v>
      </c>
      <c r="O104" s="22" t="s">
        <v>9</v>
      </c>
    </row>
    <row r="105" spans="1:19" x14ac:dyDescent="0.25">
      <c r="A105" s="20" t="s">
        <v>24</v>
      </c>
      <c r="B105" s="13"/>
      <c r="C105" s="17">
        <v>482.6508673848785</v>
      </c>
      <c r="D105" s="18">
        <v>0</v>
      </c>
      <c r="E105" s="18">
        <v>-57.967829106200071</v>
      </c>
      <c r="F105" s="18">
        <v>0</v>
      </c>
      <c r="G105" s="19">
        <v>-23.9231998716843</v>
      </c>
      <c r="H105" s="6">
        <v>200</v>
      </c>
      <c r="I105" s="59" t="s">
        <v>70</v>
      </c>
      <c r="J105" s="60"/>
      <c r="K105" s="61"/>
      <c r="L105" s="25">
        <f>MAX(ABS(E108),ABS(E109))*1000/(B106*B103)</f>
        <v>1.3741078627017795</v>
      </c>
      <c r="M105" s="25">
        <f>L105-phiVc</f>
        <v>0.71159842880668389</v>
      </c>
      <c r="N105" s="26">
        <f>M105*O105*B103/(phiV*fys*0.25*PI()*(J103^2))</f>
        <v>1.3178694684044789</v>
      </c>
      <c r="O105" s="15">
        <v>100</v>
      </c>
    </row>
    <row r="106" spans="1:19" x14ac:dyDescent="0.25">
      <c r="A106" s="12" t="s">
        <v>26</v>
      </c>
      <c r="B106" s="49">
        <f>B104-clrCover-J103-(IF(M110&gt;1,1.5*J109,0.5*J109))</f>
        <v>520</v>
      </c>
      <c r="C106" s="64">
        <v>-3.4415286485989403</v>
      </c>
      <c r="D106" s="17">
        <v>-58.649949611102102</v>
      </c>
      <c r="E106" s="18">
        <v>-14.071479133150181</v>
      </c>
      <c r="F106" s="18">
        <v>-8.0323758249181088E-2</v>
      </c>
      <c r="G106" s="19">
        <v>-2.158481004115461</v>
      </c>
      <c r="H106" s="6">
        <v>250</v>
      </c>
      <c r="I106" s="59" t="s">
        <v>71</v>
      </c>
      <c r="J106" s="60"/>
      <c r="K106" s="61"/>
      <c r="L106" s="25">
        <f>MAX(ABS(E108),ABS(E109))*1000/(B111*B103)</f>
        <v>1.3741078627017795</v>
      </c>
      <c r="M106" s="25">
        <f>L106-phiVc</f>
        <v>0.71159842880668389</v>
      </c>
      <c r="N106" s="26">
        <f>M106*O106*B103/(phiV*fys*0.25*PI()*(J103^2))</f>
        <v>1.3178694684044789</v>
      </c>
      <c r="O106" s="15">
        <v>100</v>
      </c>
    </row>
    <row r="107" spans="1:19" x14ac:dyDescent="0.25">
      <c r="A107" s="12" t="s">
        <v>27</v>
      </c>
      <c r="B107" s="50">
        <f>K110*R109</f>
        <v>1570</v>
      </c>
      <c r="C107" s="64">
        <v>-185.95134535477251</v>
      </c>
      <c r="D107" s="17">
        <v>49.942116584527113</v>
      </c>
      <c r="E107" s="18">
        <v>-133.81227319969784</v>
      </c>
      <c r="F107" s="18">
        <v>-240.74825110228562</v>
      </c>
      <c r="G107" s="19">
        <v>-24.071770751095684</v>
      </c>
      <c r="H107" s="6">
        <v>300</v>
      </c>
    </row>
    <row r="108" spans="1:19" x14ac:dyDescent="0.25">
      <c r="A108" s="12" t="s">
        <v>28</v>
      </c>
      <c r="B108" s="51">
        <f>-phi*B103*(B106^2)*J110*fy*(1-(0.588*J110*fy/fc))/1000000</f>
        <v>-276.58900530720001</v>
      </c>
      <c r="C108" s="64">
        <v>-56.048855570418723</v>
      </c>
      <c r="D108" s="18">
        <v>1.4652421895206076</v>
      </c>
      <c r="E108" s="17">
        <v>-214.36082658147762</v>
      </c>
      <c r="F108" s="18">
        <v>-276.83219443718025</v>
      </c>
      <c r="G108" s="19">
        <v>-0.84987615084199497</v>
      </c>
      <c r="I108" s="69" t="s">
        <v>68</v>
      </c>
      <c r="J108" s="70"/>
      <c r="K108" s="73" t="s">
        <v>35</v>
      </c>
      <c r="L108" s="66" t="s">
        <v>36</v>
      </c>
      <c r="M108" s="75" t="s">
        <v>37</v>
      </c>
      <c r="N108" s="77" t="s">
        <v>38</v>
      </c>
      <c r="O108" s="75" t="s">
        <v>72</v>
      </c>
      <c r="Q108" s="34" t="s">
        <v>73</v>
      </c>
    </row>
    <row r="109" spans="1:19" x14ac:dyDescent="0.25">
      <c r="A109" s="23" t="s">
        <v>33</v>
      </c>
      <c r="B109" s="13"/>
      <c r="C109" s="64">
        <v>-69.718827933365773</v>
      </c>
      <c r="D109" s="18">
        <v>8.2469811014891352</v>
      </c>
      <c r="E109" s="17">
        <v>182.86584329323233</v>
      </c>
      <c r="F109" s="18">
        <v>-261.24898288882321</v>
      </c>
      <c r="G109" s="19">
        <v>4.43395269008934</v>
      </c>
      <c r="I109" s="14" t="s">
        <v>23</v>
      </c>
      <c r="J109" s="41">
        <v>20</v>
      </c>
      <c r="K109" s="74"/>
      <c r="L109" s="40" t="s">
        <v>9</v>
      </c>
      <c r="M109" s="76"/>
      <c r="N109" s="78"/>
      <c r="O109" s="76"/>
      <c r="Q109" s="14" t="s">
        <v>75</v>
      </c>
      <c r="R109" s="21">
        <f>IF(J109=16,201,IF(J109=20,314,IF(J109=25,490,"Err")))</f>
        <v>314</v>
      </c>
      <c r="S109" s="16" t="s">
        <v>25</v>
      </c>
    </row>
    <row r="110" spans="1:19" x14ac:dyDescent="0.25">
      <c r="A110" s="20" t="s">
        <v>39</v>
      </c>
      <c r="B110" s="13"/>
      <c r="C110" s="64">
        <v>-56.048855570418723</v>
      </c>
      <c r="D110" s="18">
        <v>1.4652421895206076</v>
      </c>
      <c r="E110" s="18">
        <v>-214.36082658147762</v>
      </c>
      <c r="F110" s="17">
        <v>-276.83219443718025</v>
      </c>
      <c r="G110" s="19">
        <v>-0.84987615084199497</v>
      </c>
      <c r="I110" s="14" t="s">
        <v>40</v>
      </c>
      <c r="J110" s="24">
        <f>MAX(rhoMin,(K110*R109/(B103*B106)))</f>
        <v>1.0064102564102563E-2</v>
      </c>
      <c r="K110" s="15">
        <v>5</v>
      </c>
      <c r="L110" s="39">
        <f>IF(M110&lt;2,(B103-(2*(J103+clrCover))-(K110*J109))/(K110-1),(B103-(2*(J103+clrCover))-(N110*J109))/((N110)-1))</f>
        <v>70</v>
      </c>
      <c r="M110" s="15">
        <v>2</v>
      </c>
      <c r="N110" s="22">
        <f>IF(M110&lt;2,K110,CEILING(K110/2,1))</f>
        <v>3</v>
      </c>
      <c r="O110" s="22">
        <f>K110-N110</f>
        <v>2</v>
      </c>
      <c r="Q110" s="37" t="s">
        <v>74</v>
      </c>
      <c r="R110" s="38">
        <f>rhoMin*B103*B106</f>
        <v>514.79999999999995</v>
      </c>
      <c r="S110" s="22">
        <f>ROUND(R110/R109,0)</f>
        <v>2</v>
      </c>
    </row>
    <row r="111" spans="1:19" x14ac:dyDescent="0.25">
      <c r="A111" s="12" t="s">
        <v>26</v>
      </c>
      <c r="B111" s="49">
        <f>B104-clrCover-J103-(IF(M113&gt;1,1.5*J112,0.5*J112))</f>
        <v>520</v>
      </c>
      <c r="C111" s="64">
        <v>34.147439628379296</v>
      </c>
      <c r="D111" s="18">
        <v>-0.94353627817626706</v>
      </c>
      <c r="E111" s="18">
        <v>-90.564091217011807</v>
      </c>
      <c r="F111" s="17">
        <v>207.65826386439397</v>
      </c>
      <c r="G111" s="19">
        <v>-1.7256817527888075</v>
      </c>
      <c r="I111" s="69" t="s">
        <v>69</v>
      </c>
      <c r="J111" s="70"/>
      <c r="K111" s="75" t="s">
        <v>35</v>
      </c>
      <c r="L111" s="66" t="s">
        <v>36</v>
      </c>
      <c r="M111" s="75" t="s">
        <v>37</v>
      </c>
      <c r="N111" s="77" t="s">
        <v>38</v>
      </c>
      <c r="O111" s="75" t="s">
        <v>72</v>
      </c>
      <c r="R111" s="36"/>
    </row>
    <row r="112" spans="1:19" x14ac:dyDescent="0.25">
      <c r="A112" s="12" t="s">
        <v>27</v>
      </c>
      <c r="B112" s="50">
        <f>K113*R112</f>
        <v>1570</v>
      </c>
      <c r="C112" s="64">
        <v>18.052762970975433</v>
      </c>
      <c r="D112" s="18">
        <v>-17.426512112686396</v>
      </c>
      <c r="E112" s="18">
        <v>48.019197392652288</v>
      </c>
      <c r="F112" s="18">
        <v>-23.822818637655896</v>
      </c>
      <c r="G112" s="17">
        <v>-26.335817857657663</v>
      </c>
      <c r="I112" s="14" t="s">
        <v>23</v>
      </c>
      <c r="J112" s="41">
        <v>20</v>
      </c>
      <c r="K112" s="76"/>
      <c r="L112" s="40" t="s">
        <v>9</v>
      </c>
      <c r="M112" s="76"/>
      <c r="N112" s="78"/>
      <c r="O112" s="76"/>
      <c r="Q112" s="14" t="s">
        <v>75</v>
      </c>
      <c r="R112" s="21">
        <f>IF(J112=16,201,IF(J112=20,314,IF(J112=25,490,"Err")))</f>
        <v>314</v>
      </c>
      <c r="S112" s="16" t="s">
        <v>25</v>
      </c>
    </row>
    <row r="113" spans="1:19" x14ac:dyDescent="0.25">
      <c r="A113" s="27" t="s">
        <v>28</v>
      </c>
      <c r="B113" s="52">
        <f>phi*B103*(B111^2)*J113*fy*(1-(0.588*J113*fy/fc))/1000000</f>
        <v>276.58900530720001</v>
      </c>
      <c r="C113" s="53">
        <v>125.79822106303895</v>
      </c>
      <c r="D113" s="28">
        <v>-56.466641874664951</v>
      </c>
      <c r="E113" s="28">
        <v>-9.5175061734415074</v>
      </c>
      <c r="F113" s="28">
        <v>101.41872154563777</v>
      </c>
      <c r="G113" s="17">
        <v>28.33433100511834</v>
      </c>
      <c r="I113" s="14" t="s">
        <v>40</v>
      </c>
      <c r="J113" s="24">
        <f>MAX(rhoMin,(K113*R112/(B103*B106)))</f>
        <v>1.0064102564102563E-2</v>
      </c>
      <c r="K113" s="15">
        <v>5</v>
      </c>
      <c r="L113" s="21">
        <f>IF(M113&lt;2,(B103-(2*(J103+clrCover))-(K113*J112))/(K113-1),(B103-(2*(J103+clrCover))-(N113*J112))/((N113)-1))</f>
        <v>70</v>
      </c>
      <c r="M113" s="15">
        <v>2</v>
      </c>
      <c r="N113" s="22">
        <f>IF(M113&lt;2,K113,CEILING(K113/2,1))</f>
        <v>3</v>
      </c>
      <c r="O113" s="22">
        <f>K113-N113</f>
        <v>2</v>
      </c>
      <c r="Q113" s="37" t="s">
        <v>74</v>
      </c>
      <c r="R113" s="38">
        <f>rhoMin*B103*B111</f>
        <v>514.79999999999995</v>
      </c>
      <c r="S113" s="22">
        <f>ROUND(R113/R112,0)</f>
        <v>2</v>
      </c>
    </row>
    <row r="114" spans="1:19" x14ac:dyDescent="0.25">
      <c r="A114" s="65" t="s">
        <v>76</v>
      </c>
    </row>
    <row r="115" spans="1:19" x14ac:dyDescent="0.25">
      <c r="A115" s="62" t="s">
        <v>88</v>
      </c>
      <c r="B115" s="11" t="s">
        <v>11</v>
      </c>
      <c r="C115" s="10" t="s">
        <v>12</v>
      </c>
      <c r="D115" s="10" t="s">
        <v>13</v>
      </c>
      <c r="E115" s="10" t="s">
        <v>14</v>
      </c>
      <c r="F115" s="10" t="s">
        <v>15</v>
      </c>
      <c r="G115" s="11" t="s">
        <v>16</v>
      </c>
      <c r="H115" s="6">
        <v>125</v>
      </c>
      <c r="I115" s="69" t="s">
        <v>34</v>
      </c>
      <c r="J115" s="70"/>
      <c r="K115" s="3"/>
    </row>
    <row r="116" spans="1:19" x14ac:dyDescent="0.25">
      <c r="A116" s="12" t="s">
        <v>17</v>
      </c>
      <c r="B116" s="48">
        <v>400</v>
      </c>
      <c r="C116" s="44" t="s">
        <v>18</v>
      </c>
      <c r="D116" s="44" t="s">
        <v>18</v>
      </c>
      <c r="E116" s="44" t="s">
        <v>18</v>
      </c>
      <c r="F116" s="44" t="s">
        <v>19</v>
      </c>
      <c r="G116" s="45" t="s">
        <v>19</v>
      </c>
      <c r="H116" s="6">
        <v>150</v>
      </c>
      <c r="I116" s="14" t="s">
        <v>20</v>
      </c>
      <c r="J116" s="15">
        <v>10</v>
      </c>
      <c r="K116" s="16" t="s">
        <v>9</v>
      </c>
      <c r="L116" s="22" t="s">
        <v>29</v>
      </c>
      <c r="M116" s="22" t="s">
        <v>30</v>
      </c>
      <c r="N116" s="22" t="s">
        <v>31</v>
      </c>
      <c r="O116" s="22" t="s">
        <v>32</v>
      </c>
      <c r="P116" s="3"/>
    </row>
    <row r="117" spans="1:19" x14ac:dyDescent="0.25">
      <c r="A117" s="12" t="s">
        <v>22</v>
      </c>
      <c r="B117" s="48">
        <v>700</v>
      </c>
      <c r="C117" s="17">
        <v>-1087.4164504046025</v>
      </c>
      <c r="D117" s="63">
        <v>-52.87891504708179</v>
      </c>
      <c r="E117" s="63">
        <v>0</v>
      </c>
      <c r="F117" s="63">
        <v>-192.20526050805762</v>
      </c>
      <c r="G117" s="54">
        <v>0</v>
      </c>
      <c r="H117" s="6">
        <v>175</v>
      </c>
      <c r="I117" s="56"/>
      <c r="J117" s="57"/>
      <c r="K117" s="58"/>
      <c r="L117" s="71" t="s">
        <v>1</v>
      </c>
      <c r="M117" s="72"/>
      <c r="N117" s="22" t="s">
        <v>35</v>
      </c>
      <c r="O117" s="22" t="s">
        <v>9</v>
      </c>
    </row>
    <row r="118" spans="1:19" x14ac:dyDescent="0.25">
      <c r="A118" s="20" t="s">
        <v>24</v>
      </c>
      <c r="B118" s="13"/>
      <c r="C118" s="17">
        <v>1009.4952375492061</v>
      </c>
      <c r="D118" s="18">
        <v>0</v>
      </c>
      <c r="E118" s="18">
        <v>63.564233197442832</v>
      </c>
      <c r="F118" s="18">
        <v>0</v>
      </c>
      <c r="G118" s="19">
        <v>-50.18284560351595</v>
      </c>
      <c r="H118" s="6">
        <v>200</v>
      </c>
      <c r="I118" s="59" t="s">
        <v>70</v>
      </c>
      <c r="J118" s="60"/>
      <c r="K118" s="61"/>
      <c r="L118" s="25">
        <f>MAX(ABS(E121),ABS(E122))*1000/(B119*B116)</f>
        <v>1.8269482772143832</v>
      </c>
      <c r="M118" s="25">
        <f>L118-phiVc</f>
        <v>1.1644388433192876</v>
      </c>
      <c r="N118" s="26">
        <f>M118*O118*B116/(phiV*fys*0.25*PI()*(J116^2))</f>
        <v>2.8753640392529238</v>
      </c>
      <c r="O118" s="15">
        <v>100</v>
      </c>
    </row>
    <row r="119" spans="1:19" x14ac:dyDescent="0.25">
      <c r="A119" s="12" t="s">
        <v>26</v>
      </c>
      <c r="B119" s="49">
        <f>B117-clrCover-J116-(IF(M123&gt;1,1.5*J122,0.5*J122))</f>
        <v>620</v>
      </c>
      <c r="C119" s="64">
        <v>-174.00366469585896</v>
      </c>
      <c r="D119" s="17">
        <v>-202.02786529269218</v>
      </c>
      <c r="E119" s="18">
        <v>217.92444644828075</v>
      </c>
      <c r="F119" s="18">
        <v>-315.00421167377175</v>
      </c>
      <c r="G119" s="19">
        <v>-15.05391696730028</v>
      </c>
      <c r="H119" s="6">
        <v>250</v>
      </c>
      <c r="I119" s="59" t="s">
        <v>71</v>
      </c>
      <c r="J119" s="60"/>
      <c r="K119" s="61"/>
      <c r="L119" s="25">
        <f>MAX(ABS(E121),ABS(E122))*1000/(B124*B116)</f>
        <v>1.7698561435514337</v>
      </c>
      <c r="M119" s="25">
        <f>L119-phiVc</f>
        <v>1.1073467096563381</v>
      </c>
      <c r="N119" s="26">
        <f>M119*O119*B116/(phiV*fys*0.25*PI()*(J116^2))</f>
        <v>2.7343856881780679</v>
      </c>
      <c r="O119" s="15">
        <v>100</v>
      </c>
    </row>
    <row r="120" spans="1:19" x14ac:dyDescent="0.25">
      <c r="A120" s="12" t="s">
        <v>27</v>
      </c>
      <c r="B120" s="50">
        <f>K123*R122</f>
        <v>2826</v>
      </c>
      <c r="C120" s="64">
        <v>157.03903481408358</v>
      </c>
      <c r="D120" s="17">
        <v>181.04284435434343</v>
      </c>
      <c r="E120" s="18">
        <v>7.4058851100044993</v>
      </c>
      <c r="F120" s="18">
        <v>107.2364725082347</v>
      </c>
      <c r="G120" s="19">
        <v>13.455109323812797</v>
      </c>
      <c r="H120" s="6">
        <v>300</v>
      </c>
    </row>
    <row r="121" spans="1:19" x14ac:dyDescent="0.25">
      <c r="A121" s="12" t="s">
        <v>28</v>
      </c>
      <c r="B121" s="51">
        <f>-phi*B116*(B119^2)*J123*fy*(1-(0.588*J123*fy/fc))/1000000</f>
        <v>-585.767939696496</v>
      </c>
      <c r="C121" s="64">
        <v>-28.469300778885767</v>
      </c>
      <c r="D121" s="18">
        <v>2.5822812416978711</v>
      </c>
      <c r="E121" s="17">
        <v>-343.84358309490455</v>
      </c>
      <c r="F121" s="18">
        <v>-450.21874926656932</v>
      </c>
      <c r="G121" s="19">
        <v>-1.5973193345036674</v>
      </c>
      <c r="I121" s="69" t="s">
        <v>68</v>
      </c>
      <c r="J121" s="70"/>
      <c r="K121" s="73" t="s">
        <v>35</v>
      </c>
      <c r="L121" s="66" t="s">
        <v>36</v>
      </c>
      <c r="M121" s="75" t="s">
        <v>37</v>
      </c>
      <c r="N121" s="77" t="s">
        <v>38</v>
      </c>
      <c r="O121" s="75" t="s">
        <v>72</v>
      </c>
      <c r="Q121" s="34" t="s">
        <v>73</v>
      </c>
    </row>
    <row r="122" spans="1:19" x14ac:dyDescent="0.25">
      <c r="A122" s="23" t="s">
        <v>33</v>
      </c>
      <c r="B122" s="13"/>
      <c r="C122" s="64">
        <v>-74.570275330734475</v>
      </c>
      <c r="D122" s="18">
        <v>11.914306590073531</v>
      </c>
      <c r="E122" s="17">
        <v>453.08317274916703</v>
      </c>
      <c r="F122" s="18">
        <v>-506.80874251711936</v>
      </c>
      <c r="G122" s="19">
        <v>3.7752125556926757</v>
      </c>
      <c r="I122" s="14" t="s">
        <v>23</v>
      </c>
      <c r="J122" s="41">
        <v>20</v>
      </c>
      <c r="K122" s="74"/>
      <c r="L122" s="40" t="s">
        <v>9</v>
      </c>
      <c r="M122" s="76"/>
      <c r="N122" s="78"/>
      <c r="O122" s="76"/>
      <c r="Q122" s="14" t="s">
        <v>75</v>
      </c>
      <c r="R122" s="21">
        <f>IF(J122=16,201,IF(J122=20,314,IF(J122=25,490,"Err")))</f>
        <v>314</v>
      </c>
      <c r="S122" s="16" t="s">
        <v>25</v>
      </c>
    </row>
    <row r="123" spans="1:19" x14ac:dyDescent="0.25">
      <c r="A123" s="20" t="s">
        <v>39</v>
      </c>
      <c r="B123" s="13"/>
      <c r="C123" s="64">
        <v>-317.31817625196015</v>
      </c>
      <c r="D123" s="18">
        <v>6.3844292123981183E-2</v>
      </c>
      <c r="E123" s="18">
        <v>332.0689046608814</v>
      </c>
      <c r="F123" s="17">
        <v>-553.86994304831069</v>
      </c>
      <c r="G123" s="19">
        <v>0.54448024750456936</v>
      </c>
      <c r="I123" s="14" t="s">
        <v>40</v>
      </c>
      <c r="J123" s="24">
        <f>MAX(rhoMin,(K123*R122/(B116*B119)))</f>
        <v>1.1395161290322581E-2</v>
      </c>
      <c r="K123" s="15">
        <v>9</v>
      </c>
      <c r="L123" s="39">
        <f>IF(M123&lt;2,(B116-(2*(J116+clrCover))-(K123*J122))/(K123-1),(B116-(2*(J116+clrCover))-(N123*J122))/((N123)-1))</f>
        <v>50</v>
      </c>
      <c r="M123" s="15">
        <v>2</v>
      </c>
      <c r="N123" s="22">
        <f>IF(M123&lt;2,K123,CEILING(K123/2,1))</f>
        <v>5</v>
      </c>
      <c r="O123" s="22">
        <f>K123-N123</f>
        <v>4</v>
      </c>
      <c r="Q123" s="37" t="s">
        <v>74</v>
      </c>
      <c r="R123" s="38">
        <f>rhoMin*B116*B119</f>
        <v>818.40000000000009</v>
      </c>
      <c r="S123" s="22">
        <f>ROUND(R123/R122,0)</f>
        <v>3</v>
      </c>
    </row>
    <row r="124" spans="1:19" x14ac:dyDescent="0.25">
      <c r="A124" s="12" t="s">
        <v>26</v>
      </c>
      <c r="B124" s="49">
        <f>B117-clrCover-J116-(IF(M126&gt;1,1.5*J125,0.5*J125))</f>
        <v>640</v>
      </c>
      <c r="C124" s="64">
        <v>-17.927297956251547</v>
      </c>
      <c r="D124" s="18">
        <v>-0.77272040535509268</v>
      </c>
      <c r="E124" s="18">
        <v>14.631146566369425</v>
      </c>
      <c r="F124" s="17">
        <v>240.81409179390914</v>
      </c>
      <c r="G124" s="19">
        <v>-0.42304243508460959</v>
      </c>
      <c r="I124" s="69" t="s">
        <v>69</v>
      </c>
      <c r="J124" s="70"/>
      <c r="K124" s="75" t="s">
        <v>35</v>
      </c>
      <c r="L124" s="66" t="s">
        <v>36</v>
      </c>
      <c r="M124" s="75" t="s">
        <v>37</v>
      </c>
      <c r="N124" s="77" t="s">
        <v>38</v>
      </c>
      <c r="O124" s="75" t="s">
        <v>72</v>
      </c>
      <c r="R124" s="36"/>
    </row>
    <row r="125" spans="1:19" x14ac:dyDescent="0.25">
      <c r="A125" s="12" t="s">
        <v>27</v>
      </c>
      <c r="B125" s="50">
        <f>K126*R125</f>
        <v>1256</v>
      </c>
      <c r="C125" s="64">
        <v>993.08944003542024</v>
      </c>
      <c r="D125" s="18">
        <v>66.099875674143078</v>
      </c>
      <c r="E125" s="18">
        <v>121.46301847488265</v>
      </c>
      <c r="F125" s="18">
        <v>42.03821322442559</v>
      </c>
      <c r="G125" s="17">
        <v>-51.661388184651202</v>
      </c>
      <c r="I125" s="14" t="s">
        <v>23</v>
      </c>
      <c r="J125" s="41">
        <v>20</v>
      </c>
      <c r="K125" s="76"/>
      <c r="L125" s="40" t="s">
        <v>9</v>
      </c>
      <c r="M125" s="76"/>
      <c r="N125" s="78"/>
      <c r="O125" s="76"/>
      <c r="Q125" s="14" t="s">
        <v>75</v>
      </c>
      <c r="R125" s="21">
        <f>IF(J125=16,201,IF(J125=20,314,IF(J125=25,490,"Err")))</f>
        <v>314</v>
      </c>
      <c r="S125" s="16" t="s">
        <v>25</v>
      </c>
    </row>
    <row r="126" spans="1:19" x14ac:dyDescent="0.25">
      <c r="A126" s="27" t="s">
        <v>28</v>
      </c>
      <c r="B126" s="52">
        <f>phi*B116*(B124^2)*J126*fy*(1-(0.588*J126*fy/fc))/1000000</f>
        <v>295.05509078438604</v>
      </c>
      <c r="C126" s="53">
        <v>-1071.0106528908166</v>
      </c>
      <c r="D126" s="28">
        <v>-55.31405649609551</v>
      </c>
      <c r="E126" s="28">
        <v>185.72481015160673</v>
      </c>
      <c r="F126" s="28">
        <v>-168.30570420603775</v>
      </c>
      <c r="G126" s="17">
        <v>44.201532996496546</v>
      </c>
      <c r="I126" s="14" t="s">
        <v>40</v>
      </c>
      <c r="J126" s="24">
        <f>MAX(rhoMin,(K126*R125/(B116*B119)))</f>
        <v>5.0645161290322578E-3</v>
      </c>
      <c r="K126" s="15">
        <v>4</v>
      </c>
      <c r="L126" s="21">
        <f>IF(M126&lt;2,(B116-(2*(J116+clrCover))-(K126*J125))/(K126-1),(B116-(2*(J116+clrCover))-(N126*J125))/((N126)-1))</f>
        <v>73.333333333333329</v>
      </c>
      <c r="M126" s="15">
        <v>1</v>
      </c>
      <c r="N126" s="22">
        <f>IF(M126&lt;2,K126,CEILING(K126/2,1))</f>
        <v>4</v>
      </c>
      <c r="O126" s="22">
        <f>K126-N126</f>
        <v>0</v>
      </c>
      <c r="Q126" s="37" t="s">
        <v>74</v>
      </c>
      <c r="R126" s="38">
        <f>rhoMin*B116*B124</f>
        <v>844.80000000000007</v>
      </c>
      <c r="S126" s="22">
        <f>ROUND(R126/R125,0)</f>
        <v>3</v>
      </c>
    </row>
    <row r="127" spans="1:19" x14ac:dyDescent="0.25">
      <c r="A127" s="65" t="s">
        <v>76</v>
      </c>
    </row>
    <row r="128" spans="1:19" x14ac:dyDescent="0.25">
      <c r="A128" s="62" t="s">
        <v>87</v>
      </c>
      <c r="B128" s="11" t="s">
        <v>11</v>
      </c>
      <c r="C128" s="10" t="s">
        <v>12</v>
      </c>
      <c r="D128" s="10" t="s">
        <v>13</v>
      </c>
      <c r="E128" s="10" t="s">
        <v>14</v>
      </c>
      <c r="F128" s="10" t="s">
        <v>15</v>
      </c>
      <c r="G128" s="11" t="s">
        <v>16</v>
      </c>
      <c r="H128" s="6">
        <v>125</v>
      </c>
      <c r="I128" s="69" t="s">
        <v>34</v>
      </c>
      <c r="J128" s="70"/>
      <c r="K128" s="3"/>
    </row>
    <row r="129" spans="1:19" x14ac:dyDescent="0.25">
      <c r="A129" s="12" t="s">
        <v>17</v>
      </c>
      <c r="B129" s="48">
        <v>400</v>
      </c>
      <c r="C129" s="44" t="s">
        <v>18</v>
      </c>
      <c r="D129" s="44" t="s">
        <v>18</v>
      </c>
      <c r="E129" s="44" t="s">
        <v>18</v>
      </c>
      <c r="F129" s="44" t="s">
        <v>19</v>
      </c>
      <c r="G129" s="45" t="s">
        <v>19</v>
      </c>
      <c r="H129" s="6">
        <v>150</v>
      </c>
      <c r="I129" s="14" t="s">
        <v>20</v>
      </c>
      <c r="J129" s="15">
        <v>10</v>
      </c>
      <c r="K129" s="16" t="s">
        <v>9</v>
      </c>
      <c r="L129" s="22" t="s">
        <v>29</v>
      </c>
      <c r="M129" s="22" t="s">
        <v>30</v>
      </c>
      <c r="N129" s="22" t="s">
        <v>31</v>
      </c>
      <c r="O129" s="22" t="s">
        <v>32</v>
      </c>
      <c r="P129" s="3"/>
    </row>
    <row r="130" spans="1:19" x14ac:dyDescent="0.25">
      <c r="A130" s="12" t="s">
        <v>22</v>
      </c>
      <c r="B130" s="48">
        <v>700</v>
      </c>
      <c r="C130" s="17">
        <v>-66.9696391135532</v>
      </c>
      <c r="D130" s="63">
        <v>2.9734426858951251</v>
      </c>
      <c r="E130" s="63">
        <v>0</v>
      </c>
      <c r="F130" s="63">
        <v>-178.46510972306041</v>
      </c>
      <c r="G130" s="54">
        <v>0</v>
      </c>
      <c r="H130" s="6">
        <v>175</v>
      </c>
      <c r="I130" s="56"/>
      <c r="J130" s="57"/>
      <c r="K130" s="58"/>
      <c r="L130" s="71" t="s">
        <v>1</v>
      </c>
      <c r="M130" s="72"/>
      <c r="N130" s="22" t="s">
        <v>35</v>
      </c>
      <c r="O130" s="22" t="s">
        <v>9</v>
      </c>
    </row>
    <row r="131" spans="1:19" x14ac:dyDescent="0.25">
      <c r="A131" s="20" t="s">
        <v>24</v>
      </c>
      <c r="B131" s="13"/>
      <c r="C131" s="17">
        <v>48.573102323063644</v>
      </c>
      <c r="D131" s="18">
        <v>0</v>
      </c>
      <c r="E131" s="18">
        <v>-43.262936218521865</v>
      </c>
      <c r="F131" s="18">
        <v>0</v>
      </c>
      <c r="G131" s="19">
        <v>-4.2582319636769537</v>
      </c>
      <c r="H131" s="6">
        <v>200</v>
      </c>
      <c r="I131" s="59" t="s">
        <v>70</v>
      </c>
      <c r="J131" s="60"/>
      <c r="K131" s="61"/>
      <c r="L131" s="25">
        <f>MAX(ABS(E134),ABS(E135))*1000/(B132*B129)</f>
        <v>1.0542709586548313</v>
      </c>
      <c r="M131" s="25">
        <f>L131-phiVc</f>
        <v>0.39176152475973569</v>
      </c>
      <c r="N131" s="26">
        <f>M131*O131*B129/(phiV*fys*0.25*PI()*(J129^2))</f>
        <v>0.96738184810635441</v>
      </c>
      <c r="O131" s="15">
        <v>100</v>
      </c>
    </row>
    <row r="132" spans="1:19" x14ac:dyDescent="0.25">
      <c r="A132" s="12" t="s">
        <v>26</v>
      </c>
      <c r="B132" s="49">
        <f>B130-clrCover-J129-(IF(M136&gt;1,1.5*J138,0.5*J138))</f>
        <v>620</v>
      </c>
      <c r="C132" s="64">
        <v>-37.070224108892802</v>
      </c>
      <c r="D132" s="17">
        <v>-6.9099170372084266</v>
      </c>
      <c r="E132" s="18">
        <v>100.61098188695165</v>
      </c>
      <c r="F132" s="18">
        <v>-68.123005727829792</v>
      </c>
      <c r="G132" s="19">
        <v>2.7278073764617874</v>
      </c>
      <c r="H132" s="6">
        <v>250</v>
      </c>
      <c r="I132" s="59" t="s">
        <v>71</v>
      </c>
      <c r="J132" s="60"/>
      <c r="K132" s="61"/>
      <c r="L132" s="25">
        <f>MAX(ABS(E134),ABS(E135))*1000/(B137*B129)</f>
        <v>1.0213249911968678</v>
      </c>
      <c r="M132" s="25">
        <f>L132-phiVc</f>
        <v>0.35881555730177217</v>
      </c>
      <c r="N132" s="26">
        <f>M132*O132*B129/(phiV*fys*0.25*PI()*(J129^2))</f>
        <v>0.88602794050482825</v>
      </c>
      <c r="O132" s="15">
        <v>100</v>
      </c>
    </row>
    <row r="133" spans="1:19" x14ac:dyDescent="0.25">
      <c r="A133" s="12" t="s">
        <v>27</v>
      </c>
      <c r="B133" s="50">
        <f>K136*R135</f>
        <v>1884</v>
      </c>
      <c r="C133" s="64">
        <v>12.877467433454662</v>
      </c>
      <c r="D133" s="17">
        <v>8.7947141455704774</v>
      </c>
      <c r="E133" s="18">
        <v>119.65001167922323</v>
      </c>
      <c r="F133" s="18">
        <v>-48.495484941614315</v>
      </c>
      <c r="G133" s="19">
        <v>-3.0314429736127071</v>
      </c>
      <c r="H133" s="6">
        <v>300</v>
      </c>
    </row>
    <row r="134" spans="1:19" x14ac:dyDescent="0.25">
      <c r="A134" s="12" t="s">
        <v>28</v>
      </c>
      <c r="B134" s="51">
        <f>-phi*B129*(B132^2)*J136*fy*(1-(0.588*J136*fy/fc))/1000000</f>
        <v>-405.41684253177601</v>
      </c>
      <c r="C134" s="64">
        <v>-7.0053618431640228</v>
      </c>
      <c r="D134" s="18">
        <v>0.10022301545408374</v>
      </c>
      <c r="E134" s="17">
        <v>-249.4550478208526</v>
      </c>
      <c r="F134" s="18">
        <v>-350.30815553858923</v>
      </c>
      <c r="G134" s="19">
        <v>-0.27613829140797125</v>
      </c>
      <c r="I134" s="69" t="s">
        <v>68</v>
      </c>
      <c r="J134" s="70"/>
      <c r="K134" s="73" t="s">
        <v>35</v>
      </c>
      <c r="L134" s="66" t="s">
        <v>36</v>
      </c>
      <c r="M134" s="75" t="s">
        <v>37</v>
      </c>
      <c r="N134" s="77" t="s">
        <v>38</v>
      </c>
      <c r="O134" s="75" t="s">
        <v>72</v>
      </c>
      <c r="Q134" s="34" t="s">
        <v>73</v>
      </c>
    </row>
    <row r="135" spans="1:19" x14ac:dyDescent="0.25">
      <c r="A135" s="23" t="s">
        <v>33</v>
      </c>
      <c r="B135" s="13"/>
      <c r="C135" s="64">
        <v>-33.242344874623569</v>
      </c>
      <c r="D135" s="18">
        <v>3.0775935398386989</v>
      </c>
      <c r="E135" s="17">
        <v>261.45919774639816</v>
      </c>
      <c r="F135" s="18">
        <v>-376.81948191773353</v>
      </c>
      <c r="G135" s="19">
        <v>2.4164567017176606</v>
      </c>
      <c r="I135" s="14" t="s">
        <v>23</v>
      </c>
      <c r="J135" s="41">
        <v>20</v>
      </c>
      <c r="K135" s="74"/>
      <c r="L135" s="40" t="s">
        <v>9</v>
      </c>
      <c r="M135" s="76"/>
      <c r="N135" s="78"/>
      <c r="O135" s="76"/>
      <c r="Q135" s="14" t="s">
        <v>75</v>
      </c>
      <c r="R135" s="21">
        <f>IF(J135=16,201,IF(J135=20,314,IF(J135=25,490,"Err")))</f>
        <v>314</v>
      </c>
      <c r="S135" s="16" t="s">
        <v>25</v>
      </c>
    </row>
    <row r="136" spans="1:19" x14ac:dyDescent="0.25">
      <c r="A136" s="20" t="s">
        <v>39</v>
      </c>
      <c r="B136" s="13"/>
      <c r="C136" s="64">
        <v>-66.9696391135532</v>
      </c>
      <c r="D136" s="18">
        <v>2.9734426858951251</v>
      </c>
      <c r="E136" s="18">
        <v>206.84180303673736</v>
      </c>
      <c r="F136" s="17">
        <v>-381.28488603490473</v>
      </c>
      <c r="G136" s="19">
        <v>2.6043409439931011</v>
      </c>
      <c r="I136" s="14" t="s">
        <v>40</v>
      </c>
      <c r="J136" s="24">
        <f>MAX(rhoMin,(K136*R135/(B129*B132)))</f>
        <v>7.5967741935483871E-3</v>
      </c>
      <c r="K136" s="15">
        <v>6</v>
      </c>
      <c r="L136" s="39">
        <f>IF(M136&lt;2,(B129-(2*(J129+clrCover))-(K136*J135))/(K136-1),(B129-(2*(J129+clrCover))-(N136*J135))/((N136)-1))</f>
        <v>120</v>
      </c>
      <c r="M136" s="15">
        <v>2</v>
      </c>
      <c r="N136" s="22">
        <f>IF(M136&lt;2,K136,CEILING(K136/2,1))</f>
        <v>3</v>
      </c>
      <c r="O136" s="22">
        <f>K136-N136</f>
        <v>3</v>
      </c>
      <c r="Q136" s="37" t="s">
        <v>74</v>
      </c>
      <c r="R136" s="38">
        <f>rhoMin*B129*B132</f>
        <v>818.40000000000009</v>
      </c>
      <c r="S136" s="22">
        <f>ROUND(R136/R135,0)</f>
        <v>3</v>
      </c>
    </row>
    <row r="137" spans="1:19" x14ac:dyDescent="0.25">
      <c r="A137" s="12" t="s">
        <v>26</v>
      </c>
      <c r="B137" s="49">
        <f>B130-clrCover-J129-(IF(M139&gt;1,1.5*J138,0.5*J138))</f>
        <v>640</v>
      </c>
      <c r="C137" s="64">
        <v>-2.7443430437956882</v>
      </c>
      <c r="D137" s="18">
        <v>0.52923466454013901</v>
      </c>
      <c r="E137" s="18">
        <v>46.197828738066143</v>
      </c>
      <c r="F137" s="17">
        <v>200.16676390838731</v>
      </c>
      <c r="G137" s="19">
        <v>-0.53598563425631585</v>
      </c>
      <c r="I137" s="69" t="s">
        <v>69</v>
      </c>
      <c r="J137" s="70"/>
      <c r="K137" s="75" t="s">
        <v>35</v>
      </c>
      <c r="L137" s="66" t="s">
        <v>36</v>
      </c>
      <c r="M137" s="75" t="s">
        <v>37</v>
      </c>
      <c r="N137" s="77" t="s">
        <v>38</v>
      </c>
      <c r="O137" s="75" t="s">
        <v>72</v>
      </c>
      <c r="R137" s="36"/>
    </row>
    <row r="138" spans="1:19" x14ac:dyDescent="0.25">
      <c r="A138" s="12" t="s">
        <v>27</v>
      </c>
      <c r="B138" s="50">
        <f>K139*R138</f>
        <v>942</v>
      </c>
      <c r="C138" s="64">
        <v>-37.070224108892802</v>
      </c>
      <c r="D138" s="18">
        <v>-6.9099170372084266</v>
      </c>
      <c r="E138" s="18">
        <v>112.1700754376174</v>
      </c>
      <c r="F138" s="18">
        <v>-176.48177222762266</v>
      </c>
      <c r="G138" s="17">
        <v>-4.3099439739856384</v>
      </c>
      <c r="I138" s="14" t="s">
        <v>23</v>
      </c>
      <c r="J138" s="41">
        <v>20</v>
      </c>
      <c r="K138" s="76"/>
      <c r="L138" s="40" t="s">
        <v>9</v>
      </c>
      <c r="M138" s="76"/>
      <c r="N138" s="78"/>
      <c r="O138" s="76"/>
      <c r="Q138" s="14" t="s">
        <v>75</v>
      </c>
      <c r="R138" s="21">
        <f>IF(J138=16,201,IF(J138=20,314,IF(J138=25,490,"Err")))</f>
        <v>314</v>
      </c>
      <c r="S138" s="16" t="s">
        <v>25</v>
      </c>
    </row>
    <row r="139" spans="1:19" x14ac:dyDescent="0.25">
      <c r="A139" s="27" t="s">
        <v>28</v>
      </c>
      <c r="B139" s="52">
        <f>phi*B129*(B137^2)*J139*fy*(1-(0.588*J139*fy/fc))/1000000</f>
        <v>223.93831772750747</v>
      </c>
      <c r="C139" s="53">
        <v>12.877467433454662</v>
      </c>
      <c r="D139" s="28">
        <v>8.7947141455704774</v>
      </c>
      <c r="E139" s="28">
        <v>135.06213641344425</v>
      </c>
      <c r="F139" s="28">
        <v>-178.20766198815215</v>
      </c>
      <c r="G139" s="17">
        <v>5.9259744630216682</v>
      </c>
      <c r="I139" s="14" t="s">
        <v>40</v>
      </c>
      <c r="J139" s="24">
        <f>MAX(rhoMin,(K139*R138/(B129*B132)))</f>
        <v>3.7983870967741936E-3</v>
      </c>
      <c r="K139" s="15">
        <v>3</v>
      </c>
      <c r="L139" s="21">
        <f>IF(M139&lt;2,(B129-(2*(J129+clrCover))-(K139*J138))/(K139-1),(B129-(2*(J129+clrCover))-(N139*J138))/((N139)-1))</f>
        <v>120</v>
      </c>
      <c r="M139" s="15">
        <v>1</v>
      </c>
      <c r="N139" s="22">
        <f>IF(M139&lt;2,K139,CEILING(K139/2,1))</f>
        <v>3</v>
      </c>
      <c r="O139" s="22">
        <f>K139-N139</f>
        <v>0</v>
      </c>
      <c r="Q139" s="37" t="s">
        <v>74</v>
      </c>
      <c r="R139" s="38">
        <f>rhoMin*B129*B137</f>
        <v>844.80000000000007</v>
      </c>
      <c r="S139" s="22">
        <f>ROUND(R139/R138,0)</f>
        <v>3</v>
      </c>
    </row>
    <row r="140" spans="1:19" x14ac:dyDescent="0.25">
      <c r="A140" s="65" t="s">
        <v>76</v>
      </c>
    </row>
    <row r="141" spans="1:19" x14ac:dyDescent="0.25">
      <c r="A141" s="62" t="s">
        <v>77</v>
      </c>
      <c r="B141" s="11" t="s">
        <v>11</v>
      </c>
      <c r="C141" s="10" t="s">
        <v>12</v>
      </c>
      <c r="D141" s="10" t="s">
        <v>13</v>
      </c>
      <c r="E141" s="10" t="s">
        <v>14</v>
      </c>
      <c r="F141" s="10" t="s">
        <v>15</v>
      </c>
      <c r="G141" s="11" t="s">
        <v>16</v>
      </c>
      <c r="H141" s="6">
        <v>125</v>
      </c>
      <c r="I141" s="69" t="s">
        <v>34</v>
      </c>
      <c r="J141" s="70"/>
      <c r="K141" s="3"/>
    </row>
    <row r="142" spans="1:19" x14ac:dyDescent="0.25">
      <c r="A142" s="12" t="s">
        <v>17</v>
      </c>
      <c r="B142" s="48">
        <v>300</v>
      </c>
      <c r="C142" s="44" t="s">
        <v>18</v>
      </c>
      <c r="D142" s="44" t="s">
        <v>18</v>
      </c>
      <c r="E142" s="44" t="s">
        <v>18</v>
      </c>
      <c r="F142" s="44" t="s">
        <v>19</v>
      </c>
      <c r="G142" s="45" t="s">
        <v>19</v>
      </c>
      <c r="H142" s="6">
        <v>150</v>
      </c>
      <c r="I142" s="14" t="s">
        <v>20</v>
      </c>
      <c r="J142" s="15">
        <v>10</v>
      </c>
      <c r="K142" s="16" t="s">
        <v>9</v>
      </c>
      <c r="L142" s="22" t="s">
        <v>29</v>
      </c>
      <c r="M142" s="22" t="s">
        <v>30</v>
      </c>
      <c r="N142" s="22" t="s">
        <v>31</v>
      </c>
      <c r="O142" s="22" t="s">
        <v>32</v>
      </c>
      <c r="P142" s="3"/>
    </row>
    <row r="143" spans="1:19" x14ac:dyDescent="0.25">
      <c r="A143" s="12" t="s">
        <v>22</v>
      </c>
      <c r="B143" s="48">
        <v>400</v>
      </c>
      <c r="C143" s="17">
        <v>-24.760395549338629</v>
      </c>
      <c r="D143" s="63">
        <v>-0.23179571126525036</v>
      </c>
      <c r="E143" s="63">
        <v>0</v>
      </c>
      <c r="F143" s="63">
        <v>-96.77069121224379</v>
      </c>
      <c r="G143" s="54">
        <v>0</v>
      </c>
      <c r="H143" s="6">
        <v>175</v>
      </c>
      <c r="I143" s="56"/>
      <c r="J143" s="57"/>
      <c r="K143" s="58"/>
      <c r="L143" s="71" t="s">
        <v>1</v>
      </c>
      <c r="M143" s="72"/>
      <c r="N143" s="22" t="s">
        <v>35</v>
      </c>
      <c r="O143" s="22" t="s">
        <v>9</v>
      </c>
    </row>
    <row r="144" spans="1:19" x14ac:dyDescent="0.25">
      <c r="A144" s="20" t="s">
        <v>24</v>
      </c>
      <c r="B144" s="13"/>
      <c r="C144" s="17">
        <v>92.814516835733016</v>
      </c>
      <c r="D144" s="18">
        <v>0</v>
      </c>
      <c r="E144" s="18">
        <v>-55.472054124566476</v>
      </c>
      <c r="F144" s="18">
        <v>0</v>
      </c>
      <c r="G144" s="19">
        <v>-8.444156051408612</v>
      </c>
      <c r="H144" s="6">
        <v>200</v>
      </c>
      <c r="I144" s="59" t="s">
        <v>70</v>
      </c>
      <c r="J144" s="60"/>
      <c r="K144" s="61"/>
      <c r="L144" s="25">
        <f>MAX(ABS(E147),ABS(E148))*1000/(B145*B142)</f>
        <v>0.87041852244526896</v>
      </c>
      <c r="M144" s="25">
        <f>L144-phiVc</f>
        <v>0.20790908855017332</v>
      </c>
      <c r="N144" s="26">
        <f>M144*O144*B142/(phiV*fys*0.25*PI()*(J142^2))</f>
        <v>0.38504447018461863</v>
      </c>
      <c r="O144" s="15">
        <v>100</v>
      </c>
    </row>
    <row r="145" spans="1:19" x14ac:dyDescent="0.25">
      <c r="A145" s="12" t="s">
        <v>26</v>
      </c>
      <c r="B145" s="49">
        <f>B143-clrCover-J142-(IF(M149&gt;1,1.5*J148,0.5*J148))</f>
        <v>340</v>
      </c>
      <c r="C145" s="64">
        <v>81.635256876145689</v>
      </c>
      <c r="D145" s="17">
        <v>-2.4197958271527717</v>
      </c>
      <c r="E145" s="18">
        <v>-58.270102391232342</v>
      </c>
      <c r="F145" s="18">
        <v>-47.940987994078071</v>
      </c>
      <c r="G145" s="19">
        <v>5.5432473678487018</v>
      </c>
      <c r="H145" s="6">
        <v>250</v>
      </c>
      <c r="I145" s="59" t="s">
        <v>71</v>
      </c>
      <c r="J145" s="60"/>
      <c r="K145" s="61"/>
      <c r="L145" s="25">
        <f>MAX(ABS(E147),ABS(E148))*1000/(B150*B142)</f>
        <v>0.87041852244526896</v>
      </c>
      <c r="M145" s="25">
        <f>L145-phiVc</f>
        <v>0.20790908855017332</v>
      </c>
      <c r="N145" s="26">
        <f>M145*O145*B142/(phiV*fys*0.25*PI()*(J142^2))</f>
        <v>0.38504447018461863</v>
      </c>
      <c r="O145" s="15">
        <v>100</v>
      </c>
    </row>
    <row r="146" spans="1:19" x14ac:dyDescent="0.25">
      <c r="A146" s="12" t="s">
        <v>27</v>
      </c>
      <c r="B146" s="50">
        <f>K149*R148</f>
        <v>1256</v>
      </c>
      <c r="C146" s="64">
        <v>92.814516835733016</v>
      </c>
      <c r="D146" s="17">
        <v>3.7417549699096839</v>
      </c>
      <c r="E146" s="18">
        <v>-55.472054124566476</v>
      </c>
      <c r="F146" s="18">
        <v>-44.387500361698265</v>
      </c>
      <c r="G146" s="19">
        <v>-8.444156051408612</v>
      </c>
      <c r="H146" s="6">
        <v>300</v>
      </c>
    </row>
    <row r="147" spans="1:19" x14ac:dyDescent="0.25">
      <c r="A147" s="12" t="s">
        <v>28</v>
      </c>
      <c r="B147" s="51">
        <f>-phi*B142*(B145^2)*J149*fy*(1-(0.588*J149*fy/fc))/1000000</f>
        <v>-141.45005779660801</v>
      </c>
      <c r="C147" s="64">
        <v>-18.278422867982052</v>
      </c>
      <c r="D147" s="18">
        <v>-0.18930971843733183</v>
      </c>
      <c r="E147" s="17">
        <v>-88.782689289417434</v>
      </c>
      <c r="F147" s="18">
        <v>-112.74091802833387</v>
      </c>
      <c r="G147" s="19">
        <v>1.0044451187215879</v>
      </c>
      <c r="I147" s="69" t="s">
        <v>68</v>
      </c>
      <c r="J147" s="70"/>
      <c r="K147" s="73" t="s">
        <v>35</v>
      </c>
      <c r="L147" s="67" t="s">
        <v>36</v>
      </c>
      <c r="M147" s="75" t="s">
        <v>37</v>
      </c>
      <c r="N147" s="77" t="s">
        <v>38</v>
      </c>
      <c r="O147" s="75" t="s">
        <v>72</v>
      </c>
      <c r="Q147" s="34" t="s">
        <v>73</v>
      </c>
    </row>
    <row r="148" spans="1:19" x14ac:dyDescent="0.25">
      <c r="A148" s="23" t="s">
        <v>33</v>
      </c>
      <c r="B148" s="13"/>
      <c r="C148" s="64">
        <v>-20.513182171436739</v>
      </c>
      <c r="D148" s="18">
        <v>-0.29221817853825988</v>
      </c>
      <c r="E148" s="17">
        <v>85.226813893973173</v>
      </c>
      <c r="F148" s="18">
        <v>-99.703327332253068</v>
      </c>
      <c r="G148" s="19">
        <v>-0.96440405186105971</v>
      </c>
      <c r="I148" s="14" t="s">
        <v>23</v>
      </c>
      <c r="J148" s="41">
        <v>20</v>
      </c>
      <c r="K148" s="74"/>
      <c r="L148" s="40" t="s">
        <v>9</v>
      </c>
      <c r="M148" s="76"/>
      <c r="N148" s="78"/>
      <c r="O148" s="76"/>
      <c r="Q148" s="14" t="s">
        <v>75</v>
      </c>
      <c r="R148" s="21">
        <f>IF(J148=16,201,IF(J148=20,314,IF(J148=25,490,"Err")))</f>
        <v>314</v>
      </c>
      <c r="S148" s="16" t="s">
        <v>25</v>
      </c>
    </row>
    <row r="149" spans="1:19" x14ac:dyDescent="0.25">
      <c r="A149" s="20" t="s">
        <v>39</v>
      </c>
      <c r="B149" s="13"/>
      <c r="C149" s="64">
        <v>-5.567709956344812</v>
      </c>
      <c r="D149" s="18">
        <v>-4.3480303599404177E-2</v>
      </c>
      <c r="E149" s="18">
        <v>-80.182478193046535</v>
      </c>
      <c r="F149" s="17">
        <v>-114.57341410165182</v>
      </c>
      <c r="G149" s="19">
        <v>0.996578126360677</v>
      </c>
      <c r="I149" s="14" t="s">
        <v>40</v>
      </c>
      <c r="J149" s="24">
        <f>MAX(rhoMin,(K149*R148/(B142*B145)))</f>
        <v>1.2313725490196079E-2</v>
      </c>
      <c r="K149" s="15">
        <v>4</v>
      </c>
      <c r="L149" s="39">
        <f>IF(M149&lt;2,(B142-(2*(J142+clrCover))-(K149*J148))/(K149-1),(B142-(2*(J142+clrCover))-(N149*J148))/((N149)-1))</f>
        <v>40</v>
      </c>
      <c r="M149" s="15">
        <v>1</v>
      </c>
      <c r="N149" s="22">
        <f>IF(M149&lt;2,K149,CEILING(K149/2,1))</f>
        <v>4</v>
      </c>
      <c r="O149" s="22">
        <f>K149-N149</f>
        <v>0</v>
      </c>
      <c r="Q149" s="37" t="s">
        <v>74</v>
      </c>
      <c r="R149" s="38">
        <f>rhoMin*B142*B145</f>
        <v>336.6</v>
      </c>
      <c r="S149" s="22">
        <f>ROUND(R149/R148,0)</f>
        <v>1</v>
      </c>
    </row>
    <row r="150" spans="1:19" x14ac:dyDescent="0.25">
      <c r="A150" s="12" t="s">
        <v>26</v>
      </c>
      <c r="B150" s="49">
        <f>B143-clrCover-J142-(IF(M152&gt;1,1.5*J151,0.5*J151))</f>
        <v>340</v>
      </c>
      <c r="C150" s="64">
        <v>-20.513182171436739</v>
      </c>
      <c r="D150" s="18">
        <v>-0.26791234451608525</v>
      </c>
      <c r="E150" s="18">
        <v>-1.6777014636689211</v>
      </c>
      <c r="F150" s="17">
        <v>52.804681424017701</v>
      </c>
      <c r="G150" s="19">
        <v>5.8041169036848403E-2</v>
      </c>
      <c r="I150" s="69" t="s">
        <v>69</v>
      </c>
      <c r="J150" s="70"/>
      <c r="K150" s="75" t="s">
        <v>35</v>
      </c>
      <c r="L150" s="67" t="s">
        <v>36</v>
      </c>
      <c r="M150" s="75" t="s">
        <v>37</v>
      </c>
      <c r="N150" s="77" t="s">
        <v>38</v>
      </c>
      <c r="O150" s="75" t="s">
        <v>72</v>
      </c>
      <c r="R150" s="36"/>
    </row>
    <row r="151" spans="1:19" x14ac:dyDescent="0.25">
      <c r="A151" s="12" t="s">
        <v>27</v>
      </c>
      <c r="B151" s="50">
        <f>K152*R151</f>
        <v>628</v>
      </c>
      <c r="C151" s="64">
        <v>92.814516835733016</v>
      </c>
      <c r="D151" s="18">
        <v>3.7417549699096839</v>
      </c>
      <c r="E151" s="18">
        <v>-55.472054124566476</v>
      </c>
      <c r="F151" s="18">
        <v>-44.387500361698265</v>
      </c>
      <c r="G151" s="17">
        <v>-8.444156051408612</v>
      </c>
      <c r="I151" s="14" t="s">
        <v>23</v>
      </c>
      <c r="J151" s="41">
        <v>20</v>
      </c>
      <c r="K151" s="76"/>
      <c r="L151" s="40" t="s">
        <v>9</v>
      </c>
      <c r="M151" s="76"/>
      <c r="N151" s="78"/>
      <c r="O151" s="76"/>
      <c r="Q151" s="14" t="s">
        <v>75</v>
      </c>
      <c r="R151" s="21">
        <f>IF(J151=16,201,IF(J151=20,314,IF(J151=25,490,"Err")))</f>
        <v>314</v>
      </c>
      <c r="S151" s="16" t="s">
        <v>25</v>
      </c>
    </row>
    <row r="152" spans="1:19" x14ac:dyDescent="0.25">
      <c r="A152" s="27" t="s">
        <v>28</v>
      </c>
      <c r="B152" s="52">
        <f>phi*B142*(B150^2)*J152*fy*(1-(0.588*J152*fy/fc))/1000000</f>
        <v>75.141290449151995</v>
      </c>
      <c r="C152" s="53">
        <v>92.814516835733016</v>
      </c>
      <c r="D152" s="28">
        <v>3.7417549699096839</v>
      </c>
      <c r="E152" s="28">
        <v>48.951037125718315</v>
      </c>
      <c r="F152" s="28">
        <v>-30.06519542158075</v>
      </c>
      <c r="G152" s="17">
        <v>7.992100961788136</v>
      </c>
      <c r="I152" s="14" t="s">
        <v>40</v>
      </c>
      <c r="J152" s="24">
        <f>MAX(rhoMin,(K152*R151/(B142*B145)))</f>
        <v>6.1568627450980396E-3</v>
      </c>
      <c r="K152" s="15">
        <v>2</v>
      </c>
      <c r="L152" s="21">
        <f>IF(M152&lt;2,(B142-(2*(J142+clrCover))-(K152*J151))/(K152-1),(B142-(2*(J142+clrCover))-(N152*J151))/((N152)-1))</f>
        <v>160</v>
      </c>
      <c r="M152" s="15">
        <v>1</v>
      </c>
      <c r="N152" s="22">
        <f>IF(M152&lt;2,K152,CEILING(K152/2,1))</f>
        <v>2</v>
      </c>
      <c r="O152" s="22">
        <f>K152-N152</f>
        <v>0</v>
      </c>
      <c r="Q152" s="37" t="s">
        <v>74</v>
      </c>
      <c r="R152" s="38">
        <f>rhoMin*B142*B150</f>
        <v>336.6</v>
      </c>
      <c r="S152" s="22">
        <f>ROUND(R152/R151,0)</f>
        <v>1</v>
      </c>
    </row>
    <row r="153" spans="1:19" x14ac:dyDescent="0.25">
      <c r="A153" s="65" t="s">
        <v>76</v>
      </c>
    </row>
    <row r="154" spans="1:19" x14ac:dyDescent="0.25">
      <c r="A154" s="62" t="s">
        <v>78</v>
      </c>
      <c r="B154" s="11" t="s">
        <v>11</v>
      </c>
      <c r="C154" s="10" t="s">
        <v>12</v>
      </c>
      <c r="D154" s="10" t="s">
        <v>13</v>
      </c>
      <c r="E154" s="10" t="s">
        <v>14</v>
      </c>
      <c r="F154" s="10" t="s">
        <v>15</v>
      </c>
      <c r="G154" s="11" t="s">
        <v>16</v>
      </c>
      <c r="H154" s="6">
        <v>125</v>
      </c>
      <c r="I154" s="69" t="s">
        <v>34</v>
      </c>
      <c r="J154" s="70"/>
      <c r="K154" s="3"/>
    </row>
    <row r="155" spans="1:19" x14ac:dyDescent="0.25">
      <c r="A155" s="12" t="s">
        <v>17</v>
      </c>
      <c r="B155" s="48">
        <v>300</v>
      </c>
      <c r="C155" s="44" t="s">
        <v>18</v>
      </c>
      <c r="D155" s="44" t="s">
        <v>18</v>
      </c>
      <c r="E155" s="44" t="s">
        <v>18</v>
      </c>
      <c r="F155" s="44" t="s">
        <v>19</v>
      </c>
      <c r="G155" s="45" t="s">
        <v>19</v>
      </c>
      <c r="H155" s="6">
        <v>150</v>
      </c>
      <c r="I155" s="14" t="s">
        <v>20</v>
      </c>
      <c r="J155" s="15">
        <v>10</v>
      </c>
      <c r="K155" s="16" t="s">
        <v>9</v>
      </c>
      <c r="L155" s="22" t="s">
        <v>29</v>
      </c>
      <c r="M155" s="22" t="s">
        <v>30</v>
      </c>
      <c r="N155" s="22" t="s">
        <v>31</v>
      </c>
      <c r="O155" s="22" t="s">
        <v>32</v>
      </c>
      <c r="P155" s="3"/>
    </row>
    <row r="156" spans="1:19" x14ac:dyDescent="0.25">
      <c r="A156" s="12" t="s">
        <v>22</v>
      </c>
      <c r="B156" s="48">
        <v>500</v>
      </c>
      <c r="C156" s="17">
        <v>-228.59500493119157</v>
      </c>
      <c r="D156" s="63">
        <v>10.684515502101997</v>
      </c>
      <c r="E156" s="63">
        <v>0</v>
      </c>
      <c r="F156" s="63">
        <v>41.389743567254477</v>
      </c>
      <c r="G156" s="54">
        <v>0</v>
      </c>
      <c r="H156" s="6">
        <v>175</v>
      </c>
      <c r="I156" s="56"/>
      <c r="J156" s="57"/>
      <c r="K156" s="58"/>
      <c r="L156" s="71" t="s">
        <v>1</v>
      </c>
      <c r="M156" s="72"/>
      <c r="N156" s="22" t="s">
        <v>35</v>
      </c>
      <c r="O156" s="22" t="s">
        <v>9</v>
      </c>
    </row>
    <row r="157" spans="1:19" x14ac:dyDescent="0.25">
      <c r="A157" s="20" t="s">
        <v>24</v>
      </c>
      <c r="B157" s="13"/>
      <c r="C157" s="17">
        <v>193.30740185932467</v>
      </c>
      <c r="D157" s="18">
        <v>0</v>
      </c>
      <c r="E157" s="18">
        <v>-74.879975540085269</v>
      </c>
      <c r="F157" s="18">
        <v>0</v>
      </c>
      <c r="G157" s="19">
        <v>8.2293601908649343</v>
      </c>
      <c r="H157" s="6">
        <v>200</v>
      </c>
      <c r="I157" s="59" t="s">
        <v>70</v>
      </c>
      <c r="J157" s="60"/>
      <c r="K157" s="61"/>
      <c r="L157" s="25">
        <f>MAX(ABS(E160),ABS(E161))*1000/(B158*B155)</f>
        <v>0.64240683323222214</v>
      </c>
      <c r="M157" s="25">
        <f>L157-phiVc</f>
        <v>-2.0102600662873504E-2</v>
      </c>
      <c r="N157" s="26">
        <f>M157*O157*B155/(phiV*fys*0.25*PI()*(J155^2))</f>
        <v>-3.7229710714167037E-2</v>
      </c>
      <c r="O157" s="15">
        <v>100</v>
      </c>
    </row>
    <row r="158" spans="1:19" x14ac:dyDescent="0.25">
      <c r="A158" s="12" t="s">
        <v>26</v>
      </c>
      <c r="B158" s="49">
        <f>B156-clrCover-J155-(IF(M162&gt;1,1.5*J161,0.5*J161))</f>
        <v>440</v>
      </c>
      <c r="C158" s="64">
        <v>21.770054114188664</v>
      </c>
      <c r="D158" s="17">
        <v>-5.6978692953666146</v>
      </c>
      <c r="E158" s="18">
        <v>40.002481491390633</v>
      </c>
      <c r="F158" s="18">
        <v>-2.8710018035035292</v>
      </c>
      <c r="G158" s="19">
        <v>1.7994451418841235</v>
      </c>
      <c r="H158" s="6">
        <v>250</v>
      </c>
      <c r="I158" s="59" t="s">
        <v>71</v>
      </c>
      <c r="J158" s="60"/>
      <c r="K158" s="61"/>
      <c r="L158" s="25">
        <f>MAX(ABS(E160),ABS(E161))*1000/(B163*B155)</f>
        <v>0.64240683323222214</v>
      </c>
      <c r="M158" s="25">
        <f>L158-phiVc</f>
        <v>-2.0102600662873504E-2</v>
      </c>
      <c r="N158" s="26">
        <f>M158*O158*B155/(phiV*fys*0.25*PI()*(J155^2))</f>
        <v>-3.7229710714167037E-2</v>
      </c>
      <c r="O158" s="15">
        <v>100</v>
      </c>
    </row>
    <row r="159" spans="1:19" x14ac:dyDescent="0.25">
      <c r="A159" s="12" t="s">
        <v>27</v>
      </c>
      <c r="B159" s="50">
        <f>K162*R161</f>
        <v>942</v>
      </c>
      <c r="C159" s="64">
        <v>-228.59500493119157</v>
      </c>
      <c r="D159" s="17">
        <v>10.684515502101997</v>
      </c>
      <c r="E159" s="18">
        <v>5.5795088635553034</v>
      </c>
      <c r="F159" s="18">
        <v>41.389743567254477</v>
      </c>
      <c r="G159" s="19">
        <v>-23.331763410726243</v>
      </c>
      <c r="H159" s="6">
        <v>300</v>
      </c>
    </row>
    <row r="160" spans="1:19" x14ac:dyDescent="0.25">
      <c r="A160" s="12" t="s">
        <v>28</v>
      </c>
      <c r="B160" s="51">
        <f>-phi*B155*(B158^2)*J162*fy*(1-(0.588*J162*fy/fc))/1000000</f>
        <v>-144.49865951059198</v>
      </c>
      <c r="C160" s="64">
        <v>183.92055864173449</v>
      </c>
      <c r="D160" s="18">
        <v>-0.17765981466108224</v>
      </c>
      <c r="E160" s="17">
        <v>-84.797701986653323</v>
      </c>
      <c r="F160" s="18">
        <v>-99.596932437457383</v>
      </c>
      <c r="G160" s="19">
        <v>3.9808842773678244</v>
      </c>
      <c r="I160" s="69" t="s">
        <v>68</v>
      </c>
      <c r="J160" s="70"/>
      <c r="K160" s="73" t="s">
        <v>35</v>
      </c>
      <c r="L160" s="67" t="s">
        <v>36</v>
      </c>
      <c r="M160" s="75" t="s">
        <v>37</v>
      </c>
      <c r="N160" s="77" t="s">
        <v>38</v>
      </c>
      <c r="O160" s="75" t="s">
        <v>72</v>
      </c>
      <c r="Q160" s="34" t="s">
        <v>73</v>
      </c>
    </row>
    <row r="161" spans="1:19" x14ac:dyDescent="0.25">
      <c r="A161" s="23" t="s">
        <v>33</v>
      </c>
      <c r="B161" s="13"/>
      <c r="C161" s="64">
        <v>26.354854405949066</v>
      </c>
      <c r="D161" s="18">
        <v>-4.3973072627710508</v>
      </c>
      <c r="E161" s="17">
        <v>76.364553770514846</v>
      </c>
      <c r="F161" s="18">
        <v>-80.960873560787178</v>
      </c>
      <c r="G161" s="19">
        <v>-3.245571386649384</v>
      </c>
      <c r="I161" s="14" t="s">
        <v>23</v>
      </c>
      <c r="J161" s="41">
        <v>20</v>
      </c>
      <c r="K161" s="74"/>
      <c r="L161" s="40" t="s">
        <v>9</v>
      </c>
      <c r="M161" s="76"/>
      <c r="N161" s="78"/>
      <c r="O161" s="76"/>
      <c r="Q161" s="14" t="s">
        <v>75</v>
      </c>
      <c r="R161" s="21">
        <f>IF(J161=16,201,IF(J161=20,314,IF(J161=25,490,"Err")))</f>
        <v>314</v>
      </c>
      <c r="S161" s="16" t="s">
        <v>25</v>
      </c>
    </row>
    <row r="162" spans="1:19" x14ac:dyDescent="0.25">
      <c r="A162" s="20" t="s">
        <v>39</v>
      </c>
      <c r="B162" s="13"/>
      <c r="C162" s="64">
        <v>-16.264717425226451</v>
      </c>
      <c r="D162" s="18">
        <v>-2.664293024580028</v>
      </c>
      <c r="E162" s="18">
        <v>-64.159584816235949</v>
      </c>
      <c r="F162" s="17">
        <v>-124.24542861330443</v>
      </c>
      <c r="G162" s="19">
        <v>1.9447279224136469</v>
      </c>
      <c r="I162" s="14" t="s">
        <v>40</v>
      </c>
      <c r="J162" s="24">
        <f>MAX(rhoMin,(K162*R161/(B155*B158)))</f>
        <v>7.136363636363636E-3</v>
      </c>
      <c r="K162" s="15">
        <v>3</v>
      </c>
      <c r="L162" s="39">
        <f>IF(M162&lt;2,(B155-(2*(J155+clrCover))-(K162*J161))/(K162-1),(B155-(2*(J155+clrCover))-(N162*J161))/((N162)-1))</f>
        <v>70</v>
      </c>
      <c r="M162" s="15">
        <v>1</v>
      </c>
      <c r="N162" s="22">
        <f>IF(M162&lt;2,K162,CEILING(K162/2,1))</f>
        <v>3</v>
      </c>
      <c r="O162" s="22">
        <f>K162-N162</f>
        <v>0</v>
      </c>
      <c r="Q162" s="37" t="s">
        <v>74</v>
      </c>
      <c r="R162" s="38">
        <f>rhoMin*B155*B158</f>
        <v>435.6</v>
      </c>
      <c r="S162" s="22">
        <f>ROUND(R162/R161,0)</f>
        <v>1</v>
      </c>
    </row>
    <row r="163" spans="1:19" x14ac:dyDescent="0.25">
      <c r="A163" s="12" t="s">
        <v>26</v>
      </c>
      <c r="B163" s="49">
        <f>B156-clrCover-J155-(IF(M165&gt;1,1.5*J164,0.5*J164))</f>
        <v>440</v>
      </c>
      <c r="C163" s="64">
        <v>193.30740185932467</v>
      </c>
      <c r="D163" s="18">
        <v>-2.4999729164689124</v>
      </c>
      <c r="E163" s="18">
        <v>-27.421286247248332</v>
      </c>
      <c r="F163" s="17">
        <v>68.807784610728731</v>
      </c>
      <c r="G163" s="19">
        <v>0.35485582769303708</v>
      </c>
      <c r="I163" s="69" t="s">
        <v>69</v>
      </c>
      <c r="J163" s="70"/>
      <c r="K163" s="75" t="s">
        <v>35</v>
      </c>
      <c r="L163" s="67" t="s">
        <v>36</v>
      </c>
      <c r="M163" s="75" t="s">
        <v>37</v>
      </c>
      <c r="N163" s="77" t="s">
        <v>38</v>
      </c>
      <c r="O163" s="75" t="s">
        <v>72</v>
      </c>
      <c r="R163" s="36"/>
    </row>
    <row r="164" spans="1:19" x14ac:dyDescent="0.25">
      <c r="A164" s="12" t="s">
        <v>27</v>
      </c>
      <c r="B164" s="50">
        <f>K165*R164</f>
        <v>628</v>
      </c>
      <c r="C164" s="64">
        <v>-228.59500493119157</v>
      </c>
      <c r="D164" s="18">
        <v>10.684515502101997</v>
      </c>
      <c r="E164" s="18">
        <v>5.5795088635553034</v>
      </c>
      <c r="F164" s="18">
        <v>41.389743567254477</v>
      </c>
      <c r="G164" s="17">
        <v>-23.331763410726243</v>
      </c>
      <c r="I164" s="14" t="s">
        <v>23</v>
      </c>
      <c r="J164" s="41">
        <v>20</v>
      </c>
      <c r="K164" s="76"/>
      <c r="L164" s="40" t="s">
        <v>9</v>
      </c>
      <c r="M164" s="76"/>
      <c r="N164" s="78"/>
      <c r="O164" s="76"/>
      <c r="Q164" s="14" t="s">
        <v>75</v>
      </c>
      <c r="R164" s="21">
        <f>IF(J164=16,201,IF(J164=20,314,IF(J164=25,490,"Err")))</f>
        <v>314</v>
      </c>
      <c r="S164" s="16" t="s">
        <v>25</v>
      </c>
    </row>
    <row r="165" spans="1:19" x14ac:dyDescent="0.25">
      <c r="A165" s="27" t="s">
        <v>28</v>
      </c>
      <c r="B165" s="52">
        <f>phi*B155*(B163^2)*J165*fy*(1-(0.588*J165*fy/fc))/1000000</f>
        <v>98.540570449152</v>
      </c>
      <c r="C165" s="53">
        <v>-40.031866257353364</v>
      </c>
      <c r="D165" s="28">
        <v>8.7555030426225606</v>
      </c>
      <c r="E165" s="28">
        <v>25.444772462406437</v>
      </c>
      <c r="F165" s="28">
        <v>2.6062745257385322</v>
      </c>
      <c r="G165" s="17">
        <v>11.440365402374031</v>
      </c>
      <c r="I165" s="14" t="s">
        <v>40</v>
      </c>
      <c r="J165" s="24">
        <f>MAX(rhoMin,(K165*R164/(B155*B158)))</f>
        <v>4.7575757575757573E-3</v>
      </c>
      <c r="K165" s="15">
        <v>2</v>
      </c>
      <c r="L165" s="21">
        <f>IF(M165&lt;2,(B155-(2*(J155+clrCover))-(K165*J164))/(K165-1),(B155-(2*(J155+clrCover))-(N165*J164))/((N165)-1))</f>
        <v>160</v>
      </c>
      <c r="M165" s="15">
        <v>1</v>
      </c>
      <c r="N165" s="22">
        <f>IF(M165&lt;2,K165,CEILING(K165/2,1))</f>
        <v>2</v>
      </c>
      <c r="O165" s="22">
        <f>K165-N165</f>
        <v>0</v>
      </c>
      <c r="Q165" s="37" t="s">
        <v>74</v>
      </c>
      <c r="R165" s="38">
        <f>rhoMin*B155*B163</f>
        <v>435.6</v>
      </c>
      <c r="S165" s="22">
        <f>ROUND(R165/R164,0)</f>
        <v>1</v>
      </c>
    </row>
    <row r="166" spans="1:19" x14ac:dyDescent="0.25">
      <c r="A166" s="65" t="s">
        <v>76</v>
      </c>
    </row>
    <row r="167" spans="1:19" x14ac:dyDescent="0.25">
      <c r="A167" s="62" t="s">
        <v>79</v>
      </c>
      <c r="B167" s="11" t="s">
        <v>11</v>
      </c>
      <c r="C167" s="10" t="s">
        <v>12</v>
      </c>
      <c r="D167" s="10" t="s">
        <v>13</v>
      </c>
      <c r="E167" s="10" t="s">
        <v>14</v>
      </c>
      <c r="F167" s="10" t="s">
        <v>15</v>
      </c>
      <c r="G167" s="11" t="s">
        <v>16</v>
      </c>
      <c r="H167" s="6">
        <v>125</v>
      </c>
      <c r="I167" s="69" t="s">
        <v>34</v>
      </c>
      <c r="J167" s="70"/>
      <c r="K167" s="3"/>
    </row>
    <row r="168" spans="1:19" x14ac:dyDescent="0.25">
      <c r="A168" s="12" t="s">
        <v>17</v>
      </c>
      <c r="B168" s="48">
        <v>300</v>
      </c>
      <c r="C168" s="44" t="s">
        <v>18</v>
      </c>
      <c r="D168" s="44" t="s">
        <v>18</v>
      </c>
      <c r="E168" s="44" t="s">
        <v>18</v>
      </c>
      <c r="F168" s="44" t="s">
        <v>19</v>
      </c>
      <c r="G168" s="45" t="s">
        <v>19</v>
      </c>
      <c r="H168" s="6">
        <v>150</v>
      </c>
      <c r="I168" s="14" t="s">
        <v>20</v>
      </c>
      <c r="J168" s="15">
        <v>10</v>
      </c>
      <c r="K168" s="16" t="s">
        <v>9</v>
      </c>
      <c r="L168" s="22" t="s">
        <v>29</v>
      </c>
      <c r="M168" s="22" t="s">
        <v>30</v>
      </c>
      <c r="N168" s="22" t="s">
        <v>31</v>
      </c>
      <c r="O168" s="22" t="s">
        <v>32</v>
      </c>
      <c r="P168" s="3"/>
    </row>
    <row r="169" spans="1:19" x14ac:dyDescent="0.25">
      <c r="A169" s="12" t="s">
        <v>22</v>
      </c>
      <c r="B169" s="48">
        <v>600</v>
      </c>
      <c r="C169" s="17">
        <v>-183.39501328118735</v>
      </c>
      <c r="D169" s="63">
        <v>-1.1716607270605826</v>
      </c>
      <c r="E169" s="63">
        <v>0</v>
      </c>
      <c r="F169" s="63">
        <v>3.5844891499436913E-13</v>
      </c>
      <c r="G169" s="54">
        <v>0</v>
      </c>
      <c r="H169" s="6">
        <v>175</v>
      </c>
      <c r="I169" s="56"/>
      <c r="J169" s="57"/>
      <c r="K169" s="58"/>
      <c r="L169" s="71" t="s">
        <v>1</v>
      </c>
      <c r="M169" s="72"/>
      <c r="N169" s="22" t="s">
        <v>35</v>
      </c>
      <c r="O169" s="22" t="s">
        <v>9</v>
      </c>
    </row>
    <row r="170" spans="1:19" x14ac:dyDescent="0.25">
      <c r="A170" s="20" t="s">
        <v>24</v>
      </c>
      <c r="B170" s="13"/>
      <c r="C170" s="17">
        <v>196.94650216455406</v>
      </c>
      <c r="D170" s="18">
        <v>0</v>
      </c>
      <c r="E170" s="18">
        <v>-22.098625704471999</v>
      </c>
      <c r="F170" s="18">
        <v>0</v>
      </c>
      <c r="G170" s="19">
        <v>-6.8210859960338149E-12</v>
      </c>
      <c r="H170" s="6">
        <v>200</v>
      </c>
      <c r="I170" s="59" t="s">
        <v>70</v>
      </c>
      <c r="J170" s="60"/>
      <c r="K170" s="61"/>
      <c r="L170" s="25">
        <f>MAX(ABS(E173),ABS(E174))*1000/(B171*B168)</f>
        <v>1.1722169441873866</v>
      </c>
      <c r="M170" s="25">
        <f>L170-phiVc</f>
        <v>0.509707510292291</v>
      </c>
      <c r="N170" s="26">
        <f>M170*O170*B168/(phiV*fys*0.25*PI()*(J168^2))</f>
        <v>0.94397055760385429</v>
      </c>
      <c r="O170" s="15">
        <v>100</v>
      </c>
    </row>
    <row r="171" spans="1:19" x14ac:dyDescent="0.25">
      <c r="A171" s="12" t="s">
        <v>26</v>
      </c>
      <c r="B171" s="49">
        <f>B169-clrCover-J168-(IF(M175&gt;1,1.5*J174,0.5*J174))</f>
        <v>520</v>
      </c>
      <c r="C171" s="64">
        <v>-72.777493084443392</v>
      </c>
      <c r="D171" s="17">
        <v>-8.8093704383328948</v>
      </c>
      <c r="E171" s="18">
        <v>47.174841433049487</v>
      </c>
      <c r="F171" s="18">
        <v>101.01827228987409</v>
      </c>
      <c r="G171" s="19">
        <v>5.2886707551027694</v>
      </c>
      <c r="H171" s="6">
        <v>250</v>
      </c>
      <c r="I171" s="59" t="s">
        <v>71</v>
      </c>
      <c r="J171" s="60"/>
      <c r="K171" s="61"/>
      <c r="L171" s="25">
        <f>MAX(ABS(E173),ABS(E174))*1000/(B176*B168)</f>
        <v>1.1288015018100761</v>
      </c>
      <c r="M171" s="25">
        <f>L171-phiVc</f>
        <v>0.46629206791498046</v>
      </c>
      <c r="N171" s="26">
        <f>M171*O171*B168/(phiV*fys*0.25*PI()*(J168^2))</f>
        <v>0.86356581856827241</v>
      </c>
      <c r="O171" s="15">
        <v>100</v>
      </c>
    </row>
    <row r="172" spans="1:19" x14ac:dyDescent="0.25">
      <c r="A172" s="12" t="s">
        <v>27</v>
      </c>
      <c r="B172" s="50">
        <f>K175*R174</f>
        <v>1570</v>
      </c>
      <c r="C172" s="64">
        <v>0.91555389750560967</v>
      </c>
      <c r="D172" s="17">
        <v>20.298274306372178</v>
      </c>
      <c r="E172" s="18">
        <v>23.901419757654949</v>
      </c>
      <c r="F172" s="18">
        <v>11.547801666727461</v>
      </c>
      <c r="G172" s="19">
        <v>-8.2882142079730912</v>
      </c>
      <c r="H172" s="6">
        <v>300</v>
      </c>
    </row>
    <row r="173" spans="1:19" x14ac:dyDescent="0.25">
      <c r="A173" s="12" t="s">
        <v>28</v>
      </c>
      <c r="B173" s="51">
        <f>-phi*B168*(B171^2)*J175*fy*(1-(0.588*J175*fy/fc))/1000000</f>
        <v>-276.58900530720001</v>
      </c>
      <c r="C173" s="64">
        <v>14.739101295835205</v>
      </c>
      <c r="D173" s="18">
        <v>1.7118349110984847</v>
      </c>
      <c r="E173" s="17">
        <v>-117.47605646828885</v>
      </c>
      <c r="F173" s="18">
        <v>-202.60382966377085</v>
      </c>
      <c r="G173" s="19">
        <v>-0.7119672713100621</v>
      </c>
      <c r="I173" s="69" t="s">
        <v>68</v>
      </c>
      <c r="J173" s="70"/>
      <c r="K173" s="73" t="s">
        <v>35</v>
      </c>
      <c r="L173" s="67" t="s">
        <v>36</v>
      </c>
      <c r="M173" s="75" t="s">
        <v>37</v>
      </c>
      <c r="N173" s="77" t="s">
        <v>38</v>
      </c>
      <c r="O173" s="75" t="s">
        <v>72</v>
      </c>
      <c r="Q173" s="34" t="s">
        <v>73</v>
      </c>
    </row>
    <row r="174" spans="1:19" x14ac:dyDescent="0.25">
      <c r="A174" s="23" t="s">
        <v>33</v>
      </c>
      <c r="B174" s="13"/>
      <c r="C174" s="64">
        <v>-69.718827933365773</v>
      </c>
      <c r="D174" s="18">
        <v>8.2469811014891352</v>
      </c>
      <c r="E174" s="17">
        <v>182.86584329323233</v>
      </c>
      <c r="F174" s="18">
        <v>-261.24898288882321</v>
      </c>
      <c r="G174" s="19">
        <v>4.43395269008934</v>
      </c>
      <c r="I174" s="14" t="s">
        <v>23</v>
      </c>
      <c r="J174" s="41">
        <v>20</v>
      </c>
      <c r="K174" s="74"/>
      <c r="L174" s="40" t="s">
        <v>9</v>
      </c>
      <c r="M174" s="76"/>
      <c r="N174" s="78"/>
      <c r="O174" s="76"/>
      <c r="Q174" s="14" t="s">
        <v>75</v>
      </c>
      <c r="R174" s="21">
        <f>IF(J174=16,201,IF(J174=20,314,IF(J174=25,490,"Err")))</f>
        <v>314</v>
      </c>
      <c r="S174" s="16" t="s">
        <v>25</v>
      </c>
    </row>
    <row r="175" spans="1:19" x14ac:dyDescent="0.25">
      <c r="A175" s="20" t="s">
        <v>39</v>
      </c>
      <c r="B175" s="13"/>
      <c r="C175" s="64">
        <v>-69.718827933365773</v>
      </c>
      <c r="D175" s="18">
        <v>8.2469811014891352</v>
      </c>
      <c r="E175" s="18">
        <v>182.86584329323233</v>
      </c>
      <c r="F175" s="17">
        <v>-261.24898288882321</v>
      </c>
      <c r="G175" s="19">
        <v>4.43395269008934</v>
      </c>
      <c r="I175" s="14" t="s">
        <v>40</v>
      </c>
      <c r="J175" s="24">
        <f>MAX(rhoMin,(K175*R174/(B168*B171)))</f>
        <v>1.0064102564102563E-2</v>
      </c>
      <c r="K175" s="15">
        <v>5</v>
      </c>
      <c r="L175" s="39">
        <f>IF(M175&lt;2,(B168-(2*(J168+clrCover))-(K175*J174))/(K175-1),(B168-(2*(J168+clrCover))-(N175*J174))/((N175)-1))</f>
        <v>70</v>
      </c>
      <c r="M175" s="15">
        <v>2</v>
      </c>
      <c r="N175" s="22">
        <f>IF(M175&lt;2,K175,CEILING(K175/2,1))</f>
        <v>3</v>
      </c>
      <c r="O175" s="22">
        <f>K175-N175</f>
        <v>2</v>
      </c>
      <c r="Q175" s="37" t="s">
        <v>74</v>
      </c>
      <c r="R175" s="38">
        <f>rhoMin*B168*B171</f>
        <v>514.79999999999995</v>
      </c>
      <c r="S175" s="22">
        <f>ROUND(R175/R174,0)</f>
        <v>2</v>
      </c>
    </row>
    <row r="176" spans="1:19" x14ac:dyDescent="0.25">
      <c r="A176" s="12" t="s">
        <v>26</v>
      </c>
      <c r="B176" s="49">
        <f>B169-clrCover-J168-(IF(M178&gt;1,1.5*J177,0.5*J177))</f>
        <v>540</v>
      </c>
      <c r="C176" s="64">
        <v>95.626159351235458</v>
      </c>
      <c r="D176" s="18">
        <v>5.9701128996510864</v>
      </c>
      <c r="E176" s="18">
        <v>-82.607947679178707</v>
      </c>
      <c r="F176" s="17">
        <v>153.7917824798761</v>
      </c>
      <c r="G176" s="19">
        <v>3.5189121609813978</v>
      </c>
      <c r="I176" s="69" t="s">
        <v>69</v>
      </c>
      <c r="J176" s="70"/>
      <c r="K176" s="75" t="s">
        <v>35</v>
      </c>
      <c r="L176" s="67" t="s">
        <v>36</v>
      </c>
      <c r="M176" s="75" t="s">
        <v>37</v>
      </c>
      <c r="N176" s="77" t="s">
        <v>38</v>
      </c>
      <c r="O176" s="75" t="s">
        <v>72</v>
      </c>
      <c r="R176" s="36"/>
    </row>
    <row r="177" spans="1:19" x14ac:dyDescent="0.25">
      <c r="A177" s="12" t="s">
        <v>27</v>
      </c>
      <c r="B177" s="50">
        <f>K178*R177</f>
        <v>942</v>
      </c>
      <c r="C177" s="64">
        <v>0.91555389750560967</v>
      </c>
      <c r="D177" s="18">
        <v>20.298274306372178</v>
      </c>
      <c r="E177" s="18">
        <v>23.901419757654949</v>
      </c>
      <c r="F177" s="18">
        <v>11.547801666727461</v>
      </c>
      <c r="G177" s="17">
        <v>-8.2882142079730912</v>
      </c>
      <c r="I177" s="14" t="s">
        <v>23</v>
      </c>
      <c r="J177" s="41">
        <v>20</v>
      </c>
      <c r="K177" s="76"/>
      <c r="L177" s="40" t="s">
        <v>9</v>
      </c>
      <c r="M177" s="76"/>
      <c r="N177" s="78"/>
      <c r="O177" s="76"/>
      <c r="Q177" s="14" t="s">
        <v>75</v>
      </c>
      <c r="R177" s="21">
        <f>IF(J177=16,201,IF(J177=20,314,IF(J177=25,490,"Err")))</f>
        <v>314</v>
      </c>
      <c r="S177" s="16" t="s">
        <v>25</v>
      </c>
    </row>
    <row r="178" spans="1:19" x14ac:dyDescent="0.25">
      <c r="A178" s="27" t="s">
        <v>28</v>
      </c>
      <c r="B178" s="52">
        <f>phi*B168*(B176^2)*J178*fy*(1-(0.588*J178*fy/fc))/1000000</f>
        <v>186.10830314677747</v>
      </c>
      <c r="C178" s="53">
        <v>0.91555389750560967</v>
      </c>
      <c r="D178" s="28">
        <v>20.298274306372178</v>
      </c>
      <c r="E178" s="28">
        <v>28.803080571185681</v>
      </c>
      <c r="F178" s="28">
        <v>-13.783298803821527</v>
      </c>
      <c r="G178" s="17">
        <v>11.223501969027158</v>
      </c>
      <c r="I178" s="14" t="s">
        <v>40</v>
      </c>
      <c r="J178" s="24">
        <f>MAX(rhoMin,(K178*R177/(B168*B171)))</f>
        <v>6.0384615384615386E-3</v>
      </c>
      <c r="K178" s="15">
        <v>3</v>
      </c>
      <c r="L178" s="21">
        <f>IF(M178&lt;2,(B168-(2*(J168+clrCover))-(K178*J177))/(K178-1),(B168-(2*(J168+clrCover))-(N178*J177))/((N178)-1))</f>
        <v>70</v>
      </c>
      <c r="M178" s="15">
        <v>1</v>
      </c>
      <c r="N178" s="22">
        <f>IF(M178&lt;2,K178,CEILING(K178/2,1))</f>
        <v>3</v>
      </c>
      <c r="O178" s="22">
        <f>K178-N178</f>
        <v>0</v>
      </c>
      <c r="Q178" s="37" t="s">
        <v>74</v>
      </c>
      <c r="R178" s="38">
        <f>rhoMin*B168*B176</f>
        <v>534.6</v>
      </c>
      <c r="S178" s="22">
        <f>ROUND(R178/R177,0)</f>
        <v>2</v>
      </c>
    </row>
    <row r="179" spans="1:19" x14ac:dyDescent="0.25">
      <c r="A179" s="65" t="s">
        <v>76</v>
      </c>
    </row>
    <row r="180" spans="1:19" x14ac:dyDescent="0.25">
      <c r="A180" s="62" t="s">
        <v>80</v>
      </c>
      <c r="B180" s="11" t="s">
        <v>11</v>
      </c>
      <c r="C180" s="10" t="s">
        <v>12</v>
      </c>
      <c r="D180" s="10" t="s">
        <v>13</v>
      </c>
      <c r="E180" s="10" t="s">
        <v>14</v>
      </c>
      <c r="F180" s="10" t="s">
        <v>15</v>
      </c>
      <c r="G180" s="11" t="s">
        <v>16</v>
      </c>
      <c r="H180" s="6">
        <v>125</v>
      </c>
      <c r="I180" s="69" t="s">
        <v>34</v>
      </c>
      <c r="J180" s="70"/>
      <c r="K180" s="3"/>
    </row>
    <row r="181" spans="1:19" x14ac:dyDescent="0.25">
      <c r="A181" s="12" t="s">
        <v>17</v>
      </c>
      <c r="B181" s="48">
        <v>300</v>
      </c>
      <c r="C181" s="44" t="s">
        <v>18</v>
      </c>
      <c r="D181" s="44" t="s">
        <v>18</v>
      </c>
      <c r="E181" s="44" t="s">
        <v>18</v>
      </c>
      <c r="F181" s="44" t="s">
        <v>19</v>
      </c>
      <c r="G181" s="45" t="s">
        <v>19</v>
      </c>
      <c r="H181" s="6">
        <v>150</v>
      </c>
      <c r="I181" s="14" t="s">
        <v>20</v>
      </c>
      <c r="J181" s="15">
        <v>10</v>
      </c>
      <c r="K181" s="16" t="s">
        <v>9</v>
      </c>
      <c r="L181" s="22" t="s">
        <v>29</v>
      </c>
      <c r="M181" s="22" t="s">
        <v>30</v>
      </c>
      <c r="N181" s="22" t="s">
        <v>31</v>
      </c>
      <c r="O181" s="22" t="s">
        <v>32</v>
      </c>
      <c r="P181" s="3"/>
    </row>
    <row r="182" spans="1:19" x14ac:dyDescent="0.25">
      <c r="A182" s="12" t="s">
        <v>22</v>
      </c>
      <c r="B182" s="48">
        <v>600</v>
      </c>
      <c r="C182" s="17">
        <v>-44.979039842555125</v>
      </c>
      <c r="D182" s="63">
        <v>1.3737081721508644</v>
      </c>
      <c r="E182" s="63">
        <v>0</v>
      </c>
      <c r="F182" s="63">
        <v>70.912785461574913</v>
      </c>
      <c r="G182" s="54">
        <v>0</v>
      </c>
      <c r="H182" s="6">
        <v>175</v>
      </c>
      <c r="I182" s="56"/>
      <c r="J182" s="57"/>
      <c r="K182" s="58"/>
      <c r="L182" s="71" t="s">
        <v>1</v>
      </c>
      <c r="M182" s="72"/>
      <c r="N182" s="22" t="s">
        <v>35</v>
      </c>
      <c r="O182" s="22" t="s">
        <v>9</v>
      </c>
    </row>
    <row r="183" spans="1:19" x14ac:dyDescent="0.25">
      <c r="A183" s="20" t="s">
        <v>24</v>
      </c>
      <c r="B183" s="13"/>
      <c r="C183" s="17">
        <v>41.481054682381625</v>
      </c>
      <c r="D183" s="18">
        <v>0</v>
      </c>
      <c r="E183" s="18">
        <v>2.0152933042467911</v>
      </c>
      <c r="F183" s="18">
        <v>0</v>
      </c>
      <c r="G183" s="19">
        <v>0.70417544744602545</v>
      </c>
      <c r="H183" s="6">
        <v>200</v>
      </c>
      <c r="I183" s="59" t="s">
        <v>70</v>
      </c>
      <c r="J183" s="60"/>
      <c r="K183" s="61"/>
      <c r="L183" s="25">
        <f>MAX(ABS(E186),ABS(E187))*1000/(B184*B181)</f>
        <v>0.53590917162544061</v>
      </c>
      <c r="M183" s="25">
        <f>L183-phiVc</f>
        <v>-0.12660026226965504</v>
      </c>
      <c r="N183" s="26">
        <f>M183*O183*B181/(phiV*fys*0.25*PI()*(J181^2))</f>
        <v>-0.23446176042991676</v>
      </c>
      <c r="O183" s="15">
        <v>100</v>
      </c>
    </row>
    <row r="184" spans="1:19" x14ac:dyDescent="0.25">
      <c r="A184" s="12" t="s">
        <v>26</v>
      </c>
      <c r="B184" s="49">
        <f>B182-clrCover-J181-(IF(M188&gt;1,1.5*J187,0.5*J187))</f>
        <v>540</v>
      </c>
      <c r="C184" s="64">
        <v>14.450840531749009</v>
      </c>
      <c r="D184" s="17">
        <v>-4.2258887005506329</v>
      </c>
      <c r="E184" s="18">
        <v>10.872428796112867</v>
      </c>
      <c r="F184" s="18">
        <v>40.064570427624233</v>
      </c>
      <c r="G184" s="19">
        <v>2.2697010548757981</v>
      </c>
      <c r="H184" s="6">
        <v>250</v>
      </c>
      <c r="I184" s="59" t="s">
        <v>71</v>
      </c>
      <c r="J184" s="60"/>
      <c r="K184" s="61"/>
      <c r="L184" s="25">
        <f>MAX(ABS(E186),ABS(E187))*1000/(B189*B181)</f>
        <v>0.53590917162544061</v>
      </c>
      <c r="M184" s="25">
        <f>L184-phiVc</f>
        <v>-0.12660026226965504</v>
      </c>
      <c r="N184" s="26">
        <f>M184*O184*B181/(phiV*fys*0.25*PI()*(J181^2))</f>
        <v>-0.23446176042991676</v>
      </c>
      <c r="O184" s="15">
        <v>100</v>
      </c>
    </row>
    <row r="185" spans="1:19" x14ac:dyDescent="0.25">
      <c r="A185" s="12" t="s">
        <v>27</v>
      </c>
      <c r="B185" s="50">
        <f>K188*R187</f>
        <v>628</v>
      </c>
      <c r="C185" s="64">
        <v>-15.000251840025376</v>
      </c>
      <c r="D185" s="17">
        <v>5.5164766567833921</v>
      </c>
      <c r="E185" s="18">
        <v>18.575925900740863</v>
      </c>
      <c r="F185" s="18">
        <v>53.443719301121021</v>
      </c>
      <c r="G185" s="19">
        <v>-2.9082428096750479</v>
      </c>
      <c r="H185" s="6">
        <v>300</v>
      </c>
    </row>
    <row r="186" spans="1:19" x14ac:dyDescent="0.25">
      <c r="A186" s="12" t="s">
        <v>28</v>
      </c>
      <c r="B186" s="51">
        <f>-phi*B181*(B184^2)*J188*fy*(1-(0.588*J188*fy/fc))/1000000</f>
        <v>-121.93985044915199</v>
      </c>
      <c r="C186" s="64">
        <v>0.99593187365286007</v>
      </c>
      <c r="D186" s="18">
        <v>3.6335440035083037E-2</v>
      </c>
      <c r="E186" s="17">
        <v>-83.064705446535868</v>
      </c>
      <c r="F186" s="18">
        <v>-5.051026619184994E-12</v>
      </c>
      <c r="G186" s="19">
        <v>2.9364662923470059E-13</v>
      </c>
      <c r="I186" s="69" t="s">
        <v>68</v>
      </c>
      <c r="J186" s="70"/>
      <c r="K186" s="73" t="s">
        <v>35</v>
      </c>
      <c r="L186" s="67" t="s">
        <v>36</v>
      </c>
      <c r="M186" s="75" t="s">
        <v>37</v>
      </c>
      <c r="N186" s="77" t="s">
        <v>38</v>
      </c>
      <c r="O186" s="75" t="s">
        <v>72</v>
      </c>
      <c r="Q186" s="34" t="s">
        <v>73</v>
      </c>
    </row>
    <row r="187" spans="1:19" x14ac:dyDescent="0.25">
      <c r="A187" s="23" t="s">
        <v>33</v>
      </c>
      <c r="B187" s="13"/>
      <c r="C187" s="64">
        <v>1.0487707719393712E-2</v>
      </c>
      <c r="D187" s="18">
        <v>0.23918886963104208</v>
      </c>
      <c r="E187" s="17">
        <v>86.817285803321383</v>
      </c>
      <c r="F187" s="18">
        <v>3.2494199331267733E-12</v>
      </c>
      <c r="G187" s="19">
        <v>2.2810127120465037E-13</v>
      </c>
      <c r="I187" s="14" t="s">
        <v>23</v>
      </c>
      <c r="J187" s="41">
        <v>20</v>
      </c>
      <c r="K187" s="74"/>
      <c r="L187" s="40" t="s">
        <v>9</v>
      </c>
      <c r="M187" s="76"/>
      <c r="N187" s="78"/>
      <c r="O187" s="76"/>
      <c r="Q187" s="14" t="s">
        <v>75</v>
      </c>
      <c r="R187" s="21">
        <f>IF(J187=16,201,IF(J187=20,314,IF(J187=25,490,"Err")))</f>
        <v>314</v>
      </c>
      <c r="S187" s="16" t="s">
        <v>25</v>
      </c>
    </row>
    <row r="188" spans="1:19" x14ac:dyDescent="0.25">
      <c r="A188" s="20" t="s">
        <v>39</v>
      </c>
      <c r="B188" s="13"/>
      <c r="C188" s="64">
        <v>0.99593187365286007</v>
      </c>
      <c r="D188" s="18">
        <v>3.6335440035083037E-2</v>
      </c>
      <c r="E188" s="18">
        <v>-83.064705446535868</v>
      </c>
      <c r="F188" s="17">
        <v>-5.051026619184994E-12</v>
      </c>
      <c r="G188" s="19">
        <v>2.9364662923470059E-13</v>
      </c>
      <c r="I188" s="14" t="s">
        <v>40</v>
      </c>
      <c r="J188" s="24">
        <f>MAX(rhoMin,(K188*R187/(B181*B184)))</f>
        <v>3.8765432098765433E-3</v>
      </c>
      <c r="K188" s="15">
        <v>2</v>
      </c>
      <c r="L188" s="39">
        <f>IF(M188&lt;2,(B181-(2*(J181+clrCover))-(K188*J187))/(K188-1),(B181-(2*(J181+clrCover))-(N188*J187))/((N188)-1))</f>
        <v>160</v>
      </c>
      <c r="M188" s="15">
        <v>1</v>
      </c>
      <c r="N188" s="22">
        <f>IF(M188&lt;2,K188,CEILING(K188/2,1))</f>
        <v>2</v>
      </c>
      <c r="O188" s="22">
        <f>K188-N188</f>
        <v>0</v>
      </c>
      <c r="Q188" s="37" t="s">
        <v>74</v>
      </c>
      <c r="R188" s="38">
        <f>rhoMin*B181*B184</f>
        <v>534.6</v>
      </c>
      <c r="S188" s="22">
        <f>ROUND(R188/R187,0)</f>
        <v>2</v>
      </c>
    </row>
    <row r="189" spans="1:19" x14ac:dyDescent="0.25">
      <c r="A189" s="12" t="s">
        <v>26</v>
      </c>
      <c r="B189" s="49">
        <f>B182-clrCover-J181-(IF(M191&gt;1,1.5*J190,0.5*J190))</f>
        <v>540</v>
      </c>
      <c r="C189" s="64">
        <v>0.49065468423291769</v>
      </c>
      <c r="D189" s="18">
        <v>5.5232885189829814E-2</v>
      </c>
      <c r="E189" s="18">
        <v>-14.072189321618469</v>
      </c>
      <c r="F189" s="17">
        <v>169.82428375833877</v>
      </c>
      <c r="G189" s="19">
        <v>1.9274443873166527E-2</v>
      </c>
      <c r="I189" s="69" t="s">
        <v>69</v>
      </c>
      <c r="J189" s="70"/>
      <c r="K189" s="75" t="s">
        <v>35</v>
      </c>
      <c r="L189" s="67" t="s">
        <v>36</v>
      </c>
      <c r="M189" s="75" t="s">
        <v>37</v>
      </c>
      <c r="N189" s="77" t="s">
        <v>38</v>
      </c>
      <c r="O189" s="75" t="s">
        <v>72</v>
      </c>
      <c r="R189" s="36"/>
    </row>
    <row r="190" spans="1:19" x14ac:dyDescent="0.25">
      <c r="A190" s="12" t="s">
        <v>27</v>
      </c>
      <c r="B190" s="50">
        <f>K191*R190</f>
        <v>942</v>
      </c>
      <c r="C190" s="64">
        <v>-22.032819893093393</v>
      </c>
      <c r="D190" s="18">
        <v>3.9689258725791121</v>
      </c>
      <c r="E190" s="18">
        <v>21.568318745990673</v>
      </c>
      <c r="F190" s="18">
        <v>26.739993064375774</v>
      </c>
      <c r="G190" s="17">
        <v>-4.2831325173875339</v>
      </c>
      <c r="I190" s="14" t="s">
        <v>23</v>
      </c>
      <c r="J190" s="41">
        <v>20</v>
      </c>
      <c r="K190" s="76"/>
      <c r="L190" s="40" t="s">
        <v>9</v>
      </c>
      <c r="M190" s="76"/>
      <c r="N190" s="78"/>
      <c r="O190" s="76"/>
      <c r="Q190" s="14" t="s">
        <v>75</v>
      </c>
      <c r="R190" s="21">
        <f>IF(J190=16,201,IF(J190=20,314,IF(J190=25,490,"Err")))</f>
        <v>314</v>
      </c>
      <c r="S190" s="16" t="s">
        <v>25</v>
      </c>
    </row>
    <row r="191" spans="1:19" x14ac:dyDescent="0.25">
      <c r="A191" s="27" t="s">
        <v>28</v>
      </c>
      <c r="B191" s="52">
        <f>phi*B181*(B189^2)*J191*fy*(1-(0.588*J191*fy/fc))/1000000</f>
        <v>179.59757951059206</v>
      </c>
      <c r="C191" s="53">
        <v>18.865658488664501</v>
      </c>
      <c r="D191" s="28">
        <v>-3.1169453468954824</v>
      </c>
      <c r="E191" s="28">
        <v>21.059169500335756</v>
      </c>
      <c r="F191" s="28">
        <v>25.324490581968288</v>
      </c>
      <c r="G191" s="17">
        <v>3.3637035305807235</v>
      </c>
      <c r="I191" s="14" t="s">
        <v>40</v>
      </c>
      <c r="J191" s="24">
        <f>MAX(rhoMin,(K191*R190/(B181*B184)))</f>
        <v>5.8148148148148152E-3</v>
      </c>
      <c r="K191" s="15">
        <v>3</v>
      </c>
      <c r="L191" s="21">
        <f>IF(M191&lt;2,(B181-(2*(J181+clrCover))-(K191*J190))/(K191-1),(B181-(2*(J181+clrCover))-(N191*J190))/((N191)-1))</f>
        <v>70</v>
      </c>
      <c r="M191" s="15">
        <v>1</v>
      </c>
      <c r="N191" s="22">
        <f>IF(M191&lt;2,K191,CEILING(K191/2,1))</f>
        <v>3</v>
      </c>
      <c r="O191" s="22">
        <f>K191-N191</f>
        <v>0</v>
      </c>
      <c r="Q191" s="37" t="s">
        <v>74</v>
      </c>
      <c r="R191" s="38">
        <f>rhoMin*B181*B189</f>
        <v>534.6</v>
      </c>
      <c r="S191" s="22">
        <f>ROUND(R191/R190,0)</f>
        <v>2</v>
      </c>
    </row>
    <row r="192" spans="1:19" x14ac:dyDescent="0.25">
      <c r="A192" s="65" t="s">
        <v>76</v>
      </c>
    </row>
    <row r="193" spans="1:19" x14ac:dyDescent="0.25">
      <c r="A193" s="82" t="s">
        <v>81</v>
      </c>
      <c r="B193" s="11" t="s">
        <v>11</v>
      </c>
      <c r="C193" s="10" t="s">
        <v>12</v>
      </c>
      <c r="D193" s="10" t="s">
        <v>13</v>
      </c>
      <c r="E193" s="10" t="s">
        <v>14</v>
      </c>
      <c r="F193" s="10" t="s">
        <v>15</v>
      </c>
      <c r="G193" s="11" t="s">
        <v>16</v>
      </c>
      <c r="H193" s="6">
        <v>125</v>
      </c>
      <c r="I193" s="69" t="s">
        <v>34</v>
      </c>
      <c r="J193" s="70"/>
      <c r="K193" s="3"/>
    </row>
    <row r="194" spans="1:19" x14ac:dyDescent="0.25">
      <c r="A194" s="12" t="s">
        <v>17</v>
      </c>
      <c r="B194" s="48">
        <v>200</v>
      </c>
      <c r="C194" s="44" t="s">
        <v>18</v>
      </c>
      <c r="D194" s="44" t="s">
        <v>18</v>
      </c>
      <c r="E194" s="44" t="s">
        <v>18</v>
      </c>
      <c r="F194" s="44" t="s">
        <v>19</v>
      </c>
      <c r="G194" s="45" t="s">
        <v>19</v>
      </c>
      <c r="H194" s="6">
        <v>150</v>
      </c>
      <c r="I194" s="14" t="s">
        <v>20</v>
      </c>
      <c r="J194" s="15">
        <v>12</v>
      </c>
      <c r="K194" s="16" t="s">
        <v>9</v>
      </c>
      <c r="L194" s="22" t="s">
        <v>29</v>
      </c>
      <c r="M194" s="22" t="s">
        <v>30</v>
      </c>
      <c r="N194" s="22" t="s">
        <v>31</v>
      </c>
      <c r="O194" s="22" t="s">
        <v>32</v>
      </c>
      <c r="P194" s="3"/>
    </row>
    <row r="195" spans="1:19" x14ac:dyDescent="0.25">
      <c r="A195" s="12" t="s">
        <v>22</v>
      </c>
      <c r="B195" s="48">
        <v>600</v>
      </c>
      <c r="C195" s="17">
        <v>-570.42009188544375</v>
      </c>
      <c r="D195" s="63">
        <v>-5.0232215858115143</v>
      </c>
      <c r="E195" s="63">
        <v>0</v>
      </c>
      <c r="F195" s="63">
        <v>6.4973619373631658E-12</v>
      </c>
      <c r="G195" s="54">
        <v>0</v>
      </c>
      <c r="H195" s="6">
        <v>175</v>
      </c>
      <c r="I195" s="56"/>
      <c r="J195" s="57"/>
      <c r="K195" s="58"/>
      <c r="L195" s="71" t="s">
        <v>1</v>
      </c>
      <c r="M195" s="72"/>
      <c r="N195" s="22" t="s">
        <v>35</v>
      </c>
      <c r="O195" s="22" t="s">
        <v>9</v>
      </c>
    </row>
    <row r="196" spans="1:19" x14ac:dyDescent="0.25">
      <c r="A196" s="20" t="s">
        <v>24</v>
      </c>
      <c r="B196" s="13"/>
      <c r="C196" s="17">
        <v>789.52650614865331</v>
      </c>
      <c r="D196" s="18">
        <v>0</v>
      </c>
      <c r="E196" s="18">
        <v>-87.765703064635474</v>
      </c>
      <c r="F196" s="18">
        <v>0</v>
      </c>
      <c r="G196" s="19">
        <v>2.1700112817768516E-13</v>
      </c>
      <c r="H196" s="6">
        <v>200</v>
      </c>
      <c r="I196" s="59" t="s">
        <v>70</v>
      </c>
      <c r="J196" s="60"/>
      <c r="K196" s="61"/>
      <c r="L196" s="25">
        <f>MAX(ABS(E199),ABS(E200))*1000/(B197*B194)</f>
        <v>4.5590384625506113</v>
      </c>
      <c r="M196" s="25">
        <f>L196-phiVc</f>
        <v>3.8965290286555154</v>
      </c>
      <c r="N196" s="26">
        <f>M196*O196*B194/(phiV*fys*0.25*PI()*(J194^2))</f>
        <v>3.3408854185135981</v>
      </c>
      <c r="O196" s="15">
        <v>100</v>
      </c>
    </row>
    <row r="197" spans="1:19" x14ac:dyDescent="0.25">
      <c r="A197" s="12" t="s">
        <v>26</v>
      </c>
      <c r="B197" s="49">
        <f>B195-clrCover-J194-(IF(M201&gt;1,1.5*J200,0.5*J200))</f>
        <v>518</v>
      </c>
      <c r="C197" s="64">
        <v>705.67907890834101</v>
      </c>
      <c r="D197" s="17">
        <v>-6.8506355942195238</v>
      </c>
      <c r="E197" s="18">
        <v>470.75827841893698</v>
      </c>
      <c r="F197" s="18">
        <v>77.151494749420237</v>
      </c>
      <c r="G197" s="19">
        <v>-4.0796787373330226</v>
      </c>
      <c r="H197" s="6">
        <v>250</v>
      </c>
      <c r="I197" s="59" t="s">
        <v>71</v>
      </c>
      <c r="J197" s="60"/>
      <c r="K197" s="61"/>
      <c r="L197" s="25">
        <f>MAX(ABS(E199),ABS(E200))*1000/(B202*B194)</f>
        <v>4.5590384625506113</v>
      </c>
      <c r="M197" s="25">
        <f>L197-phiVc</f>
        <v>3.8965290286555154</v>
      </c>
      <c r="N197" s="26">
        <f>M197*O197*B194/(phiV*fys*0.25*PI()*(J194^2))</f>
        <v>3.3408854185135981</v>
      </c>
      <c r="O197" s="15">
        <v>100</v>
      </c>
    </row>
    <row r="198" spans="1:19" x14ac:dyDescent="0.25">
      <c r="A198" s="12" t="s">
        <v>27</v>
      </c>
      <c r="B198" s="50">
        <f>K201*R200</f>
        <v>1256</v>
      </c>
      <c r="C198" s="64">
        <v>-297.86587645128895</v>
      </c>
      <c r="D198" s="17">
        <v>7.0622689978004258</v>
      </c>
      <c r="E198" s="18">
        <v>-276.27387088591246</v>
      </c>
      <c r="F198" s="18">
        <v>-72.944283412433904</v>
      </c>
      <c r="G198" s="19">
        <v>4.2580131270081809</v>
      </c>
      <c r="H198" s="6">
        <v>300</v>
      </c>
    </row>
    <row r="199" spans="1:19" x14ac:dyDescent="0.25">
      <c r="A199" s="12" t="s">
        <v>28</v>
      </c>
      <c r="B199" s="51">
        <f>-phi*B194*(B197^2)*J201*fy*(1-(0.588*J201*fy/fc))/1000000</f>
        <v>-215.91897149491203</v>
      </c>
      <c r="C199" s="64">
        <v>-297.86587645128895</v>
      </c>
      <c r="D199" s="18">
        <v>7.0622689978004258</v>
      </c>
      <c r="E199" s="17">
        <v>-276.27387088591246</v>
      </c>
      <c r="F199" s="18">
        <v>-72.944283412433904</v>
      </c>
      <c r="G199" s="19">
        <v>4.2580131270081809</v>
      </c>
      <c r="I199" s="69" t="s">
        <v>68</v>
      </c>
      <c r="J199" s="70"/>
      <c r="K199" s="73" t="s">
        <v>35</v>
      </c>
      <c r="L199" s="68" t="s">
        <v>36</v>
      </c>
      <c r="M199" s="75" t="s">
        <v>37</v>
      </c>
      <c r="N199" s="77" t="s">
        <v>38</v>
      </c>
      <c r="O199" s="75" t="s">
        <v>72</v>
      </c>
      <c r="Q199" s="34" t="s">
        <v>73</v>
      </c>
    </row>
    <row r="200" spans="1:19" x14ac:dyDescent="0.25">
      <c r="A200" s="23" t="s">
        <v>33</v>
      </c>
      <c r="B200" s="13"/>
      <c r="C200" s="64">
        <v>705.67907890834101</v>
      </c>
      <c r="D200" s="18">
        <v>-6.8506355942195238</v>
      </c>
      <c r="E200" s="17">
        <v>472.31638472024332</v>
      </c>
      <c r="F200" s="18">
        <v>-138.96978064818515</v>
      </c>
      <c r="G200" s="19">
        <v>-7.2195533618481997</v>
      </c>
      <c r="I200" s="14" t="s">
        <v>23</v>
      </c>
      <c r="J200" s="41">
        <v>20</v>
      </c>
      <c r="K200" s="74"/>
      <c r="L200" s="40" t="s">
        <v>9</v>
      </c>
      <c r="M200" s="76"/>
      <c r="N200" s="78"/>
      <c r="O200" s="76"/>
      <c r="Q200" s="14" t="s">
        <v>75</v>
      </c>
      <c r="R200" s="21">
        <f>IF(J200=16,201,IF(J200=20,314,IF(J200=25,490,"Err")))</f>
        <v>314</v>
      </c>
      <c r="S200" s="16" t="s">
        <v>25</v>
      </c>
    </row>
    <row r="201" spans="1:19" x14ac:dyDescent="0.25">
      <c r="A201" s="20" t="s">
        <v>39</v>
      </c>
      <c r="B201" s="13"/>
      <c r="C201" s="64">
        <v>705.67907890834101</v>
      </c>
      <c r="D201" s="18">
        <v>-6.8506355942195238</v>
      </c>
      <c r="E201" s="18">
        <v>472.31638472024332</v>
      </c>
      <c r="F201" s="17">
        <v>-138.96978064818515</v>
      </c>
      <c r="G201" s="19">
        <v>-7.2195533618481997</v>
      </c>
      <c r="I201" s="14" t="s">
        <v>40</v>
      </c>
      <c r="J201" s="24">
        <f>MAX(rhoMin,(K201*R200/(B194*B197)))</f>
        <v>1.2123552123552124E-2</v>
      </c>
      <c r="K201" s="15">
        <v>4</v>
      </c>
      <c r="L201" s="39">
        <f>IF(M201&lt;2,(B194-(2*(J194+clrCover))-(K201*J200))/(K201-1),(B194-(2*(J194+clrCover))-(N201*J200))/((N201)-1))</f>
        <v>56</v>
      </c>
      <c r="M201" s="15">
        <v>2</v>
      </c>
      <c r="N201" s="22">
        <f>IF(M201&lt;2,K201,CEILING(K201/2,1))</f>
        <v>2</v>
      </c>
      <c r="O201" s="22">
        <f>K201-N201</f>
        <v>2</v>
      </c>
      <c r="Q201" s="37" t="s">
        <v>74</v>
      </c>
      <c r="R201" s="38">
        <f>rhoMin*B194*B197</f>
        <v>341.88</v>
      </c>
      <c r="S201" s="22">
        <f>ROUND(R201/R200,0)</f>
        <v>1</v>
      </c>
    </row>
    <row r="202" spans="1:19" x14ac:dyDescent="0.25">
      <c r="A202" s="12" t="s">
        <v>26</v>
      </c>
      <c r="B202" s="49">
        <f>B195-clrCover-J194-(IF(M204&gt;1,1.5*J203,0.5*J203))</f>
        <v>518</v>
      </c>
      <c r="C202" s="64">
        <v>705.67907890834101</v>
      </c>
      <c r="D202" s="18">
        <v>-6.8506355942195238</v>
      </c>
      <c r="E202" s="18">
        <v>470.75827841893698</v>
      </c>
      <c r="F202" s="17">
        <v>77.151494749420237</v>
      </c>
      <c r="G202" s="19">
        <v>-4.0796787373330226</v>
      </c>
      <c r="I202" s="69" t="s">
        <v>69</v>
      </c>
      <c r="J202" s="70"/>
      <c r="K202" s="75" t="s">
        <v>35</v>
      </c>
      <c r="L202" s="68" t="s">
        <v>36</v>
      </c>
      <c r="M202" s="75" t="s">
        <v>37</v>
      </c>
      <c r="N202" s="77" t="s">
        <v>38</v>
      </c>
      <c r="O202" s="75" t="s">
        <v>72</v>
      </c>
      <c r="R202" s="36"/>
    </row>
    <row r="203" spans="1:19" x14ac:dyDescent="0.25">
      <c r="A203" s="12" t="s">
        <v>27</v>
      </c>
      <c r="B203" s="50">
        <f>K204*R203</f>
        <v>942</v>
      </c>
      <c r="C203" s="64">
        <v>631.78255281109875</v>
      </c>
      <c r="D203" s="18">
        <v>-6.7408748864440771</v>
      </c>
      <c r="E203" s="18">
        <v>431.17707528426433</v>
      </c>
      <c r="F203" s="18">
        <v>-120.73094598767281</v>
      </c>
      <c r="G203" s="17">
        <v>-7.2392477708347034</v>
      </c>
      <c r="I203" s="14" t="s">
        <v>23</v>
      </c>
      <c r="J203" s="41">
        <v>20</v>
      </c>
      <c r="K203" s="76"/>
      <c r="L203" s="40" t="s">
        <v>9</v>
      </c>
      <c r="M203" s="76"/>
      <c r="N203" s="78"/>
      <c r="O203" s="76"/>
      <c r="Q203" s="14" t="s">
        <v>75</v>
      </c>
      <c r="R203" s="21">
        <f>IF(J203=16,201,IF(J203=20,314,IF(J203=25,490,"Err")))</f>
        <v>314</v>
      </c>
      <c r="S203" s="16" t="s">
        <v>25</v>
      </c>
    </row>
    <row r="204" spans="1:19" x14ac:dyDescent="0.25">
      <c r="A204" s="27" t="s">
        <v>28</v>
      </c>
      <c r="B204" s="52">
        <f>phi*B194*(B202^2)*J204*fy*(1-(0.588*J204*fy/fc))/1000000</f>
        <v>166.90752286588801</v>
      </c>
      <c r="C204" s="53">
        <v>-223.96935035404661</v>
      </c>
      <c r="D204" s="28">
        <v>6.9525082900249782</v>
      </c>
      <c r="E204" s="28">
        <v>-233.96598172395369</v>
      </c>
      <c r="F204" s="28">
        <v>35.174605643595257</v>
      </c>
      <c r="G204" s="17">
        <v>7.5145808031123318</v>
      </c>
      <c r="I204" s="14" t="s">
        <v>40</v>
      </c>
      <c r="J204" s="24">
        <f>MAX(rhoMin,(K204*R203/(B194*B197)))</f>
        <v>9.092664092664092E-3</v>
      </c>
      <c r="K204" s="15">
        <v>3</v>
      </c>
      <c r="L204" s="21">
        <f>IF(M204&lt;2,(B194-(2*(J194+clrCover))-(K204*J203))/(K204-1),(B194-(2*(J194+clrCover))-(N204*J203))/((N204)-1))</f>
        <v>56</v>
      </c>
      <c r="M204" s="15">
        <v>2</v>
      </c>
      <c r="N204" s="22">
        <f>IF(M204&lt;2,K204,CEILING(K204/2,1))</f>
        <v>2</v>
      </c>
      <c r="O204" s="22">
        <f>K204-N204</f>
        <v>1</v>
      </c>
      <c r="Q204" s="37" t="s">
        <v>74</v>
      </c>
      <c r="R204" s="38">
        <f>rhoMin*B194*B202</f>
        <v>341.88</v>
      </c>
      <c r="S204" s="22">
        <f>ROUND(R204/R203,0)</f>
        <v>1</v>
      </c>
    </row>
    <row r="205" spans="1:19" x14ac:dyDescent="0.25">
      <c r="A205" s="65" t="s">
        <v>76</v>
      </c>
    </row>
    <row r="206" spans="1:19" x14ac:dyDescent="0.25">
      <c r="A206" s="82" t="s">
        <v>82</v>
      </c>
      <c r="B206" s="11" t="s">
        <v>11</v>
      </c>
      <c r="C206" s="10" t="s">
        <v>12</v>
      </c>
      <c r="D206" s="10" t="s">
        <v>13</v>
      </c>
      <c r="E206" s="10" t="s">
        <v>14</v>
      </c>
      <c r="F206" s="10" t="s">
        <v>15</v>
      </c>
      <c r="G206" s="11" t="s">
        <v>16</v>
      </c>
      <c r="H206" s="6">
        <v>125</v>
      </c>
      <c r="I206" s="69" t="s">
        <v>34</v>
      </c>
      <c r="J206" s="70"/>
      <c r="K206" s="3"/>
    </row>
    <row r="207" spans="1:19" x14ac:dyDescent="0.25">
      <c r="A207" s="12" t="s">
        <v>17</v>
      </c>
      <c r="B207" s="48">
        <v>200</v>
      </c>
      <c r="C207" s="44" t="s">
        <v>18</v>
      </c>
      <c r="D207" s="44" t="s">
        <v>18</v>
      </c>
      <c r="E207" s="44" t="s">
        <v>18</v>
      </c>
      <c r="F207" s="44" t="s">
        <v>19</v>
      </c>
      <c r="G207" s="45" t="s">
        <v>19</v>
      </c>
      <c r="H207" s="6">
        <v>150</v>
      </c>
      <c r="I207" s="14" t="s">
        <v>20</v>
      </c>
      <c r="J207" s="15">
        <v>12</v>
      </c>
      <c r="K207" s="16" t="s">
        <v>9</v>
      </c>
      <c r="L207" s="22" t="s">
        <v>29</v>
      </c>
      <c r="M207" s="22" t="s">
        <v>30</v>
      </c>
      <c r="N207" s="22" t="s">
        <v>31</v>
      </c>
      <c r="O207" s="22" t="s">
        <v>32</v>
      </c>
      <c r="P207" s="3"/>
    </row>
    <row r="208" spans="1:19" x14ac:dyDescent="0.25">
      <c r="A208" s="12" t="s">
        <v>22</v>
      </c>
      <c r="B208" s="48">
        <v>600</v>
      </c>
      <c r="C208" s="17">
        <v>-58.472604110971297</v>
      </c>
      <c r="D208" s="63">
        <v>1.3368521926345123</v>
      </c>
      <c r="E208" s="63">
        <v>0</v>
      </c>
      <c r="F208" s="63">
        <v>-1.1113144182672839E-12</v>
      </c>
      <c r="G208" s="54">
        <v>0</v>
      </c>
      <c r="H208" s="6">
        <v>175</v>
      </c>
      <c r="I208" s="56"/>
      <c r="J208" s="57"/>
      <c r="K208" s="58"/>
      <c r="L208" s="71" t="s">
        <v>1</v>
      </c>
      <c r="M208" s="72"/>
      <c r="N208" s="22" t="s">
        <v>35</v>
      </c>
      <c r="O208" s="22" t="s">
        <v>9</v>
      </c>
    </row>
    <row r="209" spans="1:19" x14ac:dyDescent="0.25">
      <c r="A209" s="20" t="s">
        <v>24</v>
      </c>
      <c r="B209" s="13"/>
      <c r="C209" s="17">
        <v>68.900888760372254</v>
      </c>
      <c r="D209" s="18">
        <v>0</v>
      </c>
      <c r="E209" s="18">
        <v>183.03418097334671</v>
      </c>
      <c r="F209" s="18">
        <v>0</v>
      </c>
      <c r="G209" s="19">
        <v>-1.8940191637284443E-13</v>
      </c>
      <c r="H209" s="6">
        <v>200</v>
      </c>
      <c r="I209" s="59" t="s">
        <v>70</v>
      </c>
      <c r="J209" s="60"/>
      <c r="K209" s="61"/>
      <c r="L209" s="25">
        <f>MAX(ABS(E212),ABS(E213))*1000/(B210*B207)</f>
        <v>1.9353872169092612</v>
      </c>
      <c r="M209" s="25">
        <f>L209-phiVc</f>
        <v>1.2728777830141655</v>
      </c>
      <c r="N209" s="26">
        <f>M209*O209*B207/(phiV*fys*0.25*PI()*(J207^2))</f>
        <v>1.0913658780797704</v>
      </c>
      <c r="O209" s="15">
        <v>100</v>
      </c>
    </row>
    <row r="210" spans="1:19" x14ac:dyDescent="0.25">
      <c r="A210" s="12" t="s">
        <v>26</v>
      </c>
      <c r="B210" s="49">
        <f>B208-clrCover-J207-(IF(M214&gt;1,1.5*J213,0.5*J213))</f>
        <v>518</v>
      </c>
      <c r="C210" s="64">
        <v>-43.394200375432504</v>
      </c>
      <c r="D210" s="17">
        <v>-3.4769972129100348</v>
      </c>
      <c r="E210" s="18">
        <v>-127.54951654106527</v>
      </c>
      <c r="F210" s="18">
        <v>1.740238531056093E-12</v>
      </c>
      <c r="G210" s="19">
        <v>2.3559099560088724E-12</v>
      </c>
      <c r="H210" s="6">
        <v>250</v>
      </c>
      <c r="I210" s="59" t="s">
        <v>71</v>
      </c>
      <c r="J210" s="60"/>
      <c r="K210" s="61"/>
      <c r="L210" s="25">
        <f>MAX(ABS(E212),ABS(E213))*1000/(B215*B207)</f>
        <v>1.9353872169092612</v>
      </c>
      <c r="M210" s="25">
        <f>L210-phiVc</f>
        <v>1.2728777830141655</v>
      </c>
      <c r="N210" s="26">
        <f>M210*O210*B207/(phiV*fys*0.25*PI()*(J207^2))</f>
        <v>1.0913658780797704</v>
      </c>
      <c r="O210" s="15">
        <v>100</v>
      </c>
    </row>
    <row r="211" spans="1:19" x14ac:dyDescent="0.25">
      <c r="A211" s="12" t="s">
        <v>27</v>
      </c>
      <c r="B211" s="50">
        <f>K214*R213</f>
        <v>1256</v>
      </c>
      <c r="C211" s="64">
        <v>53.822485024833469</v>
      </c>
      <c r="D211" s="17">
        <v>2.972217508877518</v>
      </c>
      <c r="E211" s="18">
        <v>126.55374992531647</v>
      </c>
      <c r="F211" s="18">
        <v>-2.1095758029332503E-12</v>
      </c>
      <c r="G211" s="19">
        <v>-2.6625002647051587E-12</v>
      </c>
      <c r="H211" s="6">
        <v>300</v>
      </c>
    </row>
    <row r="212" spans="1:19" x14ac:dyDescent="0.25">
      <c r="A212" s="12" t="s">
        <v>28</v>
      </c>
      <c r="B212" s="51">
        <f>-phi*B207*(B210^2)*J214*fy*(1-(0.588*J214*fy/fc))/1000000</f>
        <v>-215.91897149491203</v>
      </c>
      <c r="C212" s="64">
        <v>49.037499250750564</v>
      </c>
      <c r="D212" s="18">
        <v>1.9738178960579118</v>
      </c>
      <c r="E212" s="17">
        <v>-197.84074984869324</v>
      </c>
      <c r="F212" s="18">
        <v>-9.9191765912110042E-14</v>
      </c>
      <c r="G212" s="19">
        <v>-2.2973542179727244E-12</v>
      </c>
      <c r="I212" s="69" t="s">
        <v>68</v>
      </c>
      <c r="J212" s="70"/>
      <c r="K212" s="73" t="s">
        <v>35</v>
      </c>
      <c r="L212" s="68" t="s">
        <v>36</v>
      </c>
      <c r="M212" s="75" t="s">
        <v>37</v>
      </c>
      <c r="N212" s="77" t="s">
        <v>38</v>
      </c>
      <c r="O212" s="75" t="s">
        <v>72</v>
      </c>
      <c r="Q212" s="34" t="s">
        <v>73</v>
      </c>
    </row>
    <row r="213" spans="1:19" x14ac:dyDescent="0.25">
      <c r="A213" s="23" t="s">
        <v>33</v>
      </c>
      <c r="B213" s="13"/>
      <c r="C213" s="64">
        <v>-18.860326237097784</v>
      </c>
      <c r="D213" s="18">
        <v>-1.3619546156042737</v>
      </c>
      <c r="E213" s="17">
        <v>200.50611567179945</v>
      </c>
      <c r="F213" s="18">
        <v>-238.79672615682026</v>
      </c>
      <c r="G213" s="19">
        <v>-1.6345188117492588</v>
      </c>
      <c r="I213" s="14" t="s">
        <v>23</v>
      </c>
      <c r="J213" s="41">
        <v>20</v>
      </c>
      <c r="K213" s="74"/>
      <c r="L213" s="40" t="s">
        <v>9</v>
      </c>
      <c r="M213" s="76"/>
      <c r="N213" s="78"/>
      <c r="O213" s="76"/>
      <c r="Q213" s="14" t="s">
        <v>75</v>
      </c>
      <c r="R213" s="21">
        <f>IF(J213=16,201,IF(J213=20,314,IF(J213=25,490,"Err")))</f>
        <v>314</v>
      </c>
      <c r="S213" s="16" t="s">
        <v>25</v>
      </c>
    </row>
    <row r="214" spans="1:19" x14ac:dyDescent="0.25">
      <c r="A214" s="20" t="s">
        <v>39</v>
      </c>
      <c r="B214" s="13"/>
      <c r="C214" s="64">
        <v>-18.860326237097784</v>
      </c>
      <c r="D214" s="18">
        <v>-1.3619546156042737</v>
      </c>
      <c r="E214" s="18">
        <v>200.50611567179945</v>
      </c>
      <c r="F214" s="17">
        <v>-238.79672615682026</v>
      </c>
      <c r="G214" s="19">
        <v>-1.6345188117492588</v>
      </c>
      <c r="I214" s="14" t="s">
        <v>40</v>
      </c>
      <c r="J214" s="24">
        <f>MAX(rhoMin,(K214*R213/(B207*B210)))</f>
        <v>1.2123552123552124E-2</v>
      </c>
      <c r="K214" s="15">
        <v>4</v>
      </c>
      <c r="L214" s="39">
        <f>IF(M214&lt;2,(B207-(2*(J207+clrCover))-(K214*J213))/(K214-1),(B207-(2*(J207+clrCover))-(N214*J213))/((N214)-1))</f>
        <v>56</v>
      </c>
      <c r="M214" s="15">
        <v>2</v>
      </c>
      <c r="N214" s="22">
        <f>IF(M214&lt;2,K214,CEILING(K214/2,1))</f>
        <v>2</v>
      </c>
      <c r="O214" s="22">
        <f>K214-N214</f>
        <v>2</v>
      </c>
      <c r="Q214" s="37" t="s">
        <v>74</v>
      </c>
      <c r="R214" s="38">
        <f>rhoMin*B207*B210</f>
        <v>341.88</v>
      </c>
      <c r="S214" s="22">
        <f>ROUND(R214/R213,0)</f>
        <v>1</v>
      </c>
    </row>
    <row r="215" spans="1:19" x14ac:dyDescent="0.25">
      <c r="A215" s="12" t="s">
        <v>26</v>
      </c>
      <c r="B215" s="49">
        <f>B208-clrCover-J207-(IF(M217&gt;1,1.5*J216,0.5*J216))</f>
        <v>518</v>
      </c>
      <c r="C215" s="64">
        <v>49.037499250750564</v>
      </c>
      <c r="D215" s="18">
        <v>1.9738178960579118</v>
      </c>
      <c r="E215" s="18">
        <v>-193.76091173228431</v>
      </c>
      <c r="F215" s="17">
        <v>234.98590747213433</v>
      </c>
      <c r="G215" s="19">
        <v>2.3688325918583804</v>
      </c>
      <c r="I215" s="69" t="s">
        <v>69</v>
      </c>
      <c r="J215" s="70"/>
      <c r="K215" s="75" t="s">
        <v>35</v>
      </c>
      <c r="L215" s="68" t="s">
        <v>36</v>
      </c>
      <c r="M215" s="75" t="s">
        <v>37</v>
      </c>
      <c r="N215" s="77" t="s">
        <v>38</v>
      </c>
      <c r="O215" s="75" t="s">
        <v>72</v>
      </c>
      <c r="R215" s="36"/>
    </row>
    <row r="216" spans="1:19" x14ac:dyDescent="0.25">
      <c r="A216" s="12" t="s">
        <v>27</v>
      </c>
      <c r="B216" s="50">
        <f>K217*R216</f>
        <v>1256</v>
      </c>
      <c r="C216" s="64">
        <v>-43.394200375432504</v>
      </c>
      <c r="D216" s="18">
        <v>-3.4769972129100348</v>
      </c>
      <c r="E216" s="18">
        <v>-123.46938997258965</v>
      </c>
      <c r="F216" s="18">
        <v>150.63796132464608</v>
      </c>
      <c r="G216" s="17">
        <v>-4.1731340396501189</v>
      </c>
      <c r="I216" s="14" t="s">
        <v>23</v>
      </c>
      <c r="J216" s="41">
        <v>20</v>
      </c>
      <c r="K216" s="76"/>
      <c r="L216" s="40" t="s">
        <v>9</v>
      </c>
      <c r="M216" s="76"/>
      <c r="N216" s="78"/>
      <c r="O216" s="76"/>
      <c r="Q216" s="14" t="s">
        <v>75</v>
      </c>
      <c r="R216" s="21">
        <f>IF(J216=16,201,IF(J216=20,314,IF(J216=25,490,"Err")))</f>
        <v>314</v>
      </c>
      <c r="S216" s="16" t="s">
        <v>25</v>
      </c>
    </row>
    <row r="217" spans="1:19" x14ac:dyDescent="0.25">
      <c r="A217" s="27" t="s">
        <v>28</v>
      </c>
      <c r="B217" s="52">
        <f>phi*B207*(B215^2)*J217*fy*(1-(0.588*J217*fy/fc))/1000000</f>
        <v>215.91897149491203</v>
      </c>
      <c r="C217" s="53">
        <v>53.822485024833469</v>
      </c>
      <c r="D217" s="28">
        <v>2.972217508877518</v>
      </c>
      <c r="E217" s="28">
        <v>129.61384485167318</v>
      </c>
      <c r="F217" s="28">
        <v>-153.72772023666161</v>
      </c>
      <c r="G217" s="17">
        <v>3.567291343658471</v>
      </c>
      <c r="I217" s="14" t="s">
        <v>40</v>
      </c>
      <c r="J217" s="24">
        <f>MAX(rhoMin,(K217*R216/(B207*B210)))</f>
        <v>1.2123552123552124E-2</v>
      </c>
      <c r="K217" s="15">
        <v>4</v>
      </c>
      <c r="L217" s="21">
        <f>IF(M217&lt;2,(B207-(2*(J207+clrCover))-(K217*J216))/(K217-1),(B207-(2*(J207+clrCover))-(N217*J216))/((N217)-1))</f>
        <v>56</v>
      </c>
      <c r="M217" s="15">
        <v>2</v>
      </c>
      <c r="N217" s="22">
        <f>IF(M217&lt;2,K217,CEILING(K217/2,1))</f>
        <v>2</v>
      </c>
      <c r="O217" s="22">
        <f>K217-N217</f>
        <v>2</v>
      </c>
      <c r="Q217" s="37" t="s">
        <v>74</v>
      </c>
      <c r="R217" s="38">
        <f>rhoMin*B207*B215</f>
        <v>341.88</v>
      </c>
      <c r="S217" s="22">
        <f>ROUND(R217/R216,0)</f>
        <v>1</v>
      </c>
    </row>
    <row r="218" spans="1:19" x14ac:dyDescent="0.25">
      <c r="A218" s="65" t="s">
        <v>76</v>
      </c>
    </row>
    <row r="219" spans="1:19" x14ac:dyDescent="0.25">
      <c r="A219" s="82" t="s">
        <v>93</v>
      </c>
      <c r="B219" s="11" t="s">
        <v>11</v>
      </c>
      <c r="C219" s="10" t="s">
        <v>12</v>
      </c>
      <c r="D219" s="10" t="s">
        <v>13</v>
      </c>
      <c r="E219" s="10" t="s">
        <v>14</v>
      </c>
      <c r="F219" s="10" t="s">
        <v>15</v>
      </c>
      <c r="G219" s="11" t="s">
        <v>16</v>
      </c>
      <c r="H219" s="6">
        <v>125</v>
      </c>
      <c r="I219" s="69" t="s">
        <v>34</v>
      </c>
      <c r="J219" s="70"/>
      <c r="K219" s="3"/>
    </row>
    <row r="220" spans="1:19" x14ac:dyDescent="0.25">
      <c r="A220" s="12" t="s">
        <v>17</v>
      </c>
      <c r="B220" s="48">
        <v>200</v>
      </c>
      <c r="C220" s="44" t="s">
        <v>18</v>
      </c>
      <c r="D220" s="44" t="s">
        <v>18</v>
      </c>
      <c r="E220" s="44" t="s">
        <v>18</v>
      </c>
      <c r="F220" s="44" t="s">
        <v>19</v>
      </c>
      <c r="G220" s="45" t="s">
        <v>19</v>
      </c>
      <c r="H220" s="6">
        <v>150</v>
      </c>
      <c r="I220" s="14" t="s">
        <v>20</v>
      </c>
      <c r="J220" s="15">
        <v>12</v>
      </c>
      <c r="K220" s="16" t="s">
        <v>9</v>
      </c>
      <c r="L220" s="22" t="s">
        <v>29</v>
      </c>
      <c r="M220" s="22" t="s">
        <v>30</v>
      </c>
      <c r="N220" s="22" t="s">
        <v>31</v>
      </c>
      <c r="O220" s="22" t="s">
        <v>32</v>
      </c>
      <c r="P220" s="3"/>
    </row>
    <row r="221" spans="1:19" x14ac:dyDescent="0.25">
      <c r="A221" s="12" t="s">
        <v>22</v>
      </c>
      <c r="B221" s="48">
        <v>600</v>
      </c>
      <c r="C221" s="17">
        <v>-587.68946350634724</v>
      </c>
      <c r="D221" s="63">
        <v>3.4170652995499937</v>
      </c>
      <c r="E221" s="63">
        <v>0</v>
      </c>
      <c r="F221" s="63">
        <v>-5.7173773952890077</v>
      </c>
      <c r="G221" s="54">
        <v>0</v>
      </c>
      <c r="H221" s="6">
        <v>175</v>
      </c>
      <c r="I221" s="56"/>
      <c r="J221" s="57"/>
      <c r="K221" s="58"/>
      <c r="L221" s="71" t="s">
        <v>1</v>
      </c>
      <c r="M221" s="72"/>
      <c r="N221" s="22" t="s">
        <v>35</v>
      </c>
      <c r="O221" s="22" t="s">
        <v>9</v>
      </c>
    </row>
    <row r="222" spans="1:19" x14ac:dyDescent="0.25">
      <c r="A222" s="20" t="s">
        <v>24</v>
      </c>
      <c r="B222" s="13"/>
      <c r="C222" s="17">
        <v>681.43670361936859</v>
      </c>
      <c r="D222" s="18">
        <v>0</v>
      </c>
      <c r="E222" s="18">
        <v>53.616640251475943</v>
      </c>
      <c r="F222" s="18">
        <v>0</v>
      </c>
      <c r="G222" s="19">
        <v>1.6761799809541054</v>
      </c>
      <c r="H222" s="6">
        <v>200</v>
      </c>
      <c r="I222" s="59" t="s">
        <v>70</v>
      </c>
      <c r="J222" s="60"/>
      <c r="K222" s="61"/>
      <c r="L222" s="25">
        <f>MAX(ABS(E225),ABS(E226))*1000/(B223*B220)</f>
        <v>7.0107270606706154</v>
      </c>
      <c r="M222" s="25">
        <f>L222-phiVc</f>
        <v>6.3482176267755195</v>
      </c>
      <c r="N222" s="26">
        <f>M222*O222*B220/(phiV*fys*0.25*PI()*(J220^2))</f>
        <v>5.4429641218824223</v>
      </c>
      <c r="O222" s="15">
        <v>100</v>
      </c>
    </row>
    <row r="223" spans="1:19" x14ac:dyDescent="0.25">
      <c r="A223" s="12" t="s">
        <v>26</v>
      </c>
      <c r="B223" s="49">
        <f>B221-clrCover-J220-(IF(M227&gt;1,1.5*J226,0.5*J226))</f>
        <v>518</v>
      </c>
      <c r="C223" s="64">
        <v>-17.857341399584772</v>
      </c>
      <c r="D223" s="17">
        <v>-42.780803939957238</v>
      </c>
      <c r="E223" s="18">
        <v>-32.974376958671797</v>
      </c>
      <c r="F223" s="18">
        <v>5.3314286185139572</v>
      </c>
      <c r="G223" s="19">
        <v>11.783055429733821</v>
      </c>
      <c r="H223" s="6">
        <v>250</v>
      </c>
      <c r="I223" s="59" t="s">
        <v>71</v>
      </c>
      <c r="J223" s="60"/>
      <c r="K223" s="61"/>
      <c r="L223" s="25">
        <f>MAX(ABS(E225),ABS(E226))*1000/(B228*B220)</f>
        <v>7.0107270606706154</v>
      </c>
      <c r="M223" s="25">
        <f>L223-phiVc</f>
        <v>6.3482176267755195</v>
      </c>
      <c r="N223" s="26">
        <f>M223*O223*B220/(phiV*fys*0.25*PI()*(J220^2))</f>
        <v>5.4429641218824223</v>
      </c>
      <c r="O223" s="15">
        <v>100</v>
      </c>
    </row>
    <row r="224" spans="1:19" x14ac:dyDescent="0.25">
      <c r="A224" s="12" t="s">
        <v>27</v>
      </c>
      <c r="B224" s="50">
        <f>K227*R226</f>
        <v>1256</v>
      </c>
      <c r="C224" s="64">
        <v>99.999502576802271</v>
      </c>
      <c r="D224" s="17">
        <v>87.975935563586773</v>
      </c>
      <c r="E224" s="18">
        <v>-176.50732927666283</v>
      </c>
      <c r="F224" s="18">
        <v>-74.082242751764568</v>
      </c>
      <c r="G224" s="19">
        <v>-23.446630105161837</v>
      </c>
      <c r="H224" s="6">
        <v>300</v>
      </c>
    </row>
    <row r="225" spans="1:19" x14ac:dyDescent="0.25">
      <c r="A225" s="12" t="s">
        <v>28</v>
      </c>
      <c r="B225" s="51">
        <f>-phi*B220*(B223^2)*J227*fy*(1-(0.588*J227*fy/fc))/1000000</f>
        <v>-215.91897149491203</v>
      </c>
      <c r="C225" s="64">
        <v>4.7745619911435933</v>
      </c>
      <c r="D225" s="18">
        <v>44.543313345002566</v>
      </c>
      <c r="E225" s="17">
        <v>-726.31132348547578</v>
      </c>
      <c r="F225" s="18">
        <v>-220.62163605220792</v>
      </c>
      <c r="G225" s="19">
        <v>-11.704779505837088</v>
      </c>
      <c r="I225" s="69" t="s">
        <v>68</v>
      </c>
      <c r="J225" s="70"/>
      <c r="K225" s="73" t="s">
        <v>35</v>
      </c>
      <c r="L225" s="68" t="s">
        <v>36</v>
      </c>
      <c r="M225" s="75" t="s">
        <v>37</v>
      </c>
      <c r="N225" s="77" t="s">
        <v>38</v>
      </c>
      <c r="O225" s="75" t="s">
        <v>72</v>
      </c>
      <c r="Q225" s="34" t="s">
        <v>73</v>
      </c>
    </row>
    <row r="226" spans="1:19" x14ac:dyDescent="0.25">
      <c r="A226" s="23" t="s">
        <v>33</v>
      </c>
      <c r="B226" s="13"/>
      <c r="C226" s="64">
        <v>77.367599186073917</v>
      </c>
      <c r="D226" s="18">
        <v>0.65181827862696806</v>
      </c>
      <c r="E226" s="17">
        <v>517.9450797239615</v>
      </c>
      <c r="F226" s="18">
        <v>-74.486143044127644</v>
      </c>
      <c r="G226" s="19">
        <v>0.32637532730836938</v>
      </c>
      <c r="I226" s="14" t="s">
        <v>23</v>
      </c>
      <c r="J226" s="41">
        <v>20</v>
      </c>
      <c r="K226" s="74"/>
      <c r="L226" s="40" t="s">
        <v>9</v>
      </c>
      <c r="M226" s="76"/>
      <c r="N226" s="78"/>
      <c r="O226" s="76"/>
      <c r="Q226" s="14" t="s">
        <v>75</v>
      </c>
      <c r="R226" s="21">
        <f>IF(J226=16,201,IF(J226=20,314,IF(J226=25,490,"Err")))</f>
        <v>314</v>
      </c>
      <c r="S226" s="16" t="s">
        <v>25</v>
      </c>
    </row>
    <row r="227" spans="1:19" x14ac:dyDescent="0.25">
      <c r="A227" s="20" t="s">
        <v>39</v>
      </c>
      <c r="B227" s="13"/>
      <c r="C227" s="64">
        <v>4.7745619911435933</v>
      </c>
      <c r="D227" s="18">
        <v>44.543313345002566</v>
      </c>
      <c r="E227" s="18">
        <v>-726.31132348547578</v>
      </c>
      <c r="F227" s="17">
        <v>-220.62163605220792</v>
      </c>
      <c r="G227" s="19">
        <v>-11.704779505837088</v>
      </c>
      <c r="I227" s="14" t="s">
        <v>40</v>
      </c>
      <c r="J227" s="24">
        <f>MAX(rhoMin,(K227*R226/(B220*B223)))</f>
        <v>1.2123552123552124E-2</v>
      </c>
      <c r="K227" s="15">
        <v>4</v>
      </c>
      <c r="L227" s="39">
        <f>IF(M227&lt;2,(B220-(2*(J220+clrCover))-(K227*J226))/(K227-1),(B220-(2*(J220+clrCover))-(N227*J226))/((N227)-1))</f>
        <v>56</v>
      </c>
      <c r="M227" s="15">
        <v>2</v>
      </c>
      <c r="N227" s="22">
        <f>IF(M227&lt;2,K227,CEILING(K227/2,1))</f>
        <v>2</v>
      </c>
      <c r="O227" s="22">
        <f>K227-N227</f>
        <v>2</v>
      </c>
      <c r="Q227" s="37" t="s">
        <v>74</v>
      </c>
      <c r="R227" s="38">
        <f>rhoMin*B220*B223</f>
        <v>341.88</v>
      </c>
      <c r="S227" s="22">
        <f>ROUND(R227/R226,0)</f>
        <v>1</v>
      </c>
    </row>
    <row r="228" spans="1:19" x14ac:dyDescent="0.25">
      <c r="A228" s="12" t="s">
        <v>26</v>
      </c>
      <c r="B228" s="49">
        <f>B221-clrCover-J220-(IF(M230&gt;1,1.5*J229,0.5*J229))</f>
        <v>518</v>
      </c>
      <c r="C228" s="64">
        <v>77.367599186073917</v>
      </c>
      <c r="D228" s="18">
        <v>0.65181827862696806</v>
      </c>
      <c r="E228" s="18">
        <v>516.82961725014115</v>
      </c>
      <c r="F228" s="17">
        <v>151.87082191895732</v>
      </c>
      <c r="G228" s="19">
        <v>4.1204830409072205E-2</v>
      </c>
      <c r="I228" s="69" t="s">
        <v>69</v>
      </c>
      <c r="J228" s="70"/>
      <c r="K228" s="75" t="s">
        <v>35</v>
      </c>
      <c r="L228" s="68" t="s">
        <v>36</v>
      </c>
      <c r="M228" s="75" t="s">
        <v>37</v>
      </c>
      <c r="N228" s="77" t="s">
        <v>38</v>
      </c>
      <c r="O228" s="75" t="s">
        <v>72</v>
      </c>
      <c r="R228" s="36"/>
    </row>
    <row r="229" spans="1:19" x14ac:dyDescent="0.25">
      <c r="A229" s="12" t="s">
        <v>27</v>
      </c>
      <c r="B229" s="50">
        <f>K230*R229</f>
        <v>1256</v>
      </c>
      <c r="C229" s="64">
        <v>99.999502576802271</v>
      </c>
      <c r="D229" s="18">
        <v>87.975935563586773</v>
      </c>
      <c r="E229" s="18">
        <v>-176.50732927666283</v>
      </c>
      <c r="F229" s="18">
        <v>-74.082242751764568</v>
      </c>
      <c r="G229" s="17">
        <v>-23.446630105161837</v>
      </c>
      <c r="I229" s="14" t="s">
        <v>23</v>
      </c>
      <c r="J229" s="41">
        <v>20</v>
      </c>
      <c r="K229" s="76"/>
      <c r="L229" s="40" t="s">
        <v>9</v>
      </c>
      <c r="M229" s="76"/>
      <c r="N229" s="78"/>
      <c r="O229" s="76"/>
      <c r="Q229" s="14" t="s">
        <v>75</v>
      </c>
      <c r="R229" s="21">
        <f>IF(J229=16,201,IF(J229=20,314,IF(J229=25,490,"Err")))</f>
        <v>314</v>
      </c>
      <c r="S229" s="16" t="s">
        <v>25</v>
      </c>
    </row>
    <row r="230" spans="1:19" x14ac:dyDescent="0.25">
      <c r="A230" s="27" t="s">
        <v>28</v>
      </c>
      <c r="B230" s="52">
        <f>phi*B220*(B228^2)*J230*fy*(1-(0.588*J230*fy/fc))/1000000</f>
        <v>215.91897149491203</v>
      </c>
      <c r="C230" s="53">
        <v>99.999502576802271</v>
      </c>
      <c r="D230" s="28">
        <v>87.975935563586773</v>
      </c>
      <c r="E230" s="28">
        <v>-175.02004597823566</v>
      </c>
      <c r="F230" s="28">
        <v>2.814370585244478</v>
      </c>
      <c r="G230" s="17">
        <v>15.042841703907374</v>
      </c>
      <c r="I230" s="14" t="s">
        <v>40</v>
      </c>
      <c r="J230" s="24">
        <f>MAX(rhoMin,(K230*R229/(B220*B223)))</f>
        <v>1.2123552123552124E-2</v>
      </c>
      <c r="K230" s="15">
        <v>4</v>
      </c>
      <c r="L230" s="21">
        <f>IF(M230&lt;2,(B220-(2*(J220+clrCover))-(K230*J229))/(K230-1),(B220-(2*(J220+clrCover))-(N230*J229))/((N230)-1))</f>
        <v>56</v>
      </c>
      <c r="M230" s="15">
        <v>2</v>
      </c>
      <c r="N230" s="22">
        <f>IF(M230&lt;2,K230,CEILING(K230/2,1))</f>
        <v>2</v>
      </c>
      <c r="O230" s="22">
        <f>K230-N230</f>
        <v>2</v>
      </c>
      <c r="Q230" s="37" t="s">
        <v>74</v>
      </c>
      <c r="R230" s="38">
        <f>rhoMin*B220*B228</f>
        <v>341.88</v>
      </c>
      <c r="S230" s="22">
        <f>ROUND(R230/R229,0)</f>
        <v>1</v>
      </c>
    </row>
    <row r="231" spans="1:19" x14ac:dyDescent="0.25">
      <c r="A231" s="65" t="s">
        <v>76</v>
      </c>
    </row>
    <row r="232" spans="1:19" x14ac:dyDescent="0.25">
      <c r="A232" s="81" t="s">
        <v>94</v>
      </c>
      <c r="B232" s="11" t="s">
        <v>11</v>
      </c>
      <c r="C232" s="10" t="s">
        <v>12</v>
      </c>
      <c r="D232" s="10" t="s">
        <v>13</v>
      </c>
      <c r="E232" s="10" t="s">
        <v>14</v>
      </c>
      <c r="F232" s="10" t="s">
        <v>15</v>
      </c>
      <c r="G232" s="11" t="s">
        <v>16</v>
      </c>
      <c r="H232" s="6">
        <v>125</v>
      </c>
      <c r="I232" s="69" t="s">
        <v>34</v>
      </c>
      <c r="J232" s="70"/>
      <c r="K232" s="3"/>
    </row>
    <row r="233" spans="1:19" x14ac:dyDescent="0.25">
      <c r="A233" s="12" t="s">
        <v>17</v>
      </c>
      <c r="B233" s="48">
        <v>300</v>
      </c>
      <c r="C233" s="44" t="s">
        <v>18</v>
      </c>
      <c r="D233" s="44" t="s">
        <v>18</v>
      </c>
      <c r="E233" s="44" t="s">
        <v>18</v>
      </c>
      <c r="F233" s="44" t="s">
        <v>19</v>
      </c>
      <c r="G233" s="45" t="s">
        <v>19</v>
      </c>
      <c r="H233" s="6">
        <v>150</v>
      </c>
      <c r="I233" s="14" t="s">
        <v>20</v>
      </c>
      <c r="J233" s="15">
        <v>10</v>
      </c>
      <c r="K233" s="16" t="s">
        <v>9</v>
      </c>
      <c r="L233" s="22" t="s">
        <v>29</v>
      </c>
      <c r="M233" s="22" t="s">
        <v>30</v>
      </c>
      <c r="N233" s="22" t="s">
        <v>31</v>
      </c>
      <c r="O233" s="22" t="s">
        <v>32</v>
      </c>
      <c r="P233" s="3"/>
    </row>
    <row r="234" spans="1:19" x14ac:dyDescent="0.25">
      <c r="A234" s="12" t="s">
        <v>22</v>
      </c>
      <c r="B234" s="48">
        <v>400</v>
      </c>
      <c r="C234" s="17">
        <v>-139.6013972256309</v>
      </c>
      <c r="D234" s="63">
        <v>-1.7762799198337775</v>
      </c>
      <c r="E234" s="63">
        <v>0</v>
      </c>
      <c r="F234" s="63">
        <v>-3.5711983628061713E-10</v>
      </c>
      <c r="G234" s="54">
        <v>0</v>
      </c>
      <c r="H234" s="6">
        <v>175</v>
      </c>
      <c r="I234" s="56"/>
      <c r="J234" s="57"/>
      <c r="K234" s="58"/>
      <c r="L234" s="71" t="s">
        <v>1</v>
      </c>
      <c r="M234" s="72"/>
      <c r="N234" s="22" t="s">
        <v>35</v>
      </c>
      <c r="O234" s="22" t="s">
        <v>9</v>
      </c>
    </row>
    <row r="235" spans="1:19" x14ac:dyDescent="0.25">
      <c r="A235" s="20" t="s">
        <v>24</v>
      </c>
      <c r="B235" s="13"/>
      <c r="C235" s="17">
        <v>123.77994909982007</v>
      </c>
      <c r="D235" s="18">
        <v>0</v>
      </c>
      <c r="E235" s="18">
        <v>-27.209444998373534</v>
      </c>
      <c r="F235" s="18">
        <v>0</v>
      </c>
      <c r="G235" s="19">
        <v>1.8190018380437318E-13</v>
      </c>
      <c r="H235" s="6">
        <v>200</v>
      </c>
      <c r="I235" s="59" t="s">
        <v>70</v>
      </c>
      <c r="J235" s="60"/>
      <c r="K235" s="61"/>
      <c r="L235" s="25">
        <f>MAX(ABS(E238),ABS(E239))*1000/(B236*B233)</f>
        <v>1.3779233303959306</v>
      </c>
      <c r="M235" s="25">
        <f>L235-phiVc</f>
        <v>0.71541389650083498</v>
      </c>
      <c r="N235" s="26">
        <f>M235*O235*B233/(phiV*fys*0.25*PI()*(J233^2))</f>
        <v>1.324935656549719</v>
      </c>
      <c r="O235" s="15">
        <v>100</v>
      </c>
    </row>
    <row r="236" spans="1:19" x14ac:dyDescent="0.25">
      <c r="A236" s="12" t="s">
        <v>26</v>
      </c>
      <c r="B236" s="49">
        <f>B234-clrCover-J233-(IF(M240&gt;1,1.5*J239,0.5*J239))</f>
        <v>320</v>
      </c>
      <c r="C236" s="64">
        <v>50.637270639052879</v>
      </c>
      <c r="D236" s="17">
        <v>-9.4172850331351494</v>
      </c>
      <c r="E236" s="18">
        <v>-39.787186692693993</v>
      </c>
      <c r="F236" s="18">
        <v>-8.737318209722968</v>
      </c>
      <c r="G236" s="19">
        <v>5.0479381003450614</v>
      </c>
      <c r="H236" s="6">
        <v>250</v>
      </c>
      <c r="I236" s="59" t="s">
        <v>71</v>
      </c>
      <c r="J236" s="60"/>
      <c r="K236" s="61"/>
      <c r="L236" s="25">
        <f>MAX(ABS(E238),ABS(E239))*1000/(B241*B233)</f>
        <v>1.3779233303959306</v>
      </c>
      <c r="M236" s="25">
        <f>L236-phiVc</f>
        <v>0.71541389650083498</v>
      </c>
      <c r="N236" s="26">
        <f>M236*O236*B233/(phiV*fys*0.25*PI()*(J233^2))</f>
        <v>1.324935656549719</v>
      </c>
      <c r="O236" s="15">
        <v>100</v>
      </c>
    </row>
    <row r="237" spans="1:19" x14ac:dyDescent="0.25">
      <c r="A237" s="12" t="s">
        <v>27</v>
      </c>
      <c r="B237" s="50">
        <f>K240*R239</f>
        <v>1570</v>
      </c>
      <c r="C237" s="64">
        <v>34.02215611914221</v>
      </c>
      <c r="D237" s="17">
        <v>8.0373009946382581</v>
      </c>
      <c r="E237" s="18">
        <v>-51.118009146835767</v>
      </c>
      <c r="F237" s="18">
        <v>-36.887283870295789</v>
      </c>
      <c r="G237" s="19">
        <v>-4.3995141996768474</v>
      </c>
      <c r="H237" s="6">
        <v>300</v>
      </c>
    </row>
    <row r="238" spans="1:19" x14ac:dyDescent="0.25">
      <c r="A238" s="12" t="s">
        <v>28</v>
      </c>
      <c r="B238" s="51">
        <f>-phi*B233*(B236^2)*J240*fy*(1-(0.588*J240*fy/fc))/1000000</f>
        <v>-159.59260530720002</v>
      </c>
      <c r="C238" s="64">
        <v>5.5295348993398479</v>
      </c>
      <c r="D238" s="18">
        <v>-2.1494605614195672</v>
      </c>
      <c r="E238" s="17">
        <v>-97.077519958899529</v>
      </c>
      <c r="F238" s="18">
        <v>-113.53455850453972</v>
      </c>
      <c r="G238" s="19">
        <v>1.1594290165838632</v>
      </c>
      <c r="I238" s="69" t="s">
        <v>68</v>
      </c>
      <c r="J238" s="70"/>
      <c r="K238" s="73" t="s">
        <v>35</v>
      </c>
      <c r="L238" s="68" t="s">
        <v>36</v>
      </c>
      <c r="M238" s="75" t="s">
        <v>37</v>
      </c>
      <c r="N238" s="77" t="s">
        <v>38</v>
      </c>
      <c r="O238" s="75" t="s">
        <v>72</v>
      </c>
      <c r="Q238" s="34" t="s">
        <v>73</v>
      </c>
    </row>
    <row r="239" spans="1:19" x14ac:dyDescent="0.25">
      <c r="A239" s="23" t="s">
        <v>33</v>
      </c>
      <c r="B239" s="13"/>
      <c r="C239" s="64">
        <v>-30.077771239042036</v>
      </c>
      <c r="D239" s="18">
        <v>3.8675739002633165</v>
      </c>
      <c r="E239" s="17">
        <v>132.28063971800933</v>
      </c>
      <c r="F239" s="18">
        <v>-158.63040541853238</v>
      </c>
      <c r="G239" s="19">
        <v>2.1055441826800028</v>
      </c>
      <c r="I239" s="14" t="s">
        <v>23</v>
      </c>
      <c r="J239" s="41">
        <v>20</v>
      </c>
      <c r="K239" s="74"/>
      <c r="L239" s="40" t="s">
        <v>9</v>
      </c>
      <c r="M239" s="76"/>
      <c r="N239" s="78"/>
      <c r="O239" s="76"/>
      <c r="Q239" s="14" t="s">
        <v>75</v>
      </c>
      <c r="R239" s="21">
        <f>IF(J239=16,201,IF(J239=20,314,IF(J239=25,490,"Err")))</f>
        <v>314</v>
      </c>
      <c r="S239" s="16" t="s">
        <v>25</v>
      </c>
    </row>
    <row r="240" spans="1:19" x14ac:dyDescent="0.25">
      <c r="A240" s="20" t="s">
        <v>39</v>
      </c>
      <c r="B240" s="13"/>
      <c r="C240" s="64">
        <v>-30.077771239042036</v>
      </c>
      <c r="D240" s="18">
        <v>3.8675739002633165</v>
      </c>
      <c r="E240" s="18">
        <v>132.28063971800933</v>
      </c>
      <c r="F240" s="17">
        <v>-158.63040541853238</v>
      </c>
      <c r="G240" s="19">
        <v>2.1055441826800028</v>
      </c>
      <c r="I240" s="14" t="s">
        <v>40</v>
      </c>
      <c r="J240" s="24">
        <f>MAX(rhoMin,(K240*R239/(B233*B236)))</f>
        <v>1.6354166666666666E-2</v>
      </c>
      <c r="K240" s="15">
        <v>5</v>
      </c>
      <c r="L240" s="39">
        <f>IF(M240&lt;2,(B233-(2*(J233+clrCover))-(K240*J239))/(K240-1),(B233-(2*(J233+clrCover))-(N240*J239))/((N240)-1))</f>
        <v>70</v>
      </c>
      <c r="M240" s="15">
        <v>2</v>
      </c>
      <c r="N240" s="22">
        <f>IF(M240&lt;2,K240,CEILING(K240/2,1))</f>
        <v>3</v>
      </c>
      <c r="O240" s="22">
        <f>K240-N240</f>
        <v>2</v>
      </c>
      <c r="Q240" s="37" t="s">
        <v>74</v>
      </c>
      <c r="R240" s="38">
        <f>rhoMin*B233*B236</f>
        <v>316.8</v>
      </c>
      <c r="S240" s="22">
        <f>ROUND(R240/R239,0)</f>
        <v>1</v>
      </c>
    </row>
    <row r="241" spans="1:19" x14ac:dyDescent="0.25">
      <c r="A241" s="12" t="s">
        <v>26</v>
      </c>
      <c r="B241" s="49">
        <f>B234-clrCover-J233-(IF(M243&gt;1,1.5*J242,0.5*J242))</f>
        <v>320</v>
      </c>
      <c r="C241" s="64">
        <v>-12.55900188526377</v>
      </c>
      <c r="D241" s="18">
        <v>1.8357742263354278</v>
      </c>
      <c r="E241" s="18">
        <v>-49.500266568059914</v>
      </c>
      <c r="F241" s="17">
        <v>110.89922830468988</v>
      </c>
      <c r="G241" s="19">
        <v>1.0328432022308729</v>
      </c>
      <c r="I241" s="69" t="s">
        <v>69</v>
      </c>
      <c r="J241" s="70"/>
      <c r="K241" s="75" t="s">
        <v>35</v>
      </c>
      <c r="L241" s="68" t="s">
        <v>36</v>
      </c>
      <c r="M241" s="75" t="s">
        <v>37</v>
      </c>
      <c r="N241" s="77" t="s">
        <v>38</v>
      </c>
      <c r="O241" s="75" t="s">
        <v>72</v>
      </c>
      <c r="R241" s="36"/>
    </row>
    <row r="242" spans="1:19" x14ac:dyDescent="0.25">
      <c r="A242" s="12" t="s">
        <v>27</v>
      </c>
      <c r="B242" s="50">
        <f>K243*R242</f>
        <v>1256</v>
      </c>
      <c r="C242" s="64">
        <v>34.02215611914221</v>
      </c>
      <c r="D242" s="18">
        <v>8.0373009946382581</v>
      </c>
      <c r="E242" s="18">
        <v>-51.118009146835767</v>
      </c>
      <c r="F242" s="18">
        <v>-36.887283870295789</v>
      </c>
      <c r="G242" s="17">
        <v>-4.3995141996768474</v>
      </c>
      <c r="I242" s="14" t="s">
        <v>23</v>
      </c>
      <c r="J242" s="41">
        <v>20</v>
      </c>
      <c r="K242" s="76"/>
      <c r="L242" s="40" t="s">
        <v>9</v>
      </c>
      <c r="M242" s="76"/>
      <c r="N242" s="78"/>
      <c r="O242" s="76"/>
      <c r="Q242" s="14" t="s">
        <v>75</v>
      </c>
      <c r="R242" s="21">
        <f>IF(J242=16,201,IF(J242=20,314,IF(J242=25,490,"Err")))</f>
        <v>314</v>
      </c>
      <c r="S242" s="16" t="s">
        <v>25</v>
      </c>
    </row>
    <row r="243" spans="1:19" x14ac:dyDescent="0.25">
      <c r="A243" s="27" t="s">
        <v>28</v>
      </c>
      <c r="B243" s="52">
        <f>phi*B233*(B241^2)*J243*fy*(1-(0.588*J243*fy/fc))/1000000</f>
        <v>132.09034579660801</v>
      </c>
      <c r="C243" s="53">
        <v>50.637270639052879</v>
      </c>
      <c r="D243" s="28">
        <v>-9.4172850331351494</v>
      </c>
      <c r="E243" s="28">
        <v>-39.787186692693993</v>
      </c>
      <c r="F243" s="28">
        <v>-8.737318209722968</v>
      </c>
      <c r="G243" s="17">
        <v>5.0479381003450614</v>
      </c>
      <c r="I243" s="14" t="s">
        <v>40</v>
      </c>
      <c r="J243" s="24">
        <f>MAX(rhoMin,(K243*R242/(B233*B236)))</f>
        <v>1.3083333333333334E-2</v>
      </c>
      <c r="K243" s="15">
        <v>4</v>
      </c>
      <c r="L243" s="21">
        <f>IF(M243&lt;2,(B233-(2*(J233+clrCover))-(K243*J242))/(K243-1),(B233-(2*(J233+clrCover))-(N243*J242))/((N243)-1))</f>
        <v>160</v>
      </c>
      <c r="M243" s="15">
        <v>2</v>
      </c>
      <c r="N243" s="22">
        <f>IF(M243&lt;2,K243,CEILING(K243/2,1))</f>
        <v>2</v>
      </c>
      <c r="O243" s="22">
        <f>K243-N243</f>
        <v>2</v>
      </c>
      <c r="Q243" s="37" t="s">
        <v>74</v>
      </c>
      <c r="R243" s="38">
        <f>rhoMin*B233*B241</f>
        <v>316.8</v>
      </c>
      <c r="S243" s="22">
        <f>ROUND(R243/R242,0)</f>
        <v>1</v>
      </c>
    </row>
    <row r="244" spans="1:19" x14ac:dyDescent="0.25">
      <c r="A244" s="65" t="s">
        <v>76</v>
      </c>
    </row>
    <row r="245" spans="1:19" x14ac:dyDescent="0.25">
      <c r="A245" s="81" t="s">
        <v>95</v>
      </c>
      <c r="B245" s="11" t="s">
        <v>11</v>
      </c>
      <c r="C245" s="10" t="s">
        <v>12</v>
      </c>
      <c r="D245" s="10" t="s">
        <v>13</v>
      </c>
      <c r="E245" s="10" t="s">
        <v>14</v>
      </c>
      <c r="F245" s="10" t="s">
        <v>15</v>
      </c>
      <c r="G245" s="11" t="s">
        <v>16</v>
      </c>
      <c r="H245" s="6">
        <v>125</v>
      </c>
      <c r="I245" s="69" t="s">
        <v>34</v>
      </c>
      <c r="J245" s="70"/>
      <c r="K245" s="3"/>
    </row>
    <row r="246" spans="1:19" x14ac:dyDescent="0.25">
      <c r="A246" s="12" t="s">
        <v>17</v>
      </c>
      <c r="B246" s="48">
        <v>250</v>
      </c>
      <c r="C246" s="44" t="s">
        <v>18</v>
      </c>
      <c r="D246" s="44" t="s">
        <v>18</v>
      </c>
      <c r="E246" s="44" t="s">
        <v>18</v>
      </c>
      <c r="F246" s="44" t="s">
        <v>19</v>
      </c>
      <c r="G246" s="45" t="s">
        <v>19</v>
      </c>
      <c r="H246" s="6">
        <v>150</v>
      </c>
      <c r="I246" s="14" t="s">
        <v>20</v>
      </c>
      <c r="J246" s="15">
        <v>10</v>
      </c>
      <c r="K246" s="16" t="s">
        <v>9</v>
      </c>
      <c r="L246" s="22" t="s">
        <v>29</v>
      </c>
      <c r="M246" s="22" t="s">
        <v>30</v>
      </c>
      <c r="N246" s="22" t="s">
        <v>31</v>
      </c>
      <c r="O246" s="22" t="s">
        <v>32</v>
      </c>
      <c r="P246" s="3"/>
    </row>
    <row r="247" spans="1:19" x14ac:dyDescent="0.25">
      <c r="A247" s="12" t="s">
        <v>22</v>
      </c>
      <c r="B247" s="48">
        <v>400</v>
      </c>
      <c r="C247" s="17">
        <v>-28.461667735150705</v>
      </c>
      <c r="D247" s="63">
        <v>-2.9413371372517947</v>
      </c>
      <c r="E247" s="63">
        <v>0</v>
      </c>
      <c r="F247" s="63">
        <v>7.7738626719260377</v>
      </c>
      <c r="G247" s="54">
        <v>0</v>
      </c>
      <c r="H247" s="6">
        <v>175</v>
      </c>
      <c r="I247" s="56"/>
      <c r="J247" s="57"/>
      <c r="K247" s="58"/>
      <c r="L247" s="71" t="s">
        <v>1</v>
      </c>
      <c r="M247" s="72"/>
      <c r="N247" s="22" t="s">
        <v>35</v>
      </c>
      <c r="O247" s="22" t="s">
        <v>9</v>
      </c>
    </row>
    <row r="248" spans="1:19" x14ac:dyDescent="0.25">
      <c r="A248" s="20" t="s">
        <v>24</v>
      </c>
      <c r="B248" s="13"/>
      <c r="C248" s="17">
        <v>1.7656470879360278</v>
      </c>
      <c r="D248" s="18">
        <v>0</v>
      </c>
      <c r="E248" s="18">
        <v>-7.7752309215753135</v>
      </c>
      <c r="F248" s="18">
        <v>0</v>
      </c>
      <c r="G248" s="19">
        <v>-0.61751954663250985</v>
      </c>
      <c r="H248" s="6">
        <v>200</v>
      </c>
      <c r="I248" s="59" t="s">
        <v>70</v>
      </c>
      <c r="J248" s="60"/>
      <c r="K248" s="61"/>
      <c r="L248" s="25">
        <f>MAX(ABS(E251),ABS(E252))*1000/(B249*B246)</f>
        <v>0.45574784138680469</v>
      </c>
      <c r="M248" s="25">
        <f>L248-phiVc</f>
        <v>-0.20676159250829096</v>
      </c>
      <c r="N248" s="26">
        <f>M248*O248*B246/(phiV*fys*0.25*PI()*(J246^2))</f>
        <v>-0.31909943747148312</v>
      </c>
      <c r="O248" s="15">
        <v>100</v>
      </c>
    </row>
    <row r="249" spans="1:19" x14ac:dyDescent="0.25">
      <c r="A249" s="12" t="s">
        <v>26</v>
      </c>
      <c r="B249" s="49">
        <f>B247-clrCover-J246-(IF(M253&gt;1,1.5*J252,0.5*J252))</f>
        <v>342</v>
      </c>
      <c r="C249" s="64">
        <v>-15.841729063469352</v>
      </c>
      <c r="D249" s="17">
        <v>-4.118986305277911</v>
      </c>
      <c r="E249" s="18">
        <v>9.8498457578297991</v>
      </c>
      <c r="F249" s="18">
        <v>0.52725241980396831</v>
      </c>
      <c r="G249" s="19">
        <v>1.6445634651068872</v>
      </c>
      <c r="H249" s="6">
        <v>250</v>
      </c>
      <c r="I249" s="59" t="s">
        <v>71</v>
      </c>
      <c r="J249" s="60"/>
      <c r="K249" s="61"/>
      <c r="L249" s="25">
        <f>MAX(ABS(E251),ABS(E252))*1000/(B254*B246)</f>
        <v>0.45574784138680469</v>
      </c>
      <c r="M249" s="25">
        <f>L249-phiVc</f>
        <v>-0.20676159250829096</v>
      </c>
      <c r="N249" s="26">
        <f>M249*O249*B246/(phiV*fys*0.25*PI()*(J246^2))</f>
        <v>-0.31909943747148312</v>
      </c>
      <c r="O249" s="15">
        <v>100</v>
      </c>
    </row>
    <row r="250" spans="1:19" x14ac:dyDescent="0.25">
      <c r="A250" s="12" t="s">
        <v>27</v>
      </c>
      <c r="B250" s="50">
        <f>K253*R252</f>
        <v>402</v>
      </c>
      <c r="C250" s="64">
        <v>-1.1516707474441836</v>
      </c>
      <c r="D250" s="17">
        <v>1.6205283469086649</v>
      </c>
      <c r="E250" s="18">
        <v>9.7939187117936797</v>
      </c>
      <c r="F250" s="18">
        <v>0.74317225182000901</v>
      </c>
      <c r="G250" s="19">
        <v>-0.64793075866064442</v>
      </c>
      <c r="H250" s="6">
        <v>300</v>
      </c>
    </row>
    <row r="251" spans="1:19" x14ac:dyDescent="0.25">
      <c r="A251" s="12" t="s">
        <v>28</v>
      </c>
      <c r="B251" s="51">
        <f>-phi*B246*(B249^2)*J253*fy*(1-(0.588*J253*fy/fc))/1000000</f>
        <v>-49.054993311974407</v>
      </c>
      <c r="C251" s="64">
        <v>-28.008393285580443</v>
      </c>
      <c r="D251" s="18">
        <v>-2.8935582871584145</v>
      </c>
      <c r="E251" s="17">
        <v>-38.966440438571802</v>
      </c>
      <c r="F251" s="18">
        <v>7.5949236196703112</v>
      </c>
      <c r="G251" s="19">
        <v>1.812349381621764</v>
      </c>
      <c r="I251" s="69" t="s">
        <v>68</v>
      </c>
      <c r="J251" s="70"/>
      <c r="K251" s="73" t="s">
        <v>35</v>
      </c>
      <c r="L251" s="68" t="s">
        <v>36</v>
      </c>
      <c r="M251" s="75" t="s">
        <v>37</v>
      </c>
      <c r="N251" s="77" t="s">
        <v>38</v>
      </c>
      <c r="O251" s="75" t="s">
        <v>72</v>
      </c>
      <c r="Q251" s="34" t="s">
        <v>73</v>
      </c>
    </row>
    <row r="252" spans="1:19" x14ac:dyDescent="0.25">
      <c r="A252" s="23" t="s">
        <v>33</v>
      </c>
      <c r="B252" s="13"/>
      <c r="C252" s="64">
        <v>-18.793609762443406</v>
      </c>
      <c r="D252" s="18">
        <v>-2.4959355783710544</v>
      </c>
      <c r="E252" s="17">
        <v>23.925064571887624</v>
      </c>
      <c r="F252" s="18">
        <v>-12.937358304317991</v>
      </c>
      <c r="G252" s="19">
        <v>-1.0070028337194583</v>
      </c>
      <c r="I252" s="14" t="s">
        <v>23</v>
      </c>
      <c r="J252" s="41">
        <v>16</v>
      </c>
      <c r="K252" s="74"/>
      <c r="L252" s="40" t="s">
        <v>9</v>
      </c>
      <c r="M252" s="76"/>
      <c r="N252" s="78"/>
      <c r="O252" s="76"/>
      <c r="Q252" s="14" t="s">
        <v>75</v>
      </c>
      <c r="R252" s="21">
        <f>IF(J252=16,201,IF(J252=20,314,IF(J252=25,490,"Err")))</f>
        <v>201</v>
      </c>
      <c r="S252" s="16" t="s">
        <v>25</v>
      </c>
    </row>
    <row r="253" spans="1:19" x14ac:dyDescent="0.25">
      <c r="A253" s="20" t="s">
        <v>39</v>
      </c>
      <c r="B253" s="13"/>
      <c r="C253" s="64">
        <v>-21.189453549783728</v>
      </c>
      <c r="D253" s="18">
        <v>-2.4591126331531283</v>
      </c>
      <c r="E253" s="18">
        <v>-29.663810920517253</v>
      </c>
      <c r="F253" s="17">
        <v>-20.929101785700492</v>
      </c>
      <c r="G253" s="19">
        <v>1.5628165984931754</v>
      </c>
      <c r="I253" s="14" t="s">
        <v>40</v>
      </c>
      <c r="J253" s="24">
        <f>MAX(rhoMin,(K253*R252/(B246*B249)))</f>
        <v>4.7017543859649126E-3</v>
      </c>
      <c r="K253" s="15">
        <v>2</v>
      </c>
      <c r="L253" s="39">
        <f>IF(M253&lt;2,(B246-(2*(J246+clrCover))-(K253*J252))/(K253-1),(B246-(2*(J246+clrCover))-(N253*J252))/((N253)-1))</f>
        <v>118</v>
      </c>
      <c r="M253" s="15">
        <v>1</v>
      </c>
      <c r="N253" s="22">
        <f>IF(M253&lt;2,K253,CEILING(K253/2,1))</f>
        <v>2</v>
      </c>
      <c r="O253" s="22">
        <f>K253-N253</f>
        <v>0</v>
      </c>
      <c r="Q253" s="37" t="s">
        <v>74</v>
      </c>
      <c r="R253" s="38">
        <f>rhoMin*B246*B249</f>
        <v>282.14999999999998</v>
      </c>
      <c r="S253" s="22">
        <f>ROUND(R253/R252,0)</f>
        <v>1</v>
      </c>
    </row>
    <row r="254" spans="1:19" x14ac:dyDescent="0.25">
      <c r="A254" s="12" t="s">
        <v>26</v>
      </c>
      <c r="B254" s="49">
        <f>B247-clrCover-J246-(IF(M256&gt;1,1.5*J255,0.5*J255))</f>
        <v>342</v>
      </c>
      <c r="C254" s="64">
        <v>-28.008393285580443</v>
      </c>
      <c r="D254" s="18">
        <v>-2.8935582871584145</v>
      </c>
      <c r="E254" s="18">
        <v>-31.028837496225307</v>
      </c>
      <c r="F254" s="17">
        <v>49.818016788332187</v>
      </c>
      <c r="G254" s="19">
        <v>-1.6785998581670512</v>
      </c>
      <c r="I254" s="69" t="s">
        <v>69</v>
      </c>
      <c r="J254" s="70"/>
      <c r="K254" s="75" t="s">
        <v>35</v>
      </c>
      <c r="L254" s="68" t="s">
        <v>36</v>
      </c>
      <c r="M254" s="75" t="s">
        <v>37</v>
      </c>
      <c r="N254" s="77" t="s">
        <v>38</v>
      </c>
      <c r="O254" s="75" t="s">
        <v>72</v>
      </c>
      <c r="R254" s="36"/>
    </row>
    <row r="255" spans="1:19" x14ac:dyDescent="0.25">
      <c r="A255" s="12" t="s">
        <v>27</v>
      </c>
      <c r="B255" s="50">
        <f>K256*R255</f>
        <v>603</v>
      </c>
      <c r="C255" s="64">
        <v>-27.432204918696474</v>
      </c>
      <c r="D255" s="18">
        <v>-3.7760405638586763</v>
      </c>
      <c r="E255" s="18">
        <v>-22.926169333555631</v>
      </c>
      <c r="F255" s="18">
        <v>41.199672626253658</v>
      </c>
      <c r="G255" s="17">
        <v>-2.1964481118994983</v>
      </c>
      <c r="I255" s="14" t="s">
        <v>23</v>
      </c>
      <c r="J255" s="41">
        <v>16</v>
      </c>
      <c r="K255" s="76"/>
      <c r="L255" s="40" t="s">
        <v>9</v>
      </c>
      <c r="M255" s="76"/>
      <c r="N255" s="78"/>
      <c r="O255" s="76"/>
      <c r="Q255" s="14" t="s">
        <v>75</v>
      </c>
      <c r="R255" s="21">
        <f>IF(J255=16,201,IF(J255=20,314,IF(J255=25,490,"Err")))</f>
        <v>201</v>
      </c>
      <c r="S255" s="16" t="s">
        <v>25</v>
      </c>
    </row>
    <row r="256" spans="1:19" x14ac:dyDescent="0.25">
      <c r="A256" s="27" t="s">
        <v>28</v>
      </c>
      <c r="B256" s="52">
        <f>phi*B246*(B254^2)*J256*fy*(1-(0.588*J256*fy/fc))/1000000</f>
        <v>71.953831151942396</v>
      </c>
      <c r="C256" s="53">
        <v>-27.432204918696474</v>
      </c>
      <c r="D256" s="28">
        <v>-3.7760405638586763</v>
      </c>
      <c r="E256" s="28">
        <v>-26.343961865554114</v>
      </c>
      <c r="F256" s="28">
        <v>11.47856283953195</v>
      </c>
      <c r="G256" s="17">
        <v>2.3591767028193278</v>
      </c>
      <c r="I256" s="14" t="s">
        <v>40</v>
      </c>
      <c r="J256" s="24">
        <f>MAX(rhoMin,(K256*R255/(B246*B249)))</f>
        <v>7.0526315789473685E-3</v>
      </c>
      <c r="K256" s="15">
        <v>3</v>
      </c>
      <c r="L256" s="21">
        <f>IF(M256&lt;2,(B246-(2*(J246+clrCover))-(K256*J255))/(K256-1),(B246-(2*(J246+clrCover))-(N256*J255))/((N256)-1))</f>
        <v>51</v>
      </c>
      <c r="M256" s="15">
        <v>1</v>
      </c>
      <c r="N256" s="22">
        <f>IF(M256&lt;2,K256,CEILING(K256/2,1))</f>
        <v>3</v>
      </c>
      <c r="O256" s="22">
        <f>K256-N256</f>
        <v>0</v>
      </c>
      <c r="Q256" s="37" t="s">
        <v>74</v>
      </c>
      <c r="R256" s="38">
        <f>rhoMin*B246*B254</f>
        <v>282.14999999999998</v>
      </c>
      <c r="S256" s="22">
        <f>ROUND(R256/R255,0)</f>
        <v>1</v>
      </c>
    </row>
    <row r="257" spans="1:19" x14ac:dyDescent="0.25">
      <c r="A257" s="65" t="s">
        <v>76</v>
      </c>
    </row>
    <row r="258" spans="1:19" x14ac:dyDescent="0.25">
      <c r="A258" s="81" t="s">
        <v>96</v>
      </c>
      <c r="B258" s="11" t="s">
        <v>11</v>
      </c>
      <c r="C258" s="10" t="s">
        <v>12</v>
      </c>
      <c r="D258" s="10" t="s">
        <v>13</v>
      </c>
      <c r="E258" s="10" t="s">
        <v>14</v>
      </c>
      <c r="F258" s="10" t="s">
        <v>15</v>
      </c>
      <c r="G258" s="11" t="s">
        <v>16</v>
      </c>
      <c r="H258" s="6">
        <v>125</v>
      </c>
      <c r="I258" s="69" t="s">
        <v>34</v>
      </c>
      <c r="J258" s="70"/>
      <c r="K258" s="83" t="s">
        <v>97</v>
      </c>
    </row>
    <row r="259" spans="1:19" x14ac:dyDescent="0.25">
      <c r="A259" s="12" t="s">
        <v>17</v>
      </c>
      <c r="B259" s="48">
        <v>300</v>
      </c>
      <c r="C259" s="44" t="s">
        <v>18</v>
      </c>
      <c r="D259" s="44" t="s">
        <v>18</v>
      </c>
      <c r="E259" s="44" t="s">
        <v>18</v>
      </c>
      <c r="F259" s="44" t="s">
        <v>19</v>
      </c>
      <c r="G259" s="45" t="s">
        <v>19</v>
      </c>
      <c r="H259" s="6">
        <v>150</v>
      </c>
      <c r="I259" s="14" t="s">
        <v>20</v>
      </c>
      <c r="J259" s="15">
        <v>10</v>
      </c>
      <c r="K259" s="16" t="s">
        <v>9</v>
      </c>
      <c r="L259" s="22" t="s">
        <v>29</v>
      </c>
      <c r="M259" s="22" t="s">
        <v>30</v>
      </c>
      <c r="N259" s="22" t="s">
        <v>31</v>
      </c>
      <c r="O259" s="22" t="s">
        <v>32</v>
      </c>
      <c r="P259" s="3"/>
    </row>
    <row r="260" spans="1:19" x14ac:dyDescent="0.25">
      <c r="A260" s="12" t="s">
        <v>22</v>
      </c>
      <c r="B260" s="48">
        <v>500</v>
      </c>
      <c r="C260" s="17">
        <v>-371.55070734712149</v>
      </c>
      <c r="D260" s="63">
        <v>-5.6235155947242603</v>
      </c>
      <c r="E260" s="63">
        <v>0</v>
      </c>
      <c r="F260" s="63">
        <v>12.255299704927264</v>
      </c>
      <c r="G260" s="54">
        <v>0</v>
      </c>
      <c r="H260" s="6">
        <v>175</v>
      </c>
      <c r="I260" s="56"/>
      <c r="J260" s="57"/>
      <c r="K260" s="58"/>
      <c r="L260" s="71" t="s">
        <v>1</v>
      </c>
      <c r="M260" s="72"/>
      <c r="N260" s="22" t="s">
        <v>35</v>
      </c>
      <c r="O260" s="22" t="s">
        <v>9</v>
      </c>
    </row>
    <row r="261" spans="1:19" x14ac:dyDescent="0.25">
      <c r="A261" s="20" t="s">
        <v>24</v>
      </c>
      <c r="B261" s="13"/>
      <c r="C261" s="17">
        <v>282.91234490565188</v>
      </c>
      <c r="D261" s="18">
        <v>0</v>
      </c>
      <c r="E261" s="18">
        <v>37.930001089148647</v>
      </c>
      <c r="F261" s="18">
        <v>0</v>
      </c>
      <c r="G261" s="19">
        <v>-0.29949655623994054</v>
      </c>
      <c r="H261" s="6">
        <v>200</v>
      </c>
      <c r="I261" s="59" t="s">
        <v>70</v>
      </c>
      <c r="J261" s="60"/>
      <c r="K261" s="61"/>
      <c r="L261" s="25">
        <f>MAX(ABS(E264),ABS(E265))*1000/(B262*B259)</f>
        <v>1.7316693344243352</v>
      </c>
      <c r="M261" s="25">
        <f>L261-phiVc</f>
        <v>1.0691599005292396</v>
      </c>
      <c r="N261" s="26">
        <f>M261*O261*B259/(phiV*fys*0.25*PI()*(J259^2))</f>
        <v>1.9800678763620958</v>
      </c>
      <c r="O261" s="15">
        <v>100</v>
      </c>
    </row>
    <row r="262" spans="1:19" x14ac:dyDescent="0.25">
      <c r="A262" s="12" t="s">
        <v>26</v>
      </c>
      <c r="B262" s="49">
        <f>B260-clrCover-J259-(IF(M266&gt;1,1.5*J265,0.5*J265))</f>
        <v>420</v>
      </c>
      <c r="C262" s="64">
        <v>40.10731155924443</v>
      </c>
      <c r="D262" s="17">
        <v>-63.210664977401187</v>
      </c>
      <c r="E262" s="18">
        <v>111.40444903366617</v>
      </c>
      <c r="F262" s="18">
        <v>90.649725786195347</v>
      </c>
      <c r="G262" s="19">
        <v>11.530757024464371</v>
      </c>
      <c r="H262" s="6">
        <v>250</v>
      </c>
      <c r="I262" s="59" t="s">
        <v>71</v>
      </c>
      <c r="J262" s="60"/>
      <c r="K262" s="61"/>
      <c r="L262" s="25">
        <f>MAX(ABS(E264),ABS(E265))*1000/(B267*B259)</f>
        <v>1.7316693344243352</v>
      </c>
      <c r="M262" s="25">
        <f>L262-phiVc</f>
        <v>1.0691599005292396</v>
      </c>
      <c r="N262" s="26">
        <f>M262*O262*B259/(phiV*fys*0.25*PI()*(J259^2))</f>
        <v>1.9800678763620958</v>
      </c>
      <c r="O262" s="15">
        <v>100</v>
      </c>
    </row>
    <row r="263" spans="1:19" x14ac:dyDescent="0.25">
      <c r="A263" s="12" t="s">
        <v>27</v>
      </c>
      <c r="B263" s="50">
        <f>K266*R265</f>
        <v>1570</v>
      </c>
      <c r="C263" s="64">
        <v>-52.260841598939997</v>
      </c>
      <c r="D263" s="17">
        <v>87.052796173691249</v>
      </c>
      <c r="E263" s="18">
        <v>-104.31616559399731</v>
      </c>
      <c r="F263" s="18">
        <v>-81.522150220846939</v>
      </c>
      <c r="G263" s="19">
        <v>-16.28152177666772</v>
      </c>
      <c r="H263" s="6">
        <v>300</v>
      </c>
    </row>
    <row r="264" spans="1:19" x14ac:dyDescent="0.25">
      <c r="A264" s="12" t="s">
        <v>28</v>
      </c>
      <c r="B264" s="51">
        <f>-phi*B259*(B262^2)*J266*fy*(1-(0.588*J266*fy/fc))/1000000</f>
        <v>-218.09080530719999</v>
      </c>
      <c r="C264" s="64">
        <v>1.9453601050496099</v>
      </c>
      <c r="D264" s="18">
        <v>7.9900472448766235</v>
      </c>
      <c r="E264" s="17">
        <v>-172.56489792950757</v>
      </c>
      <c r="F264" s="18">
        <v>-69.089363107339338</v>
      </c>
      <c r="G264" s="19">
        <v>-0.55926641752866124</v>
      </c>
      <c r="I264" s="69" t="s">
        <v>68</v>
      </c>
      <c r="J264" s="70"/>
      <c r="K264" s="73" t="s">
        <v>35</v>
      </c>
      <c r="L264" s="68" t="s">
        <v>36</v>
      </c>
      <c r="M264" s="75" t="s">
        <v>37</v>
      </c>
      <c r="N264" s="77" t="s">
        <v>38</v>
      </c>
      <c r="O264" s="75" t="s">
        <v>72</v>
      </c>
      <c r="Q264" s="34" t="s">
        <v>73</v>
      </c>
    </row>
    <row r="265" spans="1:19" x14ac:dyDescent="0.25">
      <c r="A265" s="23" t="s">
        <v>33</v>
      </c>
      <c r="B265" s="13"/>
      <c r="C265" s="64">
        <v>64.773439791780177</v>
      </c>
      <c r="D265" s="18">
        <v>-11.175666528266609</v>
      </c>
      <c r="E265" s="17">
        <v>218.19033613746626</v>
      </c>
      <c r="F265" s="18">
        <v>-105.94631754714395</v>
      </c>
      <c r="G265" s="19">
        <v>-3.4608301250613498</v>
      </c>
      <c r="I265" s="14" t="s">
        <v>23</v>
      </c>
      <c r="J265" s="41">
        <v>20</v>
      </c>
      <c r="K265" s="74"/>
      <c r="L265" s="40" t="s">
        <v>9</v>
      </c>
      <c r="M265" s="76"/>
      <c r="N265" s="78"/>
      <c r="O265" s="76"/>
      <c r="Q265" s="14" t="s">
        <v>75</v>
      </c>
      <c r="R265" s="21">
        <f>IF(J265=16,201,IF(J265=20,314,IF(J265=25,490,"Err")))</f>
        <v>314</v>
      </c>
      <c r="S265" s="16" t="s">
        <v>25</v>
      </c>
    </row>
    <row r="266" spans="1:19" x14ac:dyDescent="0.25">
      <c r="A266" s="20" t="s">
        <v>39</v>
      </c>
      <c r="B266" s="13"/>
      <c r="C266" s="64">
        <v>0.80533251962211583</v>
      </c>
      <c r="D266" s="18">
        <v>4.7561911376199648E-3</v>
      </c>
      <c r="E266" s="18">
        <v>99.534219334546009</v>
      </c>
      <c r="F266" s="17">
        <v>-190.31074565824522</v>
      </c>
      <c r="G266" s="19">
        <v>9.3907422494758641E-3</v>
      </c>
      <c r="I266" s="14" t="s">
        <v>40</v>
      </c>
      <c r="J266" s="24">
        <f>MAX(rhoMin,(K266*R265/(B259*B262)))</f>
        <v>1.246031746031746E-2</v>
      </c>
      <c r="K266" s="15">
        <v>5</v>
      </c>
      <c r="L266" s="39">
        <f>IF(M266&lt;2,(B259-(2*(J259+clrCover))-(K266*J265))/(K266-1),(B259-(2*(J259+clrCover))-(N266*J265))/((N266)-1))</f>
        <v>70</v>
      </c>
      <c r="M266" s="15">
        <v>2</v>
      </c>
      <c r="N266" s="22">
        <f>IF(M266&lt;2,K266,CEILING(K266/2,1))</f>
        <v>3</v>
      </c>
      <c r="O266" s="22">
        <f>K266-N266</f>
        <v>2</v>
      </c>
      <c r="Q266" s="37" t="s">
        <v>74</v>
      </c>
      <c r="R266" s="38">
        <f>rhoMin*B259*B262</f>
        <v>415.8</v>
      </c>
      <c r="S266" s="22">
        <f>ROUND(R266/R265,0)</f>
        <v>1</v>
      </c>
    </row>
    <row r="267" spans="1:19" x14ac:dyDescent="0.25">
      <c r="A267" s="12" t="s">
        <v>26</v>
      </c>
      <c r="B267" s="49">
        <f>B260-clrCover-J259-(IF(M269&gt;1,1.5*J268,0.5*J268))</f>
        <v>420</v>
      </c>
      <c r="C267" s="64">
        <v>-75.204460136128858</v>
      </c>
      <c r="D267" s="18">
        <v>-0.27552245579186563</v>
      </c>
      <c r="E267" s="18">
        <v>-97.741129007932841</v>
      </c>
      <c r="F267" s="17">
        <v>201.26531438217458</v>
      </c>
      <c r="G267" s="19">
        <v>-0.54399839920197546</v>
      </c>
      <c r="I267" s="69" t="s">
        <v>69</v>
      </c>
      <c r="J267" s="70"/>
      <c r="K267" s="75" t="s">
        <v>35</v>
      </c>
      <c r="L267" s="68" t="s">
        <v>36</v>
      </c>
      <c r="M267" s="75" t="s">
        <v>37</v>
      </c>
      <c r="N267" s="77" t="s">
        <v>38</v>
      </c>
      <c r="O267" s="75" t="s">
        <v>72</v>
      </c>
      <c r="R267" s="36"/>
    </row>
    <row r="268" spans="1:19" x14ac:dyDescent="0.25">
      <c r="A268" s="12" t="s">
        <v>27</v>
      </c>
      <c r="B268" s="50">
        <f>K269*R268</f>
        <v>1570</v>
      </c>
      <c r="C268" s="64">
        <v>-3.9007528490697942</v>
      </c>
      <c r="D268" s="18">
        <v>46.822092109661739</v>
      </c>
      <c r="E268" s="18">
        <v>-57.570005650681175</v>
      </c>
      <c r="F268" s="18">
        <v>-36.218181362441825</v>
      </c>
      <c r="G268" s="17">
        <v>-26.747995885219559</v>
      </c>
      <c r="I268" s="14" t="s">
        <v>23</v>
      </c>
      <c r="J268" s="41">
        <v>20</v>
      </c>
      <c r="K268" s="76"/>
      <c r="L268" s="40" t="s">
        <v>9</v>
      </c>
      <c r="M268" s="76"/>
      <c r="N268" s="78"/>
      <c r="O268" s="76"/>
      <c r="Q268" s="14" t="s">
        <v>75</v>
      </c>
      <c r="R268" s="21">
        <f>IF(J268=16,201,IF(J268=20,314,IF(J268=25,490,"Err")))</f>
        <v>314</v>
      </c>
      <c r="S268" s="16" t="s">
        <v>25</v>
      </c>
    </row>
    <row r="269" spans="1:19" x14ac:dyDescent="0.25">
      <c r="A269" s="27" t="s">
        <v>28</v>
      </c>
      <c r="B269" s="52">
        <f>phi*B259*(B267^2)*J269*fy*(1-(0.588*J269*fy/fc))/1000000</f>
        <v>218.09080530719999</v>
      </c>
      <c r="C269" s="53">
        <v>21.540027083657527</v>
      </c>
      <c r="D269" s="28">
        <v>46.545384943725935</v>
      </c>
      <c r="E269" s="28">
        <v>-58.634324836647117</v>
      </c>
      <c r="F269" s="28">
        <v>-27.243785091198095</v>
      </c>
      <c r="G269" s="17">
        <v>20.271743719282689</v>
      </c>
      <c r="I269" s="14" t="s">
        <v>40</v>
      </c>
      <c r="J269" s="24">
        <f>MAX(rhoMin,(K269*R268/(B259*B262)))</f>
        <v>1.246031746031746E-2</v>
      </c>
      <c r="K269" s="15">
        <v>5</v>
      </c>
      <c r="L269" s="21">
        <f>IF(M269&lt;2,(B259-(2*(J259+clrCover))-(K269*J268))/(K269-1),(B259-(2*(J259+clrCover))-(N269*J268))/((N269)-1))</f>
        <v>70</v>
      </c>
      <c r="M269" s="15">
        <v>2</v>
      </c>
      <c r="N269" s="22">
        <f>IF(M269&lt;2,K269,CEILING(K269/2,1))</f>
        <v>3</v>
      </c>
      <c r="O269" s="22">
        <f>K269-N269</f>
        <v>2</v>
      </c>
      <c r="Q269" s="37" t="s">
        <v>74</v>
      </c>
      <c r="R269" s="38">
        <f>rhoMin*B259*B267</f>
        <v>415.8</v>
      </c>
      <c r="S269" s="22">
        <f>ROUND(R269/R268,0)</f>
        <v>1</v>
      </c>
    </row>
    <row r="270" spans="1:19" x14ac:dyDescent="0.25">
      <c r="A270" s="65" t="s">
        <v>76</v>
      </c>
    </row>
    <row r="271" spans="1:19" x14ac:dyDescent="0.25">
      <c r="A271" s="81" t="s">
        <v>98</v>
      </c>
      <c r="B271" s="11" t="s">
        <v>11</v>
      </c>
      <c r="C271" s="10" t="s">
        <v>12</v>
      </c>
      <c r="D271" s="10" t="s">
        <v>13</v>
      </c>
      <c r="E271" s="10" t="s">
        <v>14</v>
      </c>
      <c r="F271" s="10" t="s">
        <v>15</v>
      </c>
      <c r="G271" s="11" t="s">
        <v>16</v>
      </c>
      <c r="H271" s="6">
        <v>125</v>
      </c>
      <c r="I271" s="69" t="s">
        <v>34</v>
      </c>
      <c r="J271" s="70"/>
      <c r="K271" s="83" t="s">
        <v>99</v>
      </c>
      <c r="Q271" s="34" t="s">
        <v>101</v>
      </c>
    </row>
    <row r="272" spans="1:19" x14ac:dyDescent="0.25">
      <c r="A272" s="12" t="s">
        <v>17</v>
      </c>
      <c r="B272" s="48">
        <v>350</v>
      </c>
      <c r="C272" s="44" t="s">
        <v>18</v>
      </c>
      <c r="D272" s="44" t="s">
        <v>18</v>
      </c>
      <c r="E272" s="44" t="s">
        <v>18</v>
      </c>
      <c r="F272" s="44" t="s">
        <v>19</v>
      </c>
      <c r="G272" s="45" t="s">
        <v>19</v>
      </c>
      <c r="H272" s="6">
        <v>150</v>
      </c>
      <c r="I272" s="14" t="s">
        <v>20</v>
      </c>
      <c r="J272" s="15">
        <v>10</v>
      </c>
      <c r="K272" s="16" t="s">
        <v>9</v>
      </c>
      <c r="L272" s="22" t="s">
        <v>29</v>
      </c>
      <c r="M272" s="22" t="s">
        <v>30</v>
      </c>
      <c r="N272" s="22" t="s">
        <v>31</v>
      </c>
      <c r="O272" s="22" t="s">
        <v>32</v>
      </c>
      <c r="P272" s="3"/>
    </row>
    <row r="273" spans="1:19" x14ac:dyDescent="0.25">
      <c r="A273" s="12" t="s">
        <v>22</v>
      </c>
      <c r="B273" s="48">
        <v>700</v>
      </c>
      <c r="C273" s="17">
        <v>-99.334772200853024</v>
      </c>
      <c r="D273" s="63">
        <v>-0.75618603340860413</v>
      </c>
      <c r="E273" s="63">
        <v>0</v>
      </c>
      <c r="F273" s="63">
        <v>-14.294350036823079</v>
      </c>
      <c r="G273" s="54">
        <v>0</v>
      </c>
      <c r="H273" s="6">
        <v>175</v>
      </c>
      <c r="I273" s="56"/>
      <c r="J273" s="57"/>
      <c r="K273" s="58"/>
      <c r="L273" s="71" t="s">
        <v>1</v>
      </c>
      <c r="M273" s="72"/>
      <c r="N273" s="22" t="s">
        <v>35</v>
      </c>
      <c r="O273" s="22" t="s">
        <v>9</v>
      </c>
    </row>
    <row r="274" spans="1:19" x14ac:dyDescent="0.25">
      <c r="A274" s="20" t="s">
        <v>24</v>
      </c>
      <c r="B274" s="13"/>
      <c r="C274" s="17">
        <v>503.69289344778707</v>
      </c>
      <c r="D274" s="18">
        <v>0</v>
      </c>
      <c r="E274" s="18">
        <v>-228.70493941400412</v>
      </c>
      <c r="F274" s="18">
        <v>0</v>
      </c>
      <c r="G274" s="19">
        <v>-5.2589552610095129</v>
      </c>
      <c r="H274" s="6">
        <v>200</v>
      </c>
      <c r="I274" s="59" t="s">
        <v>70</v>
      </c>
      <c r="J274" s="60"/>
      <c r="K274" s="61"/>
      <c r="L274" s="25">
        <f>MAX(ABS(E277),ABS(E278))*1000/(B275*B272)</f>
        <v>1.7310593437860822</v>
      </c>
      <c r="M274" s="25">
        <f>L274-phiVc</f>
        <v>1.0685499098909865</v>
      </c>
      <c r="N274" s="26">
        <f>M274*O274*B272/(phiV*fys*0.25*PI()*(J272^2))</f>
        <v>2.3087612134726765</v>
      </c>
      <c r="O274" s="15">
        <v>100</v>
      </c>
    </row>
    <row r="275" spans="1:19" x14ac:dyDescent="0.25">
      <c r="A275" s="12" t="s">
        <v>26</v>
      </c>
      <c r="B275" s="49">
        <f>B273-clrCover-J272-(IF(M279&gt;1,1.5*J278,0.5*J278))</f>
        <v>620</v>
      </c>
      <c r="C275" s="64">
        <v>20.549618565627039</v>
      </c>
      <c r="D275" s="17">
        <v>-28.282075140221991</v>
      </c>
      <c r="E275" s="18">
        <v>57.633854215255688</v>
      </c>
      <c r="F275" s="18">
        <v>-11.533385727506559</v>
      </c>
      <c r="G275" s="19">
        <v>13.214846449135143</v>
      </c>
      <c r="H275" s="6">
        <v>250</v>
      </c>
      <c r="I275" s="59" t="s">
        <v>71</v>
      </c>
      <c r="J275" s="60"/>
      <c r="K275" s="61"/>
      <c r="L275" s="25">
        <f>MAX(ABS(E277),ABS(E278))*1000/(B280*B272)</f>
        <v>1.7310593437860822</v>
      </c>
      <c r="M275" s="25">
        <f>L275-phiVc</f>
        <v>1.0685499098909865</v>
      </c>
      <c r="N275" s="26">
        <f>M275*O275*B272/(phiV*fys*0.25*PI()*(J272^2))</f>
        <v>2.3087612134726765</v>
      </c>
      <c r="O275" s="15">
        <v>100</v>
      </c>
    </row>
    <row r="276" spans="1:19" x14ac:dyDescent="0.25">
      <c r="A276" s="12" t="s">
        <v>27</v>
      </c>
      <c r="B276" s="50">
        <f>K279*R278</f>
        <v>2198</v>
      </c>
      <c r="C276" s="64">
        <v>245.81252853222497</v>
      </c>
      <c r="D276" s="17">
        <v>39.982209237557811</v>
      </c>
      <c r="E276" s="18">
        <v>209.85207837838399</v>
      </c>
      <c r="F276" s="18">
        <v>-108.66293052216086</v>
      </c>
      <c r="G276" s="19">
        <v>-12.425875824388351</v>
      </c>
      <c r="H276" s="6">
        <v>300</v>
      </c>
    </row>
    <row r="277" spans="1:19" x14ac:dyDescent="0.25">
      <c r="A277" s="12" t="s">
        <v>28</v>
      </c>
      <c r="B277" s="51">
        <f>-phi*B272*(B275^2)*J279*fy*(1-(0.588*J279*fy/fc))/1000000</f>
        <v>-461.39362971609597</v>
      </c>
      <c r="C277" s="64">
        <v>-35.659132588469916</v>
      </c>
      <c r="D277" s="18">
        <v>18.219824247429671</v>
      </c>
      <c r="E277" s="17">
        <v>-257.18980509479809</v>
      </c>
      <c r="F277" s="18">
        <v>-291.0253223410017</v>
      </c>
      <c r="G277" s="19">
        <v>-5.0443046652382391</v>
      </c>
      <c r="I277" s="69" t="s">
        <v>68</v>
      </c>
      <c r="J277" s="70"/>
      <c r="K277" s="73" t="s">
        <v>35</v>
      </c>
      <c r="L277" s="68" t="s">
        <v>36</v>
      </c>
      <c r="M277" s="75" t="s">
        <v>37</v>
      </c>
      <c r="N277" s="77" t="s">
        <v>38</v>
      </c>
      <c r="O277" s="75" t="s">
        <v>72</v>
      </c>
      <c r="Q277" s="34" t="s">
        <v>73</v>
      </c>
    </row>
    <row r="278" spans="1:19" x14ac:dyDescent="0.25">
      <c r="A278" s="23" t="s">
        <v>33</v>
      </c>
      <c r="B278" s="13"/>
      <c r="C278" s="64">
        <v>263.65181948718856</v>
      </c>
      <c r="D278" s="18">
        <v>-17.575297110959486</v>
      </c>
      <c r="E278" s="17">
        <v>375.63987760157983</v>
      </c>
      <c r="F278" s="18">
        <v>-472.02727096635215</v>
      </c>
      <c r="G278" s="19">
        <v>-9.9109482656689121</v>
      </c>
      <c r="I278" s="14" t="s">
        <v>23</v>
      </c>
      <c r="J278" s="41">
        <v>20</v>
      </c>
      <c r="K278" s="74"/>
      <c r="L278" s="40" t="s">
        <v>9</v>
      </c>
      <c r="M278" s="76"/>
      <c r="N278" s="78"/>
      <c r="O278" s="76"/>
      <c r="Q278" s="14" t="s">
        <v>75</v>
      </c>
      <c r="R278" s="21">
        <f>IF(J278=16,201,IF(J278=20,314,IF(J278=25,490,"Err")))</f>
        <v>314</v>
      </c>
      <c r="S278" s="16" t="s">
        <v>25</v>
      </c>
    </row>
    <row r="279" spans="1:19" x14ac:dyDescent="0.25">
      <c r="A279" s="20" t="s">
        <v>39</v>
      </c>
      <c r="B279" s="13"/>
      <c r="C279" s="64">
        <v>263.65181948718856</v>
      </c>
      <c r="D279" s="18">
        <v>-17.575297110959486</v>
      </c>
      <c r="E279" s="18">
        <v>375.63987760157983</v>
      </c>
      <c r="F279" s="17">
        <v>-472.02727096635215</v>
      </c>
      <c r="G279" s="19">
        <v>-9.9109482656689121</v>
      </c>
      <c r="I279" s="14" t="s">
        <v>40</v>
      </c>
      <c r="J279" s="24">
        <f>MAX(rhoMin,(K279*R278/(B272*B275)))</f>
        <v>1.0129032258064516E-2</v>
      </c>
      <c r="K279" s="15">
        <v>7</v>
      </c>
      <c r="L279" s="39">
        <f>IF(M279&lt;2,(B272-(2*(J272+clrCover))-(K279*J278))/(K279-1),(B272-(2*(J272+clrCover))-(N279*J278))/((N279)-1))</f>
        <v>56.666666666666664</v>
      </c>
      <c r="M279" s="15">
        <v>2</v>
      </c>
      <c r="N279" s="22">
        <f>IF(M279&lt;2,K279,CEILING(K279/2,1))</f>
        <v>4</v>
      </c>
      <c r="O279" s="22">
        <f>K279-N279</f>
        <v>3</v>
      </c>
      <c r="Q279" s="37" t="s">
        <v>74</v>
      </c>
      <c r="R279" s="38">
        <f>rhoMin*B272*B275</f>
        <v>716.1</v>
      </c>
      <c r="S279" s="22">
        <f>ROUND(R279/R278,0)</f>
        <v>2</v>
      </c>
    </row>
    <row r="280" spans="1:19" x14ac:dyDescent="0.25">
      <c r="A280" s="12" t="s">
        <v>26</v>
      </c>
      <c r="B280" s="49">
        <f>B273-clrCover-J272-(IF(M282&gt;1,1.5*J281,0.5*J281))</f>
        <v>620</v>
      </c>
      <c r="C280" s="64">
        <v>196.62028578194912</v>
      </c>
      <c r="D280" s="18">
        <v>3.2611718534322698</v>
      </c>
      <c r="E280" s="18">
        <v>187.28219521786784</v>
      </c>
      <c r="F280" s="17">
        <v>339.71125757460402</v>
      </c>
      <c r="G280" s="19">
        <v>-2.0660618549053558</v>
      </c>
      <c r="I280" s="69" t="s">
        <v>69</v>
      </c>
      <c r="J280" s="70"/>
      <c r="K280" s="75" t="s">
        <v>35</v>
      </c>
      <c r="L280" s="68" t="s">
        <v>36</v>
      </c>
      <c r="M280" s="75" t="s">
        <v>37</v>
      </c>
      <c r="N280" s="77" t="s">
        <v>38</v>
      </c>
      <c r="O280" s="75" t="s">
        <v>72</v>
      </c>
      <c r="R280" s="36"/>
    </row>
    <row r="281" spans="1:19" x14ac:dyDescent="0.25">
      <c r="A281" s="12" t="s">
        <v>27</v>
      </c>
      <c r="B281" s="50">
        <f>K282*R281</f>
        <v>1570</v>
      </c>
      <c r="C281" s="64">
        <v>20.549618565627039</v>
      </c>
      <c r="D281" s="18">
        <v>-28.282075140221991</v>
      </c>
      <c r="E281" s="18">
        <v>65.29408305741137</v>
      </c>
      <c r="F281" s="18">
        <v>-73.589433585127992</v>
      </c>
      <c r="G281" s="17">
        <v>-15.078128966371962</v>
      </c>
      <c r="I281" s="14" t="s">
        <v>23</v>
      </c>
      <c r="J281" s="41">
        <v>20</v>
      </c>
      <c r="K281" s="76"/>
      <c r="L281" s="40" t="s">
        <v>9</v>
      </c>
      <c r="M281" s="76"/>
      <c r="N281" s="78"/>
      <c r="O281" s="76"/>
      <c r="Q281" s="14" t="s">
        <v>75</v>
      </c>
      <c r="R281" s="21">
        <f>IF(J281=16,201,IF(J281=20,314,IF(J281=25,490,"Err")))</f>
        <v>314</v>
      </c>
      <c r="S281" s="16" t="s">
        <v>25</v>
      </c>
    </row>
    <row r="282" spans="1:19" x14ac:dyDescent="0.25">
      <c r="A282" s="27" t="s">
        <v>28</v>
      </c>
      <c r="B282" s="52">
        <f>phi*B272*(B280^2)*J282*fy*(1-(0.588*J282*fy/fc))/1000000</f>
        <v>339.03029597759996</v>
      </c>
      <c r="C282" s="53">
        <v>245.81252853222497</v>
      </c>
      <c r="D282" s="28">
        <v>39.982209237557811</v>
      </c>
      <c r="E282" s="28">
        <v>229.85618333694018</v>
      </c>
      <c r="F282" s="28">
        <v>-279.42383916582622</v>
      </c>
      <c r="G282" s="17">
        <v>18.628343408848231</v>
      </c>
      <c r="I282" s="14" t="s">
        <v>40</v>
      </c>
      <c r="J282" s="24">
        <f>MAX(rhoMin,(K282*R281/(B272*B275)))</f>
        <v>7.2350230414746546E-3</v>
      </c>
      <c r="K282" s="15">
        <v>5</v>
      </c>
      <c r="L282" s="21">
        <f>IF(M282&lt;2,(B272-(2*(J272+clrCover))-(K282*J281))/(K282-1),(B272-(2*(J272+clrCover))-(N282*J281))/((N282)-1))</f>
        <v>95</v>
      </c>
      <c r="M282" s="15">
        <v>2</v>
      </c>
      <c r="N282" s="22">
        <f>IF(M282&lt;2,K282,CEILING(K282/2,1))</f>
        <v>3</v>
      </c>
      <c r="O282" s="22">
        <f>K282-N282</f>
        <v>2</v>
      </c>
      <c r="Q282" s="37" t="s">
        <v>74</v>
      </c>
      <c r="R282" s="38">
        <f>rhoMin*B272*B280</f>
        <v>716.1</v>
      </c>
      <c r="S282" s="22">
        <f>ROUND(R282/R281,0)</f>
        <v>2</v>
      </c>
    </row>
    <row r="283" spans="1:19" x14ac:dyDescent="0.25">
      <c r="A283" s="65" t="s">
        <v>76</v>
      </c>
    </row>
    <row r="284" spans="1:19" x14ac:dyDescent="0.25">
      <c r="A284" s="81" t="s">
        <v>100</v>
      </c>
      <c r="B284" s="11" t="s">
        <v>11</v>
      </c>
      <c r="C284" s="10" t="s">
        <v>12</v>
      </c>
      <c r="D284" s="10" t="s">
        <v>13</v>
      </c>
      <c r="E284" s="10" t="s">
        <v>14</v>
      </c>
      <c r="F284" s="10" t="s">
        <v>15</v>
      </c>
      <c r="G284" s="11" t="s">
        <v>16</v>
      </c>
      <c r="H284" s="6">
        <v>125</v>
      </c>
      <c r="I284" s="69" t="s">
        <v>34</v>
      </c>
      <c r="J284" s="70"/>
      <c r="K284" s="83" t="s">
        <v>103</v>
      </c>
    </row>
    <row r="285" spans="1:19" x14ac:dyDescent="0.25">
      <c r="A285" s="12" t="s">
        <v>17</v>
      </c>
      <c r="B285" s="48">
        <v>300</v>
      </c>
      <c r="C285" s="44" t="s">
        <v>18</v>
      </c>
      <c r="D285" s="44" t="s">
        <v>18</v>
      </c>
      <c r="E285" s="44" t="s">
        <v>18</v>
      </c>
      <c r="F285" s="44" t="s">
        <v>19</v>
      </c>
      <c r="G285" s="45" t="s">
        <v>19</v>
      </c>
      <c r="H285" s="6">
        <v>150</v>
      </c>
      <c r="I285" s="14" t="s">
        <v>20</v>
      </c>
      <c r="J285" s="15">
        <v>12</v>
      </c>
      <c r="K285" s="16" t="s">
        <v>9</v>
      </c>
      <c r="L285" s="22" t="s">
        <v>29</v>
      </c>
      <c r="M285" s="22" t="s">
        <v>30</v>
      </c>
      <c r="N285" s="22" t="s">
        <v>31</v>
      </c>
      <c r="O285" s="22" t="s">
        <v>32</v>
      </c>
      <c r="P285" s="3"/>
    </row>
    <row r="286" spans="1:19" x14ac:dyDescent="0.25">
      <c r="A286" s="12" t="s">
        <v>22</v>
      </c>
      <c r="B286" s="48">
        <v>600</v>
      </c>
      <c r="C286" s="17">
        <v>-833.40091166206378</v>
      </c>
      <c r="D286" s="63">
        <v>8.6951855953122266</v>
      </c>
      <c r="E286" s="63">
        <v>0</v>
      </c>
      <c r="F286" s="63">
        <v>-219.11541986543321</v>
      </c>
      <c r="G286" s="54">
        <v>0</v>
      </c>
      <c r="H286" s="6">
        <v>175</v>
      </c>
      <c r="I286" s="56"/>
      <c r="J286" s="57"/>
      <c r="K286" s="58"/>
      <c r="L286" s="71" t="s">
        <v>1</v>
      </c>
      <c r="M286" s="72"/>
      <c r="N286" s="22" t="s">
        <v>35</v>
      </c>
      <c r="O286" s="22" t="s">
        <v>9</v>
      </c>
    </row>
    <row r="287" spans="1:19" x14ac:dyDescent="0.25">
      <c r="A287" s="20" t="s">
        <v>24</v>
      </c>
      <c r="B287" s="13"/>
      <c r="C287" s="17">
        <v>1136.8782389098424</v>
      </c>
      <c r="D287" s="18">
        <v>0</v>
      </c>
      <c r="E287" s="18">
        <v>-42.243024466797571</v>
      </c>
      <c r="F287" s="18">
        <v>0</v>
      </c>
      <c r="G287" s="19">
        <v>20.806471331268455</v>
      </c>
      <c r="H287" s="6">
        <v>200</v>
      </c>
      <c r="I287" s="59" t="s">
        <v>70</v>
      </c>
      <c r="J287" s="60"/>
      <c r="K287" s="61"/>
      <c r="L287" s="25">
        <f>MAX(ABS(E290),ABS(E291))*1000/(B288*B285)</f>
        <v>2.9003324110991038</v>
      </c>
      <c r="M287" s="25">
        <f>L287-phiVc</f>
        <v>2.2378229772040079</v>
      </c>
      <c r="N287" s="26">
        <f>M287*O287*B285/(phiV*fys*0.25*PI()*(J285^2))</f>
        <v>2.8780653623162795</v>
      </c>
      <c r="O287" s="15">
        <v>100</v>
      </c>
    </row>
    <row r="288" spans="1:19" x14ac:dyDescent="0.25">
      <c r="A288" s="12" t="s">
        <v>26</v>
      </c>
      <c r="B288" s="49">
        <f>B286-clrCover-J285-(IF(M292&gt;1,1.5*J291,0.5*J291))</f>
        <v>510.5</v>
      </c>
      <c r="C288" s="64">
        <v>4.7253508781731144</v>
      </c>
      <c r="D288" s="17">
        <v>-124.28276532489062</v>
      </c>
      <c r="E288" s="18">
        <v>-28.410912961142291</v>
      </c>
      <c r="F288" s="18">
        <v>127.10069833500609</v>
      </c>
      <c r="G288" s="19">
        <v>-5.961856967349771</v>
      </c>
      <c r="H288" s="6">
        <v>250</v>
      </c>
      <c r="I288" s="59" t="s">
        <v>71</v>
      </c>
      <c r="J288" s="60"/>
      <c r="K288" s="61"/>
      <c r="L288" s="25">
        <f>MAX(ABS(E290),ABS(E291))*1000/(B293*B285)</f>
        <v>2.8583391812086725</v>
      </c>
      <c r="M288" s="25">
        <f>L288-phiVc</f>
        <v>2.1958297473135771</v>
      </c>
      <c r="N288" s="26">
        <f>M288*O288*B285/(phiV*fys*0.25*PI()*(J285^2))</f>
        <v>2.8240578462479449</v>
      </c>
      <c r="O288" s="15">
        <v>100</v>
      </c>
    </row>
    <row r="289" spans="1:19" x14ac:dyDescent="0.25">
      <c r="A289" s="12" t="s">
        <v>27</v>
      </c>
      <c r="B289" s="50">
        <f>K292*R291</f>
        <v>2940</v>
      </c>
      <c r="C289" s="64">
        <v>-317.81354037103881</v>
      </c>
      <c r="D289" s="17">
        <v>90.383521932271819</v>
      </c>
      <c r="E289" s="18">
        <v>124.05749971759289</v>
      </c>
      <c r="F289" s="18">
        <v>-89.032157703554773</v>
      </c>
      <c r="G289" s="19">
        <v>-16.71705840884611</v>
      </c>
      <c r="H289" s="6">
        <v>300</v>
      </c>
    </row>
    <row r="290" spans="1:19" x14ac:dyDescent="0.25">
      <c r="A290" s="12" t="s">
        <v>28</v>
      </c>
      <c r="B290" s="51">
        <f>-phi*B285*(B288^2)*J292*fy*(1-(0.588*J292*fy/fc))/1000000</f>
        <v>-462.43423558080002</v>
      </c>
      <c r="C290" s="64">
        <v>21.11588887607564</v>
      </c>
      <c r="D290" s="18">
        <v>4.2105754978919672</v>
      </c>
      <c r="E290" s="17">
        <v>-444.18590875982773</v>
      </c>
      <c r="F290" s="18">
        <v>-259.19800259727651</v>
      </c>
      <c r="G290" s="19">
        <v>-0.85040537010234341</v>
      </c>
      <c r="I290" s="69" t="s">
        <v>68</v>
      </c>
      <c r="J290" s="70"/>
      <c r="K290" s="73" t="s">
        <v>35</v>
      </c>
      <c r="L290" s="68" t="s">
        <v>36</v>
      </c>
      <c r="M290" s="75" t="s">
        <v>37</v>
      </c>
      <c r="N290" s="77" t="s">
        <v>38</v>
      </c>
      <c r="O290" s="75" t="s">
        <v>72</v>
      </c>
      <c r="Q290" s="34" t="s">
        <v>73</v>
      </c>
    </row>
    <row r="291" spans="1:19" x14ac:dyDescent="0.25">
      <c r="A291" s="23" t="s">
        <v>33</v>
      </c>
      <c r="B291" s="13"/>
      <c r="C291" s="64">
        <v>58.207855467141087</v>
      </c>
      <c r="D291" s="18">
        <v>0.81092427694445224</v>
      </c>
      <c r="E291" s="17">
        <v>346.48997456508152</v>
      </c>
      <c r="F291" s="18">
        <v>-371.51357191678437</v>
      </c>
      <c r="G291" s="19">
        <v>0.55097380851827982</v>
      </c>
      <c r="I291" s="14" t="s">
        <v>23</v>
      </c>
      <c r="J291" s="41">
        <v>25</v>
      </c>
      <c r="K291" s="74"/>
      <c r="L291" s="40" t="s">
        <v>9</v>
      </c>
      <c r="M291" s="76"/>
      <c r="N291" s="78"/>
      <c r="O291" s="76"/>
      <c r="Q291" s="14" t="s">
        <v>75</v>
      </c>
      <c r="R291" s="21">
        <f>IF(J291=16,201,IF(J291=20,314,IF(J291=25,490,"Err")))</f>
        <v>490</v>
      </c>
      <c r="S291" s="16" t="s">
        <v>25</v>
      </c>
    </row>
    <row r="292" spans="1:19" x14ac:dyDescent="0.25">
      <c r="A292" s="20" t="s">
        <v>39</v>
      </c>
      <c r="B292" s="13"/>
      <c r="C292" s="64">
        <v>-1.5115039944404272</v>
      </c>
      <c r="D292" s="18">
        <v>-8.6973248297698351</v>
      </c>
      <c r="E292" s="18">
        <v>260.83077914604053</v>
      </c>
      <c r="F292" s="17">
        <v>-453.45523899484158</v>
      </c>
      <c r="G292" s="19">
        <v>-5.1918518648310252</v>
      </c>
      <c r="I292" s="14" t="s">
        <v>40</v>
      </c>
      <c r="J292" s="24">
        <f>MAX(rhoMin,(K292*R291/(B285*B288)))</f>
        <v>1.9196865817825662E-2</v>
      </c>
      <c r="K292" s="15">
        <v>6</v>
      </c>
      <c r="L292" s="39">
        <f>IF(M292&lt;2,(B285-(2*(J285+clrCover))-(K292*J291))/(K292-1),(B285-(2*(J285+clrCover))-(N292*J291))/((N292)-1))</f>
        <v>60.5</v>
      </c>
      <c r="M292" s="15">
        <v>2</v>
      </c>
      <c r="N292" s="22">
        <f>IF(M292&lt;2,K292,CEILING(K292/2,1))</f>
        <v>3</v>
      </c>
      <c r="O292" s="22">
        <f>K292-N292</f>
        <v>3</v>
      </c>
      <c r="Q292" s="37" t="s">
        <v>74</v>
      </c>
      <c r="R292" s="38">
        <f>rhoMin*B285*B288</f>
        <v>505.39499999999998</v>
      </c>
      <c r="S292" s="22">
        <f>ROUND(R292/R291,0)</f>
        <v>1</v>
      </c>
    </row>
    <row r="293" spans="1:19" x14ac:dyDescent="0.25">
      <c r="A293" s="12" t="s">
        <v>26</v>
      </c>
      <c r="B293" s="49">
        <f>B286-clrCover-J285-(IF(M295&gt;1,1.5*J294,0.5*J294))</f>
        <v>518</v>
      </c>
      <c r="C293" s="64">
        <v>33.999773199237126</v>
      </c>
      <c r="D293" s="18">
        <v>-10.034912827499204</v>
      </c>
      <c r="E293" s="18">
        <v>-130.74202834745975</v>
      </c>
      <c r="F293" s="17">
        <v>280.28649528636964</v>
      </c>
      <c r="G293" s="19">
        <v>-5.3241868864019599</v>
      </c>
      <c r="I293" s="69" t="s">
        <v>69</v>
      </c>
      <c r="J293" s="70"/>
      <c r="K293" s="75" t="s">
        <v>35</v>
      </c>
      <c r="L293" s="68" t="s">
        <v>36</v>
      </c>
      <c r="M293" s="75" t="s">
        <v>37</v>
      </c>
      <c r="N293" s="77" t="s">
        <v>38</v>
      </c>
      <c r="O293" s="75" t="s">
        <v>72</v>
      </c>
      <c r="R293" s="36"/>
    </row>
    <row r="294" spans="1:19" x14ac:dyDescent="0.25">
      <c r="A294" s="12" t="s">
        <v>27</v>
      </c>
      <c r="B294" s="50">
        <f>K295*R294</f>
        <v>1570</v>
      </c>
      <c r="C294" s="64">
        <v>147.35208179547899</v>
      </c>
      <c r="D294" s="18">
        <v>-89.813817101687988</v>
      </c>
      <c r="E294" s="18">
        <v>-288.58130294257342</v>
      </c>
      <c r="F294" s="18">
        <v>-39.868571500977588</v>
      </c>
      <c r="G294" s="17">
        <v>-37.92163450479331</v>
      </c>
      <c r="I294" s="14" t="s">
        <v>23</v>
      </c>
      <c r="J294" s="41">
        <v>20</v>
      </c>
      <c r="K294" s="76"/>
      <c r="L294" s="40" t="s">
        <v>9</v>
      </c>
      <c r="M294" s="76"/>
      <c r="N294" s="78"/>
      <c r="O294" s="76"/>
      <c r="Q294" s="14" t="s">
        <v>75</v>
      </c>
      <c r="R294" s="21">
        <f>IF(J294=16,201,IF(J294=20,314,IF(J294=25,490,"Err")))</f>
        <v>314</v>
      </c>
      <c r="S294" s="16" t="s">
        <v>25</v>
      </c>
    </row>
    <row r="295" spans="1:19" x14ac:dyDescent="0.25">
      <c r="A295" s="27" t="s">
        <v>28</v>
      </c>
      <c r="B295" s="52">
        <f>phi*B285*(B293^2)*J295*fy*(1-(0.588*J295*fy/fc))/1000000</f>
        <v>279.05388799348117</v>
      </c>
      <c r="C295" s="53">
        <v>147.35208179547899</v>
      </c>
      <c r="D295" s="28">
        <v>-89.813817101687988</v>
      </c>
      <c r="E295" s="28">
        <v>-299.68635579752362</v>
      </c>
      <c r="F295" s="28">
        <v>-314.39358339998023</v>
      </c>
      <c r="G295" s="17">
        <v>45.904626695226476</v>
      </c>
      <c r="I295" s="14" t="s">
        <v>40</v>
      </c>
      <c r="J295" s="24">
        <f>MAX(rhoMin,(K295*R294/(B285*B288)))</f>
        <v>1.0251387528566764E-2</v>
      </c>
      <c r="K295" s="15">
        <v>5</v>
      </c>
      <c r="L295" s="21">
        <f>IF(M295&lt;2,(B285-(2*(J285+clrCover))-(K295*J294))/(K295-1),(B285-(2*(J285+clrCover))-(N295*J294))/((N295)-1))</f>
        <v>68</v>
      </c>
      <c r="M295" s="15">
        <v>2</v>
      </c>
      <c r="N295" s="22">
        <f>IF(M295&lt;2,K295,CEILING(K295/2,1))</f>
        <v>3</v>
      </c>
      <c r="O295" s="22">
        <f>K295-N295</f>
        <v>2</v>
      </c>
      <c r="Q295" s="37" t="s">
        <v>74</v>
      </c>
      <c r="R295" s="38">
        <f>rhoMin*B285*B293</f>
        <v>512.82000000000005</v>
      </c>
      <c r="S295" s="22">
        <f>ROUND(R295/R294,0)</f>
        <v>2</v>
      </c>
    </row>
    <row r="296" spans="1:19" x14ac:dyDescent="0.25">
      <c r="A296" s="65" t="s">
        <v>76</v>
      </c>
    </row>
    <row r="297" spans="1:19" x14ac:dyDescent="0.25">
      <c r="A297" s="81" t="s">
        <v>102</v>
      </c>
      <c r="B297" s="11" t="s">
        <v>11</v>
      </c>
      <c r="C297" s="10" t="s">
        <v>12</v>
      </c>
      <c r="D297" s="10" t="s">
        <v>13</v>
      </c>
      <c r="E297" s="10" t="s">
        <v>14</v>
      </c>
      <c r="F297" s="10" t="s">
        <v>15</v>
      </c>
      <c r="G297" s="11" t="s">
        <v>16</v>
      </c>
      <c r="H297" s="6">
        <v>125</v>
      </c>
      <c r="I297" s="69" t="s">
        <v>34</v>
      </c>
      <c r="J297" s="70"/>
      <c r="K297" s="83" t="s">
        <v>104</v>
      </c>
    </row>
    <row r="298" spans="1:19" x14ac:dyDescent="0.25">
      <c r="A298" s="12" t="s">
        <v>17</v>
      </c>
      <c r="B298" s="48">
        <v>350</v>
      </c>
      <c r="C298" s="44" t="s">
        <v>18</v>
      </c>
      <c r="D298" s="44" t="s">
        <v>18</v>
      </c>
      <c r="E298" s="44" t="s">
        <v>18</v>
      </c>
      <c r="F298" s="44" t="s">
        <v>19</v>
      </c>
      <c r="G298" s="45" t="s">
        <v>19</v>
      </c>
      <c r="H298" s="6">
        <v>150</v>
      </c>
      <c r="I298" s="14" t="s">
        <v>20</v>
      </c>
      <c r="J298" s="15">
        <v>12</v>
      </c>
      <c r="K298" s="16" t="s">
        <v>9</v>
      </c>
      <c r="L298" s="22" t="s">
        <v>29</v>
      </c>
      <c r="M298" s="22" t="s">
        <v>30</v>
      </c>
      <c r="N298" s="22" t="s">
        <v>31</v>
      </c>
      <c r="O298" s="22" t="s">
        <v>32</v>
      </c>
      <c r="P298" s="3"/>
    </row>
    <row r="299" spans="1:19" x14ac:dyDescent="0.25">
      <c r="A299" s="12" t="s">
        <v>22</v>
      </c>
      <c r="B299" s="48">
        <v>650</v>
      </c>
      <c r="C299" s="17">
        <v>-219.56311549818258</v>
      </c>
      <c r="D299" s="63">
        <v>4.1333847036636389</v>
      </c>
      <c r="E299" s="63">
        <v>0</v>
      </c>
      <c r="F299" s="63">
        <v>-113.57373810643257</v>
      </c>
      <c r="G299" s="54">
        <v>0</v>
      </c>
      <c r="H299" s="6">
        <v>175</v>
      </c>
      <c r="I299" s="56"/>
      <c r="J299" s="57"/>
      <c r="K299" s="58"/>
      <c r="L299" s="71" t="s">
        <v>1</v>
      </c>
      <c r="M299" s="72"/>
      <c r="N299" s="22" t="s">
        <v>35</v>
      </c>
      <c r="O299" s="22" t="s">
        <v>9</v>
      </c>
    </row>
    <row r="300" spans="1:19" x14ac:dyDescent="0.25">
      <c r="A300" s="20" t="s">
        <v>24</v>
      </c>
      <c r="B300" s="13"/>
      <c r="C300" s="17">
        <v>214.47390670824109</v>
      </c>
      <c r="D300" s="18">
        <v>0</v>
      </c>
      <c r="E300" s="18">
        <v>-9.249864167138897</v>
      </c>
      <c r="F300" s="18">
        <v>0</v>
      </c>
      <c r="G300" s="19">
        <v>2.0984280573956542</v>
      </c>
      <c r="H300" s="6">
        <v>200</v>
      </c>
      <c r="I300" s="59" t="s">
        <v>70</v>
      </c>
      <c r="J300" s="60"/>
      <c r="K300" s="61"/>
      <c r="L300" s="25">
        <f>MAX(ABS(E303),ABS(E304))*1000/(B301*B298)</f>
        <v>4.6676997155531552</v>
      </c>
      <c r="M300" s="25">
        <f>L300-phiVc</f>
        <v>4.0051902816580593</v>
      </c>
      <c r="N300" s="26">
        <f>M300*O300*B298/(phiV*fys*0.25*PI()*(J298^2))</f>
        <v>3.0047951646104405</v>
      </c>
      <c r="O300" s="15">
        <v>50</v>
      </c>
    </row>
    <row r="301" spans="1:19" x14ac:dyDescent="0.25">
      <c r="A301" s="12" t="s">
        <v>26</v>
      </c>
      <c r="B301" s="49">
        <f>B299-clrCover-J298-(IF(M305&gt;1,1.5*J304,0.5*J304))</f>
        <v>560.5</v>
      </c>
      <c r="C301" s="64">
        <v>-163.14929805821157</v>
      </c>
      <c r="D301" s="17">
        <v>-38.259450016656395</v>
      </c>
      <c r="E301" s="18">
        <v>128.45401125463169</v>
      </c>
      <c r="F301" s="18">
        <v>-17.044165103379317</v>
      </c>
      <c r="G301" s="19">
        <v>2.1242917248322324</v>
      </c>
      <c r="H301" s="6">
        <v>250</v>
      </c>
      <c r="I301" s="59" t="s">
        <v>71</v>
      </c>
      <c r="J301" s="60"/>
      <c r="K301" s="61"/>
      <c r="L301" s="25">
        <f>MAX(ABS(E303),ABS(E304))*1000/(B306*B298)</f>
        <v>4.6060663566329989</v>
      </c>
      <c r="M301" s="25">
        <f>L301-phiVc</f>
        <v>3.943556922737903</v>
      </c>
      <c r="N301" s="26">
        <f>M301*O301*B298/(phiV*fys*0.25*PI()*(J298^2))</f>
        <v>2.9585562581319902</v>
      </c>
      <c r="O301" s="15">
        <v>50</v>
      </c>
    </row>
    <row r="302" spans="1:19" x14ac:dyDescent="0.25">
      <c r="A302" s="12" t="s">
        <v>27</v>
      </c>
      <c r="B302" s="50">
        <f>K305*R304</f>
        <v>2940</v>
      </c>
      <c r="C302" s="64">
        <v>177.07986712814963</v>
      </c>
      <c r="D302" s="17">
        <v>64.710544824680753</v>
      </c>
      <c r="E302" s="18">
        <v>704.76115665388943</v>
      </c>
      <c r="F302" s="18">
        <v>-273.04579852125147</v>
      </c>
      <c r="G302" s="19">
        <v>-5.4858067337408416</v>
      </c>
      <c r="H302" s="6">
        <v>300</v>
      </c>
    </row>
    <row r="303" spans="1:19" x14ac:dyDescent="0.25">
      <c r="A303" s="12" t="s">
        <v>28</v>
      </c>
      <c r="B303" s="51">
        <f>-phi*B298*(B301^2)*J305*fy*(1-(0.588*J305*fy/fc))/1000000</f>
        <v>-531.0335679264</v>
      </c>
      <c r="C303" s="64">
        <v>107.32814550716937</v>
      </c>
      <c r="D303" s="18">
        <v>0.67934401503733199</v>
      </c>
      <c r="E303" s="17">
        <v>-182.30780717082069</v>
      </c>
      <c r="F303" s="18">
        <v>-287.95221007128458</v>
      </c>
      <c r="G303" s="19">
        <v>-0.34050178305875123</v>
      </c>
      <c r="I303" s="69" t="s">
        <v>68</v>
      </c>
      <c r="J303" s="70"/>
      <c r="K303" s="73" t="s">
        <v>35</v>
      </c>
      <c r="L303" s="68" t="s">
        <v>36</v>
      </c>
      <c r="M303" s="75" t="s">
        <v>37</v>
      </c>
      <c r="N303" s="77" t="s">
        <v>38</v>
      </c>
      <c r="O303" s="75" t="s">
        <v>72</v>
      </c>
      <c r="Q303" s="34" t="s">
        <v>73</v>
      </c>
    </row>
    <row r="304" spans="1:19" x14ac:dyDescent="0.25">
      <c r="A304" s="23" t="s">
        <v>33</v>
      </c>
      <c r="B304" s="13"/>
      <c r="C304" s="64">
        <v>16.864522466952572</v>
      </c>
      <c r="D304" s="18">
        <v>28.123393663991273</v>
      </c>
      <c r="E304" s="17">
        <v>915.68599169864012</v>
      </c>
      <c r="F304" s="18">
        <v>-519.76356784590723</v>
      </c>
      <c r="G304" s="19">
        <v>2.0936586436644093</v>
      </c>
      <c r="I304" s="14" t="s">
        <v>23</v>
      </c>
      <c r="J304" s="41">
        <v>25</v>
      </c>
      <c r="K304" s="74"/>
      <c r="L304" s="40" t="s">
        <v>9</v>
      </c>
      <c r="M304" s="76"/>
      <c r="N304" s="78"/>
      <c r="O304" s="76"/>
      <c r="Q304" s="14" t="s">
        <v>75</v>
      </c>
      <c r="R304" s="21">
        <f>IF(J304=16,201,IF(J304=20,314,IF(J304=25,490,"Err")))</f>
        <v>490</v>
      </c>
      <c r="S304" s="16" t="s">
        <v>25</v>
      </c>
    </row>
    <row r="305" spans="1:19" x14ac:dyDescent="0.25">
      <c r="A305" s="20" t="s">
        <v>39</v>
      </c>
      <c r="B305" s="13"/>
      <c r="C305" s="64">
        <v>-18.125045780528271</v>
      </c>
      <c r="D305" s="18">
        <v>-0.26670965912012978</v>
      </c>
      <c r="E305" s="18">
        <v>202.90741675878894</v>
      </c>
      <c r="F305" s="17">
        <v>-529.87347423620611</v>
      </c>
      <c r="G305" s="19">
        <v>-0.40798992421395469</v>
      </c>
      <c r="I305" s="14" t="s">
        <v>40</v>
      </c>
      <c r="J305" s="24">
        <f>MAX(rhoMin,(K305*R304/(B298*B301)))</f>
        <v>1.4986619090098127E-2</v>
      </c>
      <c r="K305" s="15">
        <v>6</v>
      </c>
      <c r="L305" s="39">
        <f>IF(M305&lt;2,(B298-(2*(J298+clrCover))-(K305*J304))/(K305-1),(B298-(2*(J298+clrCover))-(N305*J304))/((N305)-1))</f>
        <v>85.5</v>
      </c>
      <c r="M305" s="15">
        <v>2</v>
      </c>
      <c r="N305" s="22">
        <f>IF(M305&lt;2,K305,CEILING(K305/2,1))</f>
        <v>3</v>
      </c>
      <c r="O305" s="22">
        <f>K305-N305</f>
        <v>3</v>
      </c>
      <c r="Q305" s="37" t="s">
        <v>74</v>
      </c>
      <c r="R305" s="38">
        <f>rhoMin*B298*B301</f>
        <v>647.37750000000005</v>
      </c>
      <c r="S305" s="22">
        <f>ROUND(R305/R304,0)</f>
        <v>1</v>
      </c>
    </row>
    <row r="306" spans="1:19" x14ac:dyDescent="0.25">
      <c r="A306" s="12" t="s">
        <v>26</v>
      </c>
      <c r="B306" s="49">
        <f>B299-clrCover-J298-(IF(M308&gt;1,1.5*J307,0.5*J307))</f>
        <v>568</v>
      </c>
      <c r="C306" s="64">
        <v>-112.41735429711088</v>
      </c>
      <c r="D306" s="18">
        <v>0.40718529674685866</v>
      </c>
      <c r="E306" s="18">
        <v>99.044651536498762</v>
      </c>
      <c r="F306" s="17">
        <v>231.77230417164287</v>
      </c>
      <c r="G306" s="19">
        <v>-0.3199754648759271</v>
      </c>
      <c r="I306" s="69" t="s">
        <v>69</v>
      </c>
      <c r="J306" s="70"/>
      <c r="K306" s="75" t="s">
        <v>35</v>
      </c>
      <c r="L306" s="68" t="s">
        <v>36</v>
      </c>
      <c r="M306" s="75" t="s">
        <v>37</v>
      </c>
      <c r="N306" s="77" t="s">
        <v>38</v>
      </c>
      <c r="O306" s="75" t="s">
        <v>72</v>
      </c>
      <c r="R306" s="36"/>
    </row>
    <row r="307" spans="1:19" x14ac:dyDescent="0.25">
      <c r="A307" s="12" t="s">
        <v>27</v>
      </c>
      <c r="B307" s="50">
        <f>K308*R307</f>
        <v>1256</v>
      </c>
      <c r="C307" s="64">
        <v>-163.14929805821157</v>
      </c>
      <c r="D307" s="18">
        <v>-38.259450016656395</v>
      </c>
      <c r="E307" s="18">
        <v>129.23890767308419</v>
      </c>
      <c r="F307" s="18">
        <v>-43.487527107889761</v>
      </c>
      <c r="G307" s="17">
        <v>-5.7277555187919269</v>
      </c>
      <c r="I307" s="14" t="s">
        <v>23</v>
      </c>
      <c r="J307" s="41">
        <v>20</v>
      </c>
      <c r="K307" s="76"/>
      <c r="L307" s="40" t="s">
        <v>9</v>
      </c>
      <c r="M307" s="76"/>
      <c r="N307" s="78"/>
      <c r="O307" s="76"/>
      <c r="Q307" s="14" t="s">
        <v>75</v>
      </c>
      <c r="R307" s="21">
        <f>IF(J307=16,201,IF(J307=20,314,IF(J307=25,490,"Err")))</f>
        <v>314</v>
      </c>
      <c r="S307" s="16" t="s">
        <v>25</v>
      </c>
    </row>
    <row r="308" spans="1:19" x14ac:dyDescent="0.25">
      <c r="A308" s="27" t="s">
        <v>28</v>
      </c>
      <c r="B308" s="52">
        <f>phi*B298*(B306^2)*J308*fy*(1-(0.588*J308*fy/fc))/1000000</f>
        <v>253.82328587048875</v>
      </c>
      <c r="C308" s="53">
        <v>177.07986712814963</v>
      </c>
      <c r="D308" s="28">
        <v>64.710544824680753</v>
      </c>
      <c r="E308" s="28">
        <v>705.80768521182608</v>
      </c>
      <c r="F308" s="28">
        <v>-417.79243212277879</v>
      </c>
      <c r="G308" s="17">
        <v>7.7948403979571959</v>
      </c>
      <c r="I308" s="14" t="s">
        <v>40</v>
      </c>
      <c r="J308" s="24">
        <f>MAX(rhoMin,(K308*R307/(B298*B301)))</f>
        <v>6.402446794953485E-3</v>
      </c>
      <c r="K308" s="15">
        <v>4</v>
      </c>
      <c r="L308" s="21">
        <f>IF(M308&lt;2,(B298-(2*(J298+clrCover))-(K308*J307))/(K308-1),(B298-(2*(J298+clrCover))-(N308*J307))/((N308)-1))</f>
        <v>206</v>
      </c>
      <c r="M308" s="15">
        <v>2</v>
      </c>
      <c r="N308" s="22">
        <f>IF(M308&lt;2,K308,CEILING(K308/2,1))</f>
        <v>2</v>
      </c>
      <c r="O308" s="22">
        <f>K308-N308</f>
        <v>2</v>
      </c>
      <c r="Q308" s="37" t="s">
        <v>74</v>
      </c>
      <c r="R308" s="38">
        <f>rhoMin*B298*B306</f>
        <v>656.04</v>
      </c>
      <c r="S308" s="22">
        <f>ROUND(R308/R307,0)</f>
        <v>2</v>
      </c>
    </row>
    <row r="309" spans="1:19" x14ac:dyDescent="0.25">
      <c r="A309" s="65" t="s">
        <v>76</v>
      </c>
    </row>
    <row r="310" spans="1:19" x14ac:dyDescent="0.25">
      <c r="A310" s="81" t="s">
        <v>105</v>
      </c>
      <c r="B310" s="11" t="s">
        <v>11</v>
      </c>
      <c r="C310" s="10" t="s">
        <v>12</v>
      </c>
      <c r="D310" s="10" t="s">
        <v>13</v>
      </c>
      <c r="E310" s="10" t="s">
        <v>14</v>
      </c>
      <c r="F310" s="10" t="s">
        <v>15</v>
      </c>
      <c r="G310" s="11" t="s">
        <v>16</v>
      </c>
      <c r="H310" s="6">
        <v>125</v>
      </c>
      <c r="I310" s="69" t="s">
        <v>34</v>
      </c>
      <c r="J310" s="70"/>
      <c r="K310" s="83" t="s">
        <v>106</v>
      </c>
    </row>
    <row r="311" spans="1:19" x14ac:dyDescent="0.25">
      <c r="A311" s="12" t="s">
        <v>17</v>
      </c>
      <c r="B311" s="48">
        <v>400</v>
      </c>
      <c r="C311" s="44" t="s">
        <v>18</v>
      </c>
      <c r="D311" s="44" t="s">
        <v>18</v>
      </c>
      <c r="E311" s="44" t="s">
        <v>18</v>
      </c>
      <c r="F311" s="44" t="s">
        <v>19</v>
      </c>
      <c r="G311" s="45" t="s">
        <v>19</v>
      </c>
      <c r="H311" s="6">
        <v>150</v>
      </c>
      <c r="I311" s="14" t="s">
        <v>20</v>
      </c>
      <c r="J311" s="15">
        <v>12</v>
      </c>
      <c r="K311" s="16" t="s">
        <v>9</v>
      </c>
      <c r="L311" s="22" t="s">
        <v>29</v>
      </c>
      <c r="M311" s="22" t="s">
        <v>30</v>
      </c>
      <c r="N311" s="22" t="s">
        <v>31</v>
      </c>
      <c r="O311" s="22" t="s">
        <v>32</v>
      </c>
      <c r="P311" s="3"/>
    </row>
    <row r="312" spans="1:19" x14ac:dyDescent="0.25">
      <c r="A312" s="12" t="s">
        <v>22</v>
      </c>
      <c r="B312" s="48">
        <v>500</v>
      </c>
      <c r="C312" s="17">
        <v>-238.74121673334594</v>
      </c>
      <c r="D312" s="63">
        <v>-4.9179758338146096</v>
      </c>
      <c r="E312" s="63">
        <v>0</v>
      </c>
      <c r="F312" s="63">
        <v>-70.78650159066639</v>
      </c>
      <c r="G312" s="54">
        <v>0</v>
      </c>
      <c r="H312" s="6">
        <v>175</v>
      </c>
      <c r="I312" s="56"/>
      <c r="J312" s="57"/>
      <c r="K312" s="58"/>
      <c r="L312" s="71" t="s">
        <v>1</v>
      </c>
      <c r="M312" s="72"/>
      <c r="N312" s="22" t="s">
        <v>35</v>
      </c>
      <c r="O312" s="22" t="s">
        <v>9</v>
      </c>
    </row>
    <row r="313" spans="1:19" x14ac:dyDescent="0.25">
      <c r="A313" s="20" t="s">
        <v>24</v>
      </c>
      <c r="B313" s="13"/>
      <c r="C313" s="17">
        <v>334.28774997657644</v>
      </c>
      <c r="D313" s="18">
        <v>0</v>
      </c>
      <c r="E313" s="18">
        <v>-3.5741281931402309</v>
      </c>
      <c r="F313" s="18">
        <v>0</v>
      </c>
      <c r="G313" s="19">
        <v>0.53185921197490116</v>
      </c>
      <c r="H313" s="6">
        <v>200</v>
      </c>
      <c r="I313" s="59" t="s">
        <v>70</v>
      </c>
      <c r="J313" s="60"/>
      <c r="K313" s="61"/>
      <c r="L313" s="25">
        <f>MAX(ABS(E316),ABS(E317))*1000/(B314*B311)</f>
        <v>1.2941159006399199</v>
      </c>
      <c r="M313" s="25">
        <f>L313-phiVc</f>
        <v>0.63160646674482424</v>
      </c>
      <c r="N313" s="26">
        <f>M313*O313*B311/(phiV*fys*0.25*PI()*(J311^2))</f>
        <v>1.0830792325521408</v>
      </c>
      <c r="O313" s="15">
        <v>100</v>
      </c>
    </row>
    <row r="314" spans="1:19" x14ac:dyDescent="0.25">
      <c r="A314" s="12" t="s">
        <v>26</v>
      </c>
      <c r="B314" s="49">
        <f>B312-clrCover-J311-(IF(M318&gt;1,1.5*J317,0.5*J317))</f>
        <v>418</v>
      </c>
      <c r="C314" s="64">
        <v>67.568501039703435</v>
      </c>
      <c r="D314" s="17">
        <v>-26.776567936374033</v>
      </c>
      <c r="E314" s="18">
        <v>-22.439577475127287</v>
      </c>
      <c r="F314" s="18">
        <v>47.015962219487704</v>
      </c>
      <c r="G314" s="19">
        <v>8.2453181418784247</v>
      </c>
      <c r="H314" s="6">
        <v>250</v>
      </c>
      <c r="I314" s="59" t="s">
        <v>71</v>
      </c>
      <c r="J314" s="60"/>
      <c r="K314" s="61"/>
      <c r="L314" s="25">
        <f>MAX(ABS(E316),ABS(E317))*1000/(B319*B311)</f>
        <v>1.2941159006399199</v>
      </c>
      <c r="M314" s="25">
        <f>L314-phiVc</f>
        <v>0.63160646674482424</v>
      </c>
      <c r="N314" s="26">
        <f>M314*O314*B311/(phiV*fys*0.25*PI()*(J311^2))</f>
        <v>1.0830792325521408</v>
      </c>
      <c r="O314" s="15">
        <v>100</v>
      </c>
    </row>
    <row r="315" spans="1:19" x14ac:dyDescent="0.25">
      <c r="A315" s="12" t="s">
        <v>27</v>
      </c>
      <c r="B315" s="50">
        <f>K318*R317</f>
        <v>2198</v>
      </c>
      <c r="C315" s="64">
        <v>-126.94466464500414</v>
      </c>
      <c r="D315" s="17">
        <v>21.099407071360531</v>
      </c>
      <c r="E315" s="18">
        <v>172.78652182750659</v>
      </c>
      <c r="F315" s="18">
        <v>-113.50542759440658</v>
      </c>
      <c r="G315" s="19">
        <v>-3.3580547333482915</v>
      </c>
      <c r="H315" s="6">
        <v>300</v>
      </c>
    </row>
    <row r="316" spans="1:19" x14ac:dyDescent="0.25">
      <c r="A316" s="12" t="s">
        <v>28</v>
      </c>
      <c r="B316" s="51">
        <f>-phi*B311*(B314^2)*J318*fy*(1-(0.588*J318*fy/fc))/1000000</f>
        <v>-301.75706340158399</v>
      </c>
      <c r="C316" s="64">
        <v>62.0186572248072</v>
      </c>
      <c r="D316" s="18">
        <v>-5.419252551614214</v>
      </c>
      <c r="E316" s="17">
        <v>-164.27140249515517</v>
      </c>
      <c r="F316" s="18">
        <v>-225.38990908947315</v>
      </c>
      <c r="G316" s="19">
        <v>4.2053145001945218</v>
      </c>
      <c r="I316" s="69" t="s">
        <v>68</v>
      </c>
      <c r="J316" s="70"/>
      <c r="K316" s="73" t="s">
        <v>35</v>
      </c>
      <c r="L316" s="68" t="s">
        <v>36</v>
      </c>
      <c r="M316" s="75" t="s">
        <v>37</v>
      </c>
      <c r="N316" s="77" t="s">
        <v>38</v>
      </c>
      <c r="O316" s="75" t="s">
        <v>72</v>
      </c>
      <c r="Q316" s="34" t="s">
        <v>73</v>
      </c>
    </row>
    <row r="317" spans="1:19" x14ac:dyDescent="0.25">
      <c r="A317" s="23" t="s">
        <v>33</v>
      </c>
      <c r="B317" s="13"/>
      <c r="C317" s="64">
        <v>63.983909152601377</v>
      </c>
      <c r="D317" s="18">
        <v>2.7971234107714538</v>
      </c>
      <c r="E317" s="17">
        <v>216.37617858699463</v>
      </c>
      <c r="F317" s="18">
        <v>-286.04183046012866</v>
      </c>
      <c r="G317" s="19">
        <v>1.2576346014513566</v>
      </c>
      <c r="I317" s="14" t="s">
        <v>23</v>
      </c>
      <c r="J317" s="41">
        <v>20</v>
      </c>
      <c r="K317" s="74"/>
      <c r="L317" s="40" t="s">
        <v>9</v>
      </c>
      <c r="M317" s="76"/>
      <c r="N317" s="78"/>
      <c r="O317" s="76"/>
      <c r="Q317" s="14" t="s">
        <v>75</v>
      </c>
      <c r="R317" s="21">
        <f>IF(J317=16,201,IF(J317=20,314,IF(J317=25,490,"Err")))</f>
        <v>314</v>
      </c>
      <c r="S317" s="16" t="s">
        <v>25</v>
      </c>
    </row>
    <row r="318" spans="1:19" x14ac:dyDescent="0.25">
      <c r="A318" s="20" t="s">
        <v>39</v>
      </c>
      <c r="B318" s="13"/>
      <c r="C318" s="64">
        <v>63.983909152601377</v>
      </c>
      <c r="D318" s="18">
        <v>2.7971234107714538</v>
      </c>
      <c r="E318" s="18">
        <v>216.37617858699463</v>
      </c>
      <c r="F318" s="17">
        <v>-286.04183046012866</v>
      </c>
      <c r="G318" s="19">
        <v>1.2576346014513566</v>
      </c>
      <c r="I318" s="14" t="s">
        <v>40</v>
      </c>
      <c r="J318" s="24">
        <f>MAX(rhoMin,(K318*R317/(B311*B314)))</f>
        <v>1.3145933014354067E-2</v>
      </c>
      <c r="K318" s="15">
        <v>7</v>
      </c>
      <c r="L318" s="39">
        <f>IF(M318&lt;2,(B311-(2*(J311+clrCover))-(K318*J317))/(K318-1),(B311-(2*(J311+clrCover))-(N318*J317))/((N318)-1))</f>
        <v>72</v>
      </c>
      <c r="M318" s="15">
        <v>2</v>
      </c>
      <c r="N318" s="22">
        <f>IF(M318&lt;2,K318,CEILING(K318/2,1))</f>
        <v>4</v>
      </c>
      <c r="O318" s="22">
        <f>K318-N318</f>
        <v>3</v>
      </c>
      <c r="Q318" s="37" t="s">
        <v>74</v>
      </c>
      <c r="R318" s="38">
        <f>rhoMin*B311*B314</f>
        <v>551.76</v>
      </c>
      <c r="S318" s="22">
        <f>ROUND(R318/R317,0)</f>
        <v>2</v>
      </c>
    </row>
    <row r="319" spans="1:19" x14ac:dyDescent="0.25">
      <c r="A319" s="12" t="s">
        <v>26</v>
      </c>
      <c r="B319" s="49">
        <f>B312-clrCover-J311-(IF(M321&gt;1,1.5*J320,0.5*J320))</f>
        <v>418</v>
      </c>
      <c r="C319" s="64">
        <v>91.774292694866475</v>
      </c>
      <c r="D319" s="18">
        <v>0.40040981367211992</v>
      </c>
      <c r="E319" s="18">
        <v>52.918874706770218</v>
      </c>
      <c r="F319" s="17">
        <v>110.18683307963876</v>
      </c>
      <c r="G319" s="19">
        <v>-0.55470799636012147</v>
      </c>
      <c r="I319" s="69" t="s">
        <v>69</v>
      </c>
      <c r="J319" s="70"/>
      <c r="K319" s="75" t="s">
        <v>35</v>
      </c>
      <c r="L319" s="68" t="s">
        <v>36</v>
      </c>
      <c r="M319" s="75" t="s">
        <v>37</v>
      </c>
      <c r="N319" s="77" t="s">
        <v>38</v>
      </c>
      <c r="O319" s="75" t="s">
        <v>72</v>
      </c>
      <c r="R319" s="36"/>
    </row>
    <row r="320" spans="1:19" x14ac:dyDescent="0.25">
      <c r="A320" s="12" t="s">
        <v>27</v>
      </c>
      <c r="B320" s="50">
        <f>K321*R320</f>
        <v>942</v>
      </c>
      <c r="C320" s="64">
        <v>67.568501039703435</v>
      </c>
      <c r="D320" s="18">
        <v>-26.776567936374033</v>
      </c>
      <c r="E320" s="18">
        <v>-6.3532829079591027</v>
      </c>
      <c r="F320" s="18">
        <v>57.78444206191768</v>
      </c>
      <c r="G320" s="17">
        <v>-11.783461787307107</v>
      </c>
      <c r="I320" s="14" t="s">
        <v>23</v>
      </c>
      <c r="J320" s="41">
        <v>20</v>
      </c>
      <c r="K320" s="76"/>
      <c r="L320" s="40" t="s">
        <v>9</v>
      </c>
      <c r="M320" s="76"/>
      <c r="N320" s="78"/>
      <c r="O320" s="76"/>
      <c r="Q320" s="14" t="s">
        <v>75</v>
      </c>
      <c r="R320" s="21">
        <f>IF(J320=16,201,IF(J320=20,314,IF(J320=25,490,"Err")))</f>
        <v>314</v>
      </c>
      <c r="S320" s="16" t="s">
        <v>25</v>
      </c>
    </row>
    <row r="321" spans="1:19" x14ac:dyDescent="0.25">
      <c r="A321" s="27" t="s">
        <v>28</v>
      </c>
      <c r="B321" s="52">
        <f>phi*B311*(B319^2)*J321*fy*(1-(0.588*J321*fy/fc))/1000000</f>
        <v>139.26104423294399</v>
      </c>
      <c r="C321" s="53">
        <v>92.346850655742713</v>
      </c>
      <c r="D321" s="28">
        <v>9.4161626779126202</v>
      </c>
      <c r="E321" s="28">
        <v>-54.070423009473132</v>
      </c>
      <c r="F321" s="28">
        <v>-108.29555117821667</v>
      </c>
      <c r="G321" s="17">
        <v>11.979077736002489</v>
      </c>
      <c r="I321" s="14" t="s">
        <v>40</v>
      </c>
      <c r="J321" s="24">
        <f>MAX(rhoMin,(K321*R320/(B311*B314)))</f>
        <v>5.6339712918660285E-3</v>
      </c>
      <c r="K321" s="15">
        <v>3</v>
      </c>
      <c r="L321" s="21">
        <f>IF(M321&lt;2,(B311-(2*(J311+clrCover))-(K321*J320))/(K321-1),(B311-(2*(J311+clrCover))-(N321*J320))/((N321)-1))</f>
        <v>256</v>
      </c>
      <c r="M321" s="15">
        <v>2</v>
      </c>
      <c r="N321" s="22">
        <f>IF(M321&lt;2,K321,CEILING(K321/2,1))</f>
        <v>2</v>
      </c>
      <c r="O321" s="22">
        <f>K321-N321</f>
        <v>1</v>
      </c>
      <c r="Q321" s="37" t="s">
        <v>74</v>
      </c>
      <c r="R321" s="38">
        <f>rhoMin*B311*B319</f>
        <v>551.76</v>
      </c>
      <c r="S321" s="22">
        <f>ROUND(R321/R320,0)</f>
        <v>2</v>
      </c>
    </row>
    <row r="322" spans="1:19" x14ac:dyDescent="0.25">
      <c r="A322" s="65" t="s">
        <v>76</v>
      </c>
    </row>
    <row r="323" spans="1:19" x14ac:dyDescent="0.25">
      <c r="A323" s="81" t="s">
        <v>108</v>
      </c>
      <c r="B323" s="11" t="s">
        <v>11</v>
      </c>
      <c r="C323" s="10" t="s">
        <v>12</v>
      </c>
      <c r="D323" s="10" t="s">
        <v>13</v>
      </c>
      <c r="E323" s="10" t="s">
        <v>14</v>
      </c>
      <c r="F323" s="10" t="s">
        <v>15</v>
      </c>
      <c r="G323" s="11" t="s">
        <v>16</v>
      </c>
      <c r="H323" s="6">
        <v>125</v>
      </c>
      <c r="I323" s="69" t="s">
        <v>34</v>
      </c>
      <c r="J323" s="70"/>
      <c r="K323" s="83" t="s">
        <v>107</v>
      </c>
    </row>
    <row r="324" spans="1:19" x14ac:dyDescent="0.25">
      <c r="A324" s="12" t="s">
        <v>17</v>
      </c>
      <c r="B324" s="48">
        <v>400</v>
      </c>
      <c r="C324" s="44" t="s">
        <v>18</v>
      </c>
      <c r="D324" s="44" t="s">
        <v>18</v>
      </c>
      <c r="E324" s="44" t="s">
        <v>18</v>
      </c>
      <c r="F324" s="44" t="s">
        <v>19</v>
      </c>
      <c r="G324" s="45" t="s">
        <v>19</v>
      </c>
      <c r="H324" s="6">
        <v>150</v>
      </c>
      <c r="I324" s="14" t="s">
        <v>20</v>
      </c>
      <c r="J324" s="15">
        <v>12</v>
      </c>
      <c r="K324" s="16" t="s">
        <v>9</v>
      </c>
      <c r="L324" s="22" t="s">
        <v>29</v>
      </c>
      <c r="M324" s="22" t="s">
        <v>30</v>
      </c>
      <c r="N324" s="22" t="s">
        <v>31</v>
      </c>
      <c r="O324" s="22" t="s">
        <v>32</v>
      </c>
      <c r="P324" s="3"/>
    </row>
    <row r="325" spans="1:19" x14ac:dyDescent="0.25">
      <c r="A325" s="12" t="s">
        <v>22</v>
      </c>
      <c r="B325" s="48">
        <v>700</v>
      </c>
      <c r="C325" s="17">
        <v>-306.09327237342552</v>
      </c>
      <c r="D325" s="63">
        <v>-4.9321491238069504</v>
      </c>
      <c r="E325" s="63">
        <v>0</v>
      </c>
      <c r="F325" s="63">
        <v>-8.584973224189599E-12</v>
      </c>
      <c r="G325" s="54">
        <v>0</v>
      </c>
      <c r="H325" s="6">
        <v>175</v>
      </c>
      <c r="I325" s="56"/>
      <c r="J325" s="57"/>
      <c r="K325" s="58"/>
      <c r="L325" s="71" t="s">
        <v>1</v>
      </c>
      <c r="M325" s="72"/>
      <c r="N325" s="22" t="s">
        <v>35</v>
      </c>
      <c r="O325" s="22" t="s">
        <v>9</v>
      </c>
    </row>
    <row r="326" spans="1:19" x14ac:dyDescent="0.25">
      <c r="A326" s="20" t="s">
        <v>24</v>
      </c>
      <c r="B326" s="13"/>
      <c r="C326" s="17">
        <v>335.27020040656822</v>
      </c>
      <c r="D326" s="18">
        <v>0</v>
      </c>
      <c r="E326" s="18">
        <v>347.19058265109499</v>
      </c>
      <c r="F326" s="18">
        <v>0</v>
      </c>
      <c r="G326" s="19">
        <v>-2.8072412653840804</v>
      </c>
      <c r="H326" s="6">
        <v>200</v>
      </c>
      <c r="I326" s="59" t="s">
        <v>70</v>
      </c>
      <c r="J326" s="60"/>
      <c r="K326" s="61"/>
      <c r="L326" s="25">
        <f>MAX(ABS(E329),ABS(E330))*1000/(B327*B324)</f>
        <v>2.6857151103029557</v>
      </c>
      <c r="M326" s="25">
        <f>L326-phiVc</f>
        <v>2.0232056764078603</v>
      </c>
      <c r="N326" s="26">
        <f>M326*O326*B324/(phiV*fys*0.25*PI()*(J324^2))</f>
        <v>3.4693945782291458</v>
      </c>
      <c r="O326" s="15">
        <v>100</v>
      </c>
    </row>
    <row r="327" spans="1:19" x14ac:dyDescent="0.25">
      <c r="A327" s="12" t="s">
        <v>26</v>
      </c>
      <c r="B327" s="49">
        <f>B325-clrCover-J324-(IF(M331&gt;1,1.5*J330,0.5*J330))</f>
        <v>610.5</v>
      </c>
      <c r="C327" s="64">
        <v>-148.14467649251515</v>
      </c>
      <c r="D327" s="17">
        <v>-91.350300793060981</v>
      </c>
      <c r="E327" s="18">
        <v>157.72872375190863</v>
      </c>
      <c r="F327" s="18">
        <v>-83.330763404841292</v>
      </c>
      <c r="G327" s="19">
        <v>34.292634324001398</v>
      </c>
      <c r="H327" s="6">
        <v>250</v>
      </c>
      <c r="I327" s="59" t="s">
        <v>71</v>
      </c>
      <c r="J327" s="60"/>
      <c r="K327" s="61"/>
      <c r="L327" s="25">
        <f>MAX(ABS(E329),ABS(E330))*1000/(B332*B324)</f>
        <v>2.6531214803235512</v>
      </c>
      <c r="M327" s="25">
        <f>L327-phiVc</f>
        <v>1.9906120464284556</v>
      </c>
      <c r="N327" s="26">
        <f>M327*O327*B324/(phiV*fys*0.25*PI()*(J324^2))</f>
        <v>3.4135029976281439</v>
      </c>
      <c r="O327" s="15">
        <v>100</v>
      </c>
    </row>
    <row r="328" spans="1:19" x14ac:dyDescent="0.25">
      <c r="A328" s="12" t="s">
        <v>27</v>
      </c>
      <c r="B328" s="50">
        <f>K331*R330</f>
        <v>4410</v>
      </c>
      <c r="C328" s="64">
        <v>209.30520468307625</v>
      </c>
      <c r="D328" s="17">
        <v>45.789405067971295</v>
      </c>
      <c r="E328" s="18">
        <v>44.54004065329427</v>
      </c>
      <c r="F328" s="18">
        <v>34.652034481472903</v>
      </c>
      <c r="G328" s="19">
        <v>-11.723761243102684</v>
      </c>
      <c r="H328" s="6">
        <v>300</v>
      </c>
    </row>
    <row r="329" spans="1:19" x14ac:dyDescent="0.25">
      <c r="A329" s="12" t="s">
        <v>28</v>
      </c>
      <c r="B329" s="51">
        <f>-phi*B324*(B327^2)*J331*fy*(1-(0.588*J331*fy/fc))/1000000</f>
        <v>-839.81984216760009</v>
      </c>
      <c r="C329" s="64">
        <v>113.68876675596339</v>
      </c>
      <c r="D329" s="18">
        <v>4.1396534720144178</v>
      </c>
      <c r="E329" s="17">
        <v>-522.13510381682943</v>
      </c>
      <c r="F329" s="18">
        <v>-604.95848120962728</v>
      </c>
      <c r="G329" s="19">
        <v>-2.5493635199472546</v>
      </c>
      <c r="I329" s="69" t="s">
        <v>68</v>
      </c>
      <c r="J329" s="70"/>
      <c r="K329" s="73" t="s">
        <v>35</v>
      </c>
      <c r="L329" s="68" t="s">
        <v>36</v>
      </c>
      <c r="M329" s="75" t="s">
        <v>37</v>
      </c>
      <c r="N329" s="77" t="s">
        <v>38</v>
      </c>
      <c r="O329" s="75" t="s">
        <v>72</v>
      </c>
      <c r="Q329" s="34" t="s">
        <v>73</v>
      </c>
    </row>
    <row r="330" spans="1:19" x14ac:dyDescent="0.25">
      <c r="A330" s="23" t="s">
        <v>33</v>
      </c>
      <c r="B330" s="13"/>
      <c r="C330" s="64">
        <v>169.96864662275863</v>
      </c>
      <c r="D330" s="18">
        <v>-21.216295319395254</v>
      </c>
      <c r="E330" s="17">
        <v>655.8516299359818</v>
      </c>
      <c r="F330" s="18">
        <v>-349.38400851164266</v>
      </c>
      <c r="G330" s="19">
        <v>-11.339419050899897</v>
      </c>
      <c r="I330" s="14" t="s">
        <v>23</v>
      </c>
      <c r="J330" s="41">
        <v>25</v>
      </c>
      <c r="K330" s="74"/>
      <c r="L330" s="40" t="s">
        <v>9</v>
      </c>
      <c r="M330" s="76"/>
      <c r="N330" s="78"/>
      <c r="O330" s="76"/>
      <c r="Q330" s="14" t="s">
        <v>75</v>
      </c>
      <c r="R330" s="21">
        <f>IF(J330=16,201,IF(J330=20,314,IF(J330=25,490,"Err")))</f>
        <v>490</v>
      </c>
      <c r="S330" s="16" t="s">
        <v>25</v>
      </c>
    </row>
    <row r="331" spans="1:19" x14ac:dyDescent="0.25">
      <c r="A331" s="20" t="s">
        <v>39</v>
      </c>
      <c r="B331" s="13"/>
      <c r="C331" s="64">
        <v>-112.57568612055506</v>
      </c>
      <c r="D331" s="18">
        <v>-4.0054432267363707</v>
      </c>
      <c r="E331" s="18">
        <v>511.0295787602272</v>
      </c>
      <c r="F331" s="17">
        <v>-797.851832148119</v>
      </c>
      <c r="G331" s="19">
        <v>-2.7437084633590616</v>
      </c>
      <c r="I331" s="14" t="s">
        <v>40</v>
      </c>
      <c r="J331" s="24">
        <f>MAX(rhoMin,(K331*R330/(B324*B327)))</f>
        <v>1.8058968058968058E-2</v>
      </c>
      <c r="K331" s="15">
        <v>9</v>
      </c>
      <c r="L331" s="39">
        <f>IF(M331&lt;2,(B324-(2*(J324+clrCover))-(K331*J330))/(K331-1),(B324-(2*(J324+clrCover))-(N331*J330))/((N331)-1))</f>
        <v>42.75</v>
      </c>
      <c r="M331" s="15">
        <v>2</v>
      </c>
      <c r="N331" s="22">
        <f>IF(M331&lt;2,K331,CEILING(K331/2,1))</f>
        <v>5</v>
      </c>
      <c r="O331" s="22">
        <f>K331-N331</f>
        <v>4</v>
      </c>
      <c r="Q331" s="37" t="s">
        <v>74</v>
      </c>
      <c r="R331" s="38">
        <f>rhoMin*B324*B327</f>
        <v>805.86</v>
      </c>
      <c r="S331" s="22">
        <f>ROUND(R331/R330,0)</f>
        <v>2</v>
      </c>
    </row>
    <row r="332" spans="1:19" x14ac:dyDescent="0.25">
      <c r="A332" s="12" t="s">
        <v>26</v>
      </c>
      <c r="B332" s="49">
        <f>B325-clrCover-J324-(IF(M334&gt;1,1.5*J333,0.5*J333))</f>
        <v>618</v>
      </c>
      <c r="C332" s="64">
        <v>-80.435078870382952</v>
      </c>
      <c r="D332" s="18">
        <v>-1.8936472518886576</v>
      </c>
      <c r="E332" s="18">
        <v>-98.006163417154895</v>
      </c>
      <c r="F332" s="17">
        <v>461.24357870328436</v>
      </c>
      <c r="G332" s="19">
        <v>-1.1128232749211557</v>
      </c>
      <c r="I332" s="69" t="s">
        <v>69</v>
      </c>
      <c r="J332" s="70"/>
      <c r="K332" s="75" t="s">
        <v>35</v>
      </c>
      <c r="L332" s="68" t="s">
        <v>36</v>
      </c>
      <c r="M332" s="75" t="s">
        <v>37</v>
      </c>
      <c r="N332" s="77" t="s">
        <v>38</v>
      </c>
      <c r="O332" s="75" t="s">
        <v>72</v>
      </c>
      <c r="R332" s="36"/>
    </row>
    <row r="333" spans="1:19" x14ac:dyDescent="0.25">
      <c r="A333" s="12" t="s">
        <v>27</v>
      </c>
      <c r="B333" s="50">
        <f>K334*R333</f>
        <v>2198</v>
      </c>
      <c r="C333" s="64">
        <v>-148.14467649251515</v>
      </c>
      <c r="D333" s="18">
        <v>-91.350300793060981</v>
      </c>
      <c r="E333" s="18">
        <v>165.66090134352029</v>
      </c>
      <c r="F333" s="18">
        <v>-245.02557595255576</v>
      </c>
      <c r="G333" s="17">
        <v>-57.05766646905959</v>
      </c>
      <c r="I333" s="14" t="s">
        <v>23</v>
      </c>
      <c r="J333" s="41">
        <v>20</v>
      </c>
      <c r="K333" s="76"/>
      <c r="L333" s="40" t="s">
        <v>9</v>
      </c>
      <c r="M333" s="76"/>
      <c r="N333" s="78"/>
      <c r="O333" s="76"/>
      <c r="Q333" s="14" t="s">
        <v>75</v>
      </c>
      <c r="R333" s="21">
        <f>IF(J333=16,201,IF(J333=20,314,IF(J333=25,490,"Err")))</f>
        <v>314</v>
      </c>
      <c r="S333" s="16" t="s">
        <v>25</v>
      </c>
    </row>
    <row r="334" spans="1:19" x14ac:dyDescent="0.25">
      <c r="A334" s="27" t="s">
        <v>28</v>
      </c>
      <c r="B334" s="52">
        <f>phi*B324*(B332^2)*J334*fy*(1-(0.588*J334*fy/fc))/1000000</f>
        <v>470.76675513824091</v>
      </c>
      <c r="C334" s="53">
        <v>-148.14467649251515</v>
      </c>
      <c r="D334" s="28">
        <v>-91.350300793060981</v>
      </c>
      <c r="E334" s="28">
        <v>157.72872375190863</v>
      </c>
      <c r="F334" s="28">
        <v>-83.330763404841292</v>
      </c>
      <c r="G334" s="17">
        <v>34.292634324001398</v>
      </c>
      <c r="I334" s="14" t="s">
        <v>40</v>
      </c>
      <c r="J334" s="24">
        <f>MAX(rhoMin,(K334*R333/(B324*B327)))</f>
        <v>9.0008190008190013E-3</v>
      </c>
      <c r="K334" s="15">
        <v>7</v>
      </c>
      <c r="L334" s="21">
        <f>IF(M334&lt;2,(B324-(2*(J324+clrCover))-(K334*J333))/(K334-1),(B324-(2*(J324+clrCover))-(N334*J333))/((N334)-1))</f>
        <v>72</v>
      </c>
      <c r="M334" s="15">
        <v>2</v>
      </c>
      <c r="N334" s="22">
        <f>IF(M334&lt;2,K334,CEILING(K334/2,1))</f>
        <v>4</v>
      </c>
      <c r="O334" s="22">
        <f>K334-N334</f>
        <v>3</v>
      </c>
      <c r="Q334" s="37" t="s">
        <v>74</v>
      </c>
      <c r="R334" s="38">
        <f>rhoMin*B324*B332</f>
        <v>815.76</v>
      </c>
      <c r="S334" s="22">
        <f>ROUND(R334/R333,0)</f>
        <v>3</v>
      </c>
    </row>
    <row r="335" spans="1:19" x14ac:dyDescent="0.25">
      <c r="A335" s="65" t="s">
        <v>76</v>
      </c>
    </row>
    <row r="336" spans="1:19" x14ac:dyDescent="0.25">
      <c r="A336" s="81" t="s">
        <v>109</v>
      </c>
      <c r="B336" s="11" t="s">
        <v>11</v>
      </c>
      <c r="C336" s="10" t="s">
        <v>12</v>
      </c>
      <c r="D336" s="10" t="s">
        <v>13</v>
      </c>
      <c r="E336" s="10" t="s">
        <v>14</v>
      </c>
      <c r="F336" s="10" t="s">
        <v>15</v>
      </c>
      <c r="G336" s="11" t="s">
        <v>16</v>
      </c>
      <c r="H336" s="6">
        <v>125</v>
      </c>
      <c r="I336" s="69" t="s">
        <v>34</v>
      </c>
      <c r="J336" s="70"/>
      <c r="K336" s="83"/>
    </row>
    <row r="337" spans="1:19" x14ac:dyDescent="0.25">
      <c r="A337" s="12" t="s">
        <v>17</v>
      </c>
      <c r="B337" s="48">
        <v>400</v>
      </c>
      <c r="C337" s="44" t="s">
        <v>18</v>
      </c>
      <c r="D337" s="44" t="s">
        <v>18</v>
      </c>
      <c r="E337" s="44" t="s">
        <v>18</v>
      </c>
      <c r="F337" s="44" t="s">
        <v>19</v>
      </c>
      <c r="G337" s="45" t="s">
        <v>19</v>
      </c>
      <c r="H337" s="6">
        <v>150</v>
      </c>
      <c r="I337" s="14" t="s">
        <v>20</v>
      </c>
      <c r="J337" s="15">
        <v>12</v>
      </c>
      <c r="K337" s="16" t="s">
        <v>9</v>
      </c>
      <c r="L337" s="22" t="s">
        <v>29</v>
      </c>
      <c r="M337" s="22" t="s">
        <v>30</v>
      </c>
      <c r="N337" s="22" t="s">
        <v>31</v>
      </c>
      <c r="O337" s="22" t="s">
        <v>32</v>
      </c>
      <c r="P337" s="3"/>
    </row>
    <row r="338" spans="1:19" ht="14.4" x14ac:dyDescent="0.3">
      <c r="A338" s="12" t="s">
        <v>22</v>
      </c>
      <c r="B338" s="48">
        <v>700</v>
      </c>
      <c r="C338"/>
      <c r="D338"/>
      <c r="E338"/>
      <c r="F338"/>
      <c r="G338"/>
      <c r="H338" s="6">
        <v>175</v>
      </c>
      <c r="I338" s="56"/>
      <c r="J338" s="57"/>
      <c r="K338" s="58"/>
      <c r="L338" s="71" t="s">
        <v>1</v>
      </c>
      <c r="M338" s="72"/>
      <c r="N338" s="22" t="s">
        <v>35</v>
      </c>
      <c r="O338" s="22" t="s">
        <v>9</v>
      </c>
    </row>
    <row r="339" spans="1:19" ht="14.4" x14ac:dyDescent="0.3">
      <c r="A339" s="20" t="s">
        <v>24</v>
      </c>
      <c r="B339" s="13"/>
      <c r="C339"/>
      <c r="D339"/>
      <c r="E339"/>
      <c r="F339"/>
      <c r="G339"/>
      <c r="H339" s="6">
        <v>200</v>
      </c>
      <c r="I339" s="59" t="s">
        <v>70</v>
      </c>
      <c r="J339" s="60"/>
      <c r="K339" s="61"/>
      <c r="L339" s="25">
        <f>MAX(ABS(E342),ABS(E343))*1000/(B340*B337)</f>
        <v>0</v>
      </c>
      <c r="M339" s="25">
        <f>L339-phiVc</f>
        <v>-0.66250943389509565</v>
      </c>
      <c r="N339" s="26">
        <f>M339*O339*B337/(phiV*fys*0.25*PI()*(J337^2))</f>
        <v>-1.1360716632933896</v>
      </c>
      <c r="O339" s="15">
        <v>100</v>
      </c>
    </row>
    <row r="340" spans="1:19" ht="14.4" x14ac:dyDescent="0.3">
      <c r="A340" s="12" t="s">
        <v>26</v>
      </c>
      <c r="B340" s="49">
        <f>B338-clrCover-J337-(IF(M344&gt;1,1.5*J343,0.5*J343))</f>
        <v>610.5</v>
      </c>
      <c r="C340"/>
      <c r="D340"/>
      <c r="E340"/>
      <c r="F340"/>
      <c r="G340"/>
      <c r="H340" s="6">
        <v>250</v>
      </c>
      <c r="I340" s="59" t="s">
        <v>71</v>
      </c>
      <c r="J340" s="60"/>
      <c r="K340" s="61"/>
      <c r="L340" s="25">
        <f>MAX(ABS(E342),ABS(E343))*1000/(B345*B337)</f>
        <v>0</v>
      </c>
      <c r="M340" s="25">
        <f>L340-phiVc</f>
        <v>-0.66250943389509565</v>
      </c>
      <c r="N340" s="26">
        <f>M340*O340*B337/(phiV*fys*0.25*PI()*(J337^2))</f>
        <v>-1.1360716632933896</v>
      </c>
      <c r="O340" s="15">
        <v>100</v>
      </c>
    </row>
    <row r="341" spans="1:19" ht="14.4" x14ac:dyDescent="0.3">
      <c r="A341" s="12" t="s">
        <v>27</v>
      </c>
      <c r="B341" s="50">
        <f>K344*R343</f>
        <v>4410</v>
      </c>
      <c r="C341"/>
      <c r="D341"/>
      <c r="E341"/>
      <c r="F341"/>
      <c r="G341"/>
      <c r="H341" s="6">
        <v>300</v>
      </c>
    </row>
    <row r="342" spans="1:19" ht="14.4" x14ac:dyDescent="0.3">
      <c r="A342" s="12" t="s">
        <v>28</v>
      </c>
      <c r="B342" s="51">
        <f>-phi*B337*(B340^2)*J344*fy*(1-(0.588*J344*fy/fc))/1000000</f>
        <v>-839.81984216760009</v>
      </c>
      <c r="C342"/>
      <c r="D342"/>
      <c r="E342"/>
      <c r="F342"/>
      <c r="G342"/>
      <c r="I342" s="69" t="s">
        <v>68</v>
      </c>
      <c r="J342" s="70"/>
      <c r="K342" s="73" t="s">
        <v>35</v>
      </c>
      <c r="L342" s="68" t="s">
        <v>36</v>
      </c>
      <c r="M342" s="75" t="s">
        <v>37</v>
      </c>
      <c r="N342" s="77" t="s">
        <v>38</v>
      </c>
      <c r="O342" s="75" t="s">
        <v>72</v>
      </c>
      <c r="Q342" s="34" t="s">
        <v>73</v>
      </c>
    </row>
    <row r="343" spans="1:19" ht="14.4" x14ac:dyDescent="0.3">
      <c r="A343" s="23" t="s">
        <v>33</v>
      </c>
      <c r="B343" s="13"/>
      <c r="C343"/>
      <c r="D343"/>
      <c r="E343"/>
      <c r="F343"/>
      <c r="G343"/>
      <c r="I343" s="14" t="s">
        <v>23</v>
      </c>
      <c r="J343" s="41">
        <v>25</v>
      </c>
      <c r="K343" s="74"/>
      <c r="L343" s="40" t="s">
        <v>9</v>
      </c>
      <c r="M343" s="76"/>
      <c r="N343" s="78"/>
      <c r="O343" s="76"/>
      <c r="Q343" s="14" t="s">
        <v>75</v>
      </c>
      <c r="R343" s="21">
        <f>IF(J343=16,201,IF(J343=20,314,IF(J343=25,490,"Err")))</f>
        <v>490</v>
      </c>
      <c r="S343" s="16" t="s">
        <v>25</v>
      </c>
    </row>
    <row r="344" spans="1:19" ht="14.4" x14ac:dyDescent="0.3">
      <c r="A344" s="20" t="s">
        <v>39</v>
      </c>
      <c r="B344" s="13"/>
      <c r="C344"/>
      <c r="D344"/>
      <c r="E344"/>
      <c r="F344"/>
      <c r="G344"/>
      <c r="I344" s="14" t="s">
        <v>40</v>
      </c>
      <c r="J344" s="24">
        <f>MAX(rhoMin,(K344*R343/(B337*B340)))</f>
        <v>1.8058968058968058E-2</v>
      </c>
      <c r="K344" s="15">
        <v>9</v>
      </c>
      <c r="L344" s="39">
        <f>IF(M344&lt;2,(B337-(2*(J337+clrCover))-(K344*J343))/(K344-1),(B337-(2*(J337+clrCover))-(N344*J343))/((N344)-1))</f>
        <v>42.75</v>
      </c>
      <c r="M344" s="15">
        <v>2</v>
      </c>
      <c r="N344" s="22">
        <f>IF(M344&lt;2,K344,CEILING(K344/2,1))</f>
        <v>5</v>
      </c>
      <c r="O344" s="22">
        <f>K344-N344</f>
        <v>4</v>
      </c>
      <c r="Q344" s="37" t="s">
        <v>74</v>
      </c>
      <c r="R344" s="38">
        <f>rhoMin*B337*B340</f>
        <v>805.86</v>
      </c>
      <c r="S344" s="22">
        <f>ROUND(R344/R343,0)</f>
        <v>2</v>
      </c>
    </row>
    <row r="345" spans="1:19" ht="14.4" x14ac:dyDescent="0.3">
      <c r="A345" s="12" t="s">
        <v>26</v>
      </c>
      <c r="B345" s="49">
        <f>B338-clrCover-J337-(IF(M347&gt;1,1.5*J346,0.5*J346))</f>
        <v>618</v>
      </c>
      <c r="C345"/>
      <c r="D345"/>
      <c r="E345"/>
      <c r="F345"/>
      <c r="G345"/>
      <c r="I345" s="69" t="s">
        <v>69</v>
      </c>
      <c r="J345" s="70"/>
      <c r="K345" s="75" t="s">
        <v>35</v>
      </c>
      <c r="L345" s="68" t="s">
        <v>36</v>
      </c>
      <c r="M345" s="75" t="s">
        <v>37</v>
      </c>
      <c r="N345" s="77" t="s">
        <v>38</v>
      </c>
      <c r="O345" s="75" t="s">
        <v>72</v>
      </c>
      <c r="R345" s="36"/>
    </row>
    <row r="346" spans="1:19" ht="14.4" x14ac:dyDescent="0.3">
      <c r="A346" s="12" t="s">
        <v>27</v>
      </c>
      <c r="B346" s="50">
        <f>K347*R346</f>
        <v>2198</v>
      </c>
      <c r="C346"/>
      <c r="D346"/>
      <c r="E346"/>
      <c r="F346"/>
      <c r="G346"/>
      <c r="I346" s="14" t="s">
        <v>23</v>
      </c>
      <c r="J346" s="41">
        <v>20</v>
      </c>
      <c r="K346" s="76"/>
      <c r="L346" s="40" t="s">
        <v>9</v>
      </c>
      <c r="M346" s="76"/>
      <c r="N346" s="78"/>
      <c r="O346" s="76"/>
      <c r="Q346" s="14" t="s">
        <v>75</v>
      </c>
      <c r="R346" s="21">
        <f>IF(J346=16,201,IF(J346=20,314,IF(J346=25,490,"Err")))</f>
        <v>314</v>
      </c>
      <c r="S346" s="16" t="s">
        <v>25</v>
      </c>
    </row>
    <row r="347" spans="1:19" ht="14.4" x14ac:dyDescent="0.3">
      <c r="A347" s="27" t="s">
        <v>28</v>
      </c>
      <c r="B347" s="52">
        <f>phi*B337*(B345^2)*J347*fy*(1-(0.588*J347*fy/fc))/1000000</f>
        <v>470.76675513824091</v>
      </c>
      <c r="C347"/>
      <c r="D347"/>
      <c r="E347"/>
      <c r="F347"/>
      <c r="G347"/>
      <c r="I347" s="14" t="s">
        <v>40</v>
      </c>
      <c r="J347" s="24">
        <f>MAX(rhoMin,(K347*R346/(B337*B340)))</f>
        <v>9.0008190008190013E-3</v>
      </c>
      <c r="K347" s="15">
        <v>7</v>
      </c>
      <c r="L347" s="21">
        <f>IF(M347&lt;2,(B337-(2*(J337+clrCover))-(K347*J346))/(K347-1),(B337-(2*(J337+clrCover))-(N347*J346))/((N347)-1))</f>
        <v>72</v>
      </c>
      <c r="M347" s="15">
        <v>2</v>
      </c>
      <c r="N347" s="22">
        <f>IF(M347&lt;2,K347,CEILING(K347/2,1))</f>
        <v>4</v>
      </c>
      <c r="O347" s="22">
        <f>K347-N347</f>
        <v>3</v>
      </c>
      <c r="Q347" s="37" t="s">
        <v>74</v>
      </c>
      <c r="R347" s="38">
        <f>rhoMin*B337*B345</f>
        <v>815.76</v>
      </c>
      <c r="S347" s="22">
        <f>ROUND(R347/R346,0)</f>
        <v>3</v>
      </c>
    </row>
    <row r="348" spans="1:19" x14ac:dyDescent="0.25">
      <c r="A348" s="65" t="s">
        <v>76</v>
      </c>
    </row>
  </sheetData>
  <dataConsolidate/>
  <mergeCells count="312">
    <mergeCell ref="I336:J336"/>
    <mergeCell ref="L338:M338"/>
    <mergeCell ref="I342:J342"/>
    <mergeCell ref="K342:K343"/>
    <mergeCell ref="M342:M343"/>
    <mergeCell ref="N342:N343"/>
    <mergeCell ref="O342:O343"/>
    <mergeCell ref="I345:J345"/>
    <mergeCell ref="K345:K346"/>
    <mergeCell ref="M345:M346"/>
    <mergeCell ref="N345:N346"/>
    <mergeCell ref="O345:O346"/>
    <mergeCell ref="I323:J323"/>
    <mergeCell ref="L325:M325"/>
    <mergeCell ref="I329:J329"/>
    <mergeCell ref="K329:K330"/>
    <mergeCell ref="M329:M330"/>
    <mergeCell ref="N329:N330"/>
    <mergeCell ref="O329:O330"/>
    <mergeCell ref="I332:J332"/>
    <mergeCell ref="K332:K333"/>
    <mergeCell ref="M332:M333"/>
    <mergeCell ref="N332:N333"/>
    <mergeCell ref="O332:O333"/>
    <mergeCell ref="I310:J310"/>
    <mergeCell ref="L312:M312"/>
    <mergeCell ref="I316:J316"/>
    <mergeCell ref="K316:K317"/>
    <mergeCell ref="M316:M317"/>
    <mergeCell ref="N316:N317"/>
    <mergeCell ref="O316:O317"/>
    <mergeCell ref="I319:J319"/>
    <mergeCell ref="K319:K320"/>
    <mergeCell ref="M319:M320"/>
    <mergeCell ref="N319:N320"/>
    <mergeCell ref="O319:O320"/>
    <mergeCell ref="I297:J297"/>
    <mergeCell ref="L299:M299"/>
    <mergeCell ref="I303:J303"/>
    <mergeCell ref="K303:K304"/>
    <mergeCell ref="M303:M304"/>
    <mergeCell ref="N303:N304"/>
    <mergeCell ref="O303:O304"/>
    <mergeCell ref="I306:J306"/>
    <mergeCell ref="K306:K307"/>
    <mergeCell ref="M306:M307"/>
    <mergeCell ref="N306:N307"/>
    <mergeCell ref="O306:O307"/>
    <mergeCell ref="I284:J284"/>
    <mergeCell ref="L286:M286"/>
    <mergeCell ref="I290:J290"/>
    <mergeCell ref="K290:K291"/>
    <mergeCell ref="M290:M291"/>
    <mergeCell ref="N290:N291"/>
    <mergeCell ref="O290:O291"/>
    <mergeCell ref="I293:J293"/>
    <mergeCell ref="K293:K294"/>
    <mergeCell ref="M293:M294"/>
    <mergeCell ref="N293:N294"/>
    <mergeCell ref="O293:O294"/>
    <mergeCell ref="I271:J271"/>
    <mergeCell ref="L273:M273"/>
    <mergeCell ref="I277:J277"/>
    <mergeCell ref="K277:K278"/>
    <mergeCell ref="M277:M278"/>
    <mergeCell ref="N277:N278"/>
    <mergeCell ref="O277:O278"/>
    <mergeCell ref="I280:J280"/>
    <mergeCell ref="K280:K281"/>
    <mergeCell ref="M280:M281"/>
    <mergeCell ref="N280:N281"/>
    <mergeCell ref="O280:O281"/>
    <mergeCell ref="I258:J258"/>
    <mergeCell ref="L260:M260"/>
    <mergeCell ref="I264:J264"/>
    <mergeCell ref="K264:K265"/>
    <mergeCell ref="M264:M265"/>
    <mergeCell ref="N264:N265"/>
    <mergeCell ref="O264:O265"/>
    <mergeCell ref="I267:J267"/>
    <mergeCell ref="K267:K268"/>
    <mergeCell ref="M267:M268"/>
    <mergeCell ref="N267:N268"/>
    <mergeCell ref="O267:O268"/>
    <mergeCell ref="I245:J245"/>
    <mergeCell ref="L247:M247"/>
    <mergeCell ref="I251:J251"/>
    <mergeCell ref="K251:K252"/>
    <mergeCell ref="M251:M252"/>
    <mergeCell ref="N251:N252"/>
    <mergeCell ref="O251:O252"/>
    <mergeCell ref="I254:J254"/>
    <mergeCell ref="K254:K255"/>
    <mergeCell ref="M254:M255"/>
    <mergeCell ref="N254:N255"/>
    <mergeCell ref="O254:O255"/>
    <mergeCell ref="I232:J232"/>
    <mergeCell ref="L234:M234"/>
    <mergeCell ref="I238:J238"/>
    <mergeCell ref="K238:K239"/>
    <mergeCell ref="M238:M239"/>
    <mergeCell ref="N238:N239"/>
    <mergeCell ref="O238:O239"/>
    <mergeCell ref="I241:J241"/>
    <mergeCell ref="K241:K242"/>
    <mergeCell ref="M241:M242"/>
    <mergeCell ref="N241:N242"/>
    <mergeCell ref="O241:O242"/>
    <mergeCell ref="I219:J219"/>
    <mergeCell ref="L221:M221"/>
    <mergeCell ref="I225:J225"/>
    <mergeCell ref="K225:K226"/>
    <mergeCell ref="M225:M226"/>
    <mergeCell ref="N225:N226"/>
    <mergeCell ref="O225:O226"/>
    <mergeCell ref="I228:J228"/>
    <mergeCell ref="K228:K229"/>
    <mergeCell ref="M228:M229"/>
    <mergeCell ref="N228:N229"/>
    <mergeCell ref="O228:O229"/>
    <mergeCell ref="I206:J206"/>
    <mergeCell ref="L208:M208"/>
    <mergeCell ref="I212:J212"/>
    <mergeCell ref="K212:K213"/>
    <mergeCell ref="M212:M213"/>
    <mergeCell ref="N212:N213"/>
    <mergeCell ref="O212:O213"/>
    <mergeCell ref="I215:J215"/>
    <mergeCell ref="K215:K216"/>
    <mergeCell ref="M215:M216"/>
    <mergeCell ref="N215:N216"/>
    <mergeCell ref="O215:O216"/>
    <mergeCell ref="I63:J63"/>
    <mergeCell ref="L65:M65"/>
    <mergeCell ref="I69:J69"/>
    <mergeCell ref="K69:K70"/>
    <mergeCell ref="M69:M70"/>
    <mergeCell ref="N69:N70"/>
    <mergeCell ref="O69:O70"/>
    <mergeCell ref="I72:J72"/>
    <mergeCell ref="K72:K73"/>
    <mergeCell ref="M72:M73"/>
    <mergeCell ref="N72:N73"/>
    <mergeCell ref="O72:O73"/>
    <mergeCell ref="I193:J193"/>
    <mergeCell ref="L195:M195"/>
    <mergeCell ref="I199:J199"/>
    <mergeCell ref="K199:K200"/>
    <mergeCell ref="M199:M200"/>
    <mergeCell ref="N199:N200"/>
    <mergeCell ref="O199:O200"/>
    <mergeCell ref="I202:J202"/>
    <mergeCell ref="K202:K203"/>
    <mergeCell ref="M202:M203"/>
    <mergeCell ref="N202:N203"/>
    <mergeCell ref="O202:O203"/>
    <mergeCell ref="N134:N135"/>
    <mergeCell ref="O134:O135"/>
    <mergeCell ref="I137:J137"/>
    <mergeCell ref="K137:K138"/>
    <mergeCell ref="M137:M138"/>
    <mergeCell ref="N137:N138"/>
    <mergeCell ref="O137:O138"/>
    <mergeCell ref="I128:J128"/>
    <mergeCell ref="L130:M130"/>
    <mergeCell ref="I134:J134"/>
    <mergeCell ref="K134:K135"/>
    <mergeCell ref="M134:M135"/>
    <mergeCell ref="N121:N122"/>
    <mergeCell ref="O121:O122"/>
    <mergeCell ref="I124:J124"/>
    <mergeCell ref="K124:K125"/>
    <mergeCell ref="M124:M125"/>
    <mergeCell ref="N124:N125"/>
    <mergeCell ref="O124:O125"/>
    <mergeCell ref="I115:J115"/>
    <mergeCell ref="L117:M117"/>
    <mergeCell ref="I121:J121"/>
    <mergeCell ref="K121:K122"/>
    <mergeCell ref="M121:M122"/>
    <mergeCell ref="N108:N109"/>
    <mergeCell ref="O108:O109"/>
    <mergeCell ref="I111:J111"/>
    <mergeCell ref="K111:K112"/>
    <mergeCell ref="M111:M112"/>
    <mergeCell ref="N111:N112"/>
    <mergeCell ref="O111:O112"/>
    <mergeCell ref="I102:J102"/>
    <mergeCell ref="L104:M104"/>
    <mergeCell ref="I108:J108"/>
    <mergeCell ref="K108:K109"/>
    <mergeCell ref="M108:M109"/>
    <mergeCell ref="N95:N96"/>
    <mergeCell ref="O95:O96"/>
    <mergeCell ref="I98:J98"/>
    <mergeCell ref="K98:K99"/>
    <mergeCell ref="M98:M99"/>
    <mergeCell ref="N98:N99"/>
    <mergeCell ref="O98:O99"/>
    <mergeCell ref="I89:J89"/>
    <mergeCell ref="L91:M91"/>
    <mergeCell ref="I95:J95"/>
    <mergeCell ref="K95:K96"/>
    <mergeCell ref="M95:M96"/>
    <mergeCell ref="N82:N83"/>
    <mergeCell ref="O82:O83"/>
    <mergeCell ref="I85:J85"/>
    <mergeCell ref="K85:K86"/>
    <mergeCell ref="M85:M86"/>
    <mergeCell ref="N85:N86"/>
    <mergeCell ref="O85:O86"/>
    <mergeCell ref="I76:J76"/>
    <mergeCell ref="L78:M78"/>
    <mergeCell ref="I82:J82"/>
    <mergeCell ref="K82:K83"/>
    <mergeCell ref="M82:M83"/>
    <mergeCell ref="N56:N57"/>
    <mergeCell ref="O56:O57"/>
    <mergeCell ref="I59:J59"/>
    <mergeCell ref="K59:K60"/>
    <mergeCell ref="M59:M60"/>
    <mergeCell ref="N59:N60"/>
    <mergeCell ref="O59:O60"/>
    <mergeCell ref="I50:J50"/>
    <mergeCell ref="L52:M52"/>
    <mergeCell ref="I56:J56"/>
    <mergeCell ref="K56:K57"/>
    <mergeCell ref="M56:M57"/>
    <mergeCell ref="K17:K18"/>
    <mergeCell ref="K20:K21"/>
    <mergeCell ref="M17:M18"/>
    <mergeCell ref="I11:J11"/>
    <mergeCell ref="L13:M13"/>
    <mergeCell ref="I17:J17"/>
    <mergeCell ref="I20:J20"/>
    <mergeCell ref="N17:N18"/>
    <mergeCell ref="O17:O18"/>
    <mergeCell ref="O20:O21"/>
    <mergeCell ref="N20:N21"/>
    <mergeCell ref="M20:M21"/>
    <mergeCell ref="I24:J24"/>
    <mergeCell ref="L26:M26"/>
    <mergeCell ref="I30:J30"/>
    <mergeCell ref="K30:K31"/>
    <mergeCell ref="M30:M31"/>
    <mergeCell ref="N30:N31"/>
    <mergeCell ref="O30:O31"/>
    <mergeCell ref="I33:J33"/>
    <mergeCell ref="K33:K34"/>
    <mergeCell ref="M33:M34"/>
    <mergeCell ref="N33:N34"/>
    <mergeCell ref="O33:O34"/>
    <mergeCell ref="I37:J37"/>
    <mergeCell ref="L39:M39"/>
    <mergeCell ref="I43:J43"/>
    <mergeCell ref="K43:K44"/>
    <mergeCell ref="M43:M44"/>
    <mergeCell ref="N43:N44"/>
    <mergeCell ref="O43:O44"/>
    <mergeCell ref="I46:J46"/>
    <mergeCell ref="K46:K47"/>
    <mergeCell ref="M46:M47"/>
    <mergeCell ref="N46:N47"/>
    <mergeCell ref="O46:O47"/>
    <mergeCell ref="I141:J141"/>
    <mergeCell ref="L143:M143"/>
    <mergeCell ref="I147:J147"/>
    <mergeCell ref="K147:K148"/>
    <mergeCell ref="M147:M148"/>
    <mergeCell ref="N147:N148"/>
    <mergeCell ref="O147:O148"/>
    <mergeCell ref="I150:J150"/>
    <mergeCell ref="K150:K151"/>
    <mergeCell ref="M150:M151"/>
    <mergeCell ref="N150:N151"/>
    <mergeCell ref="O150:O151"/>
    <mergeCell ref="I154:J154"/>
    <mergeCell ref="L156:M156"/>
    <mergeCell ref="I160:J160"/>
    <mergeCell ref="K160:K161"/>
    <mergeCell ref="M160:M161"/>
    <mergeCell ref="N160:N161"/>
    <mergeCell ref="O160:O161"/>
    <mergeCell ref="I163:J163"/>
    <mergeCell ref="K163:K164"/>
    <mergeCell ref="M163:M164"/>
    <mergeCell ref="N163:N164"/>
    <mergeCell ref="O163:O164"/>
    <mergeCell ref="I167:J167"/>
    <mergeCell ref="L169:M169"/>
    <mergeCell ref="I173:J173"/>
    <mergeCell ref="K173:K174"/>
    <mergeCell ref="M173:M174"/>
    <mergeCell ref="N173:N174"/>
    <mergeCell ref="O173:O174"/>
    <mergeCell ref="I176:J176"/>
    <mergeCell ref="K176:K177"/>
    <mergeCell ref="M176:M177"/>
    <mergeCell ref="N176:N177"/>
    <mergeCell ref="O176:O177"/>
    <mergeCell ref="I180:J180"/>
    <mergeCell ref="L182:M182"/>
    <mergeCell ref="I186:J186"/>
    <mergeCell ref="K186:K187"/>
    <mergeCell ref="M186:M187"/>
    <mergeCell ref="N186:N187"/>
    <mergeCell ref="O186:O187"/>
    <mergeCell ref="I189:J189"/>
    <mergeCell ref="K189:K190"/>
    <mergeCell ref="M189:M190"/>
    <mergeCell ref="N189:N190"/>
    <mergeCell ref="O189:O190"/>
  </mergeCells>
  <conditionalFormatting sqref="J19 J22">
    <cfRule type="cellIs" dxfId="155" priority="173" operator="greaterThanOrEqual">
      <formula>$B$7</formula>
    </cfRule>
  </conditionalFormatting>
  <conditionalFormatting sqref="L19 L22">
    <cfRule type="cellIs" dxfId="154" priority="172" operator="lessThan">
      <formula>$B$8</formula>
    </cfRule>
  </conditionalFormatting>
  <conditionalFormatting sqref="B17">
    <cfRule type="cellIs" dxfId="153" priority="171" operator="greaterThan">
      <formula>$F19</formula>
    </cfRule>
  </conditionalFormatting>
  <conditionalFormatting sqref="B22">
    <cfRule type="cellIs" dxfId="152" priority="170" operator="lessThanOrEqual">
      <formula>$F20</formula>
    </cfRule>
  </conditionalFormatting>
  <conditionalFormatting sqref="J32 J35">
    <cfRule type="cellIs" dxfId="151" priority="167" operator="greaterThanOrEqual">
      <formula>$B$7</formula>
    </cfRule>
  </conditionalFormatting>
  <conditionalFormatting sqref="L32 L35">
    <cfRule type="cellIs" dxfId="150" priority="166" operator="lessThan">
      <formula>$B$8</formula>
    </cfRule>
  </conditionalFormatting>
  <conditionalFormatting sqref="J45 J48">
    <cfRule type="cellIs" dxfId="149" priority="163" operator="greaterThanOrEqual">
      <formula>$B$7</formula>
    </cfRule>
  </conditionalFormatting>
  <conditionalFormatting sqref="L45 L48">
    <cfRule type="cellIs" dxfId="148" priority="162" operator="lessThan">
      <formula>$B$8</formula>
    </cfRule>
  </conditionalFormatting>
  <conditionalFormatting sqref="J58 J61">
    <cfRule type="cellIs" dxfId="147" priority="155" operator="greaterThanOrEqual">
      <formula>$B$7</formula>
    </cfRule>
  </conditionalFormatting>
  <conditionalFormatting sqref="L58 L61">
    <cfRule type="cellIs" dxfId="146" priority="154" operator="lessThan">
      <formula>$B$8</formula>
    </cfRule>
  </conditionalFormatting>
  <conditionalFormatting sqref="J84 J87">
    <cfRule type="cellIs" dxfId="145" priority="151" operator="greaterThanOrEqual">
      <formula>$B$7</formula>
    </cfRule>
  </conditionalFormatting>
  <conditionalFormatting sqref="L84 L87">
    <cfRule type="cellIs" dxfId="144" priority="150" operator="lessThan">
      <formula>$B$8</formula>
    </cfRule>
  </conditionalFormatting>
  <conditionalFormatting sqref="J97 J100">
    <cfRule type="cellIs" dxfId="143" priority="147" operator="greaterThanOrEqual">
      <formula>$B$7</formula>
    </cfRule>
  </conditionalFormatting>
  <conditionalFormatting sqref="L97 L100">
    <cfRule type="cellIs" dxfId="142" priority="146" operator="lessThan">
      <formula>$B$8</formula>
    </cfRule>
  </conditionalFormatting>
  <conditionalFormatting sqref="B30">
    <cfRule type="cellIs" dxfId="141" priority="143" operator="greaterThan">
      <formula>$F32</formula>
    </cfRule>
  </conditionalFormatting>
  <conditionalFormatting sqref="B43">
    <cfRule type="cellIs" dxfId="140" priority="142" operator="greaterThan">
      <formula>$F45</formula>
    </cfRule>
  </conditionalFormatting>
  <conditionalFormatting sqref="B56">
    <cfRule type="cellIs" dxfId="139" priority="141" operator="greaterThan">
      <formula>$F58</formula>
    </cfRule>
  </conditionalFormatting>
  <conditionalFormatting sqref="B82">
    <cfRule type="cellIs" dxfId="138" priority="140" operator="greaterThan">
      <formula>$F84</formula>
    </cfRule>
  </conditionalFormatting>
  <conditionalFormatting sqref="B95">
    <cfRule type="cellIs" dxfId="137" priority="139" operator="greaterThan">
      <formula>$F97</formula>
    </cfRule>
  </conditionalFormatting>
  <conditionalFormatting sqref="B35">
    <cfRule type="cellIs" dxfId="136" priority="138" operator="lessThanOrEqual">
      <formula>$F33</formula>
    </cfRule>
  </conditionalFormatting>
  <conditionalFormatting sqref="B48">
    <cfRule type="cellIs" dxfId="135" priority="137" operator="lessThanOrEqual">
      <formula>$F46</formula>
    </cfRule>
  </conditionalFormatting>
  <conditionalFormatting sqref="B61">
    <cfRule type="cellIs" dxfId="134" priority="136" operator="lessThanOrEqual">
      <formula>$F59</formula>
    </cfRule>
  </conditionalFormatting>
  <conditionalFormatting sqref="B87">
    <cfRule type="cellIs" dxfId="133" priority="135" operator="lessThanOrEqual">
      <formula>$F85</formula>
    </cfRule>
  </conditionalFormatting>
  <conditionalFormatting sqref="B100">
    <cfRule type="cellIs" dxfId="132" priority="134" operator="lessThanOrEqual">
      <formula>$F98</formula>
    </cfRule>
  </conditionalFormatting>
  <conditionalFormatting sqref="B16">
    <cfRule type="cellIs" dxfId="131" priority="133" operator="lessThan">
      <formula>$R19</formula>
    </cfRule>
  </conditionalFormatting>
  <conditionalFormatting sqref="B29">
    <cfRule type="cellIs" dxfId="130" priority="132" operator="lessThan">
      <formula>$R32</formula>
    </cfRule>
  </conditionalFormatting>
  <conditionalFormatting sqref="B42">
    <cfRule type="cellIs" dxfId="129" priority="131" operator="lessThan">
      <formula>$R45</formula>
    </cfRule>
  </conditionalFormatting>
  <conditionalFormatting sqref="B55">
    <cfRule type="cellIs" dxfId="128" priority="130" operator="lessThan">
      <formula>$R58</formula>
    </cfRule>
  </conditionalFormatting>
  <conditionalFormatting sqref="B81">
    <cfRule type="cellIs" dxfId="127" priority="129" operator="lessThan">
      <formula>$R84</formula>
    </cfRule>
  </conditionalFormatting>
  <conditionalFormatting sqref="B94">
    <cfRule type="cellIs" dxfId="126" priority="128" operator="lessThan">
      <formula>$R97</formula>
    </cfRule>
  </conditionalFormatting>
  <conditionalFormatting sqref="B21">
    <cfRule type="cellIs" dxfId="125" priority="127" operator="lessThan">
      <formula>$R22</formula>
    </cfRule>
  </conditionalFormatting>
  <conditionalFormatting sqref="B34">
    <cfRule type="cellIs" dxfId="124" priority="126" operator="lessThan">
      <formula>$R35</formula>
    </cfRule>
  </conditionalFormatting>
  <conditionalFormatting sqref="B47">
    <cfRule type="cellIs" dxfId="123" priority="125" operator="lessThan">
      <formula>$R48</formula>
    </cfRule>
  </conditionalFormatting>
  <conditionalFormatting sqref="B60">
    <cfRule type="cellIs" dxfId="122" priority="124" operator="lessThan">
      <formula>$R61</formula>
    </cfRule>
  </conditionalFormatting>
  <conditionalFormatting sqref="B86">
    <cfRule type="cellIs" dxfId="121" priority="123" operator="lessThan">
      <formula>$R87</formula>
    </cfRule>
  </conditionalFormatting>
  <conditionalFormatting sqref="B99">
    <cfRule type="cellIs" dxfId="120" priority="122" operator="lessThan">
      <formula>$R100</formula>
    </cfRule>
  </conditionalFormatting>
  <conditionalFormatting sqref="J110 J113">
    <cfRule type="cellIs" dxfId="119" priority="120" operator="greaterThanOrEqual">
      <formula>$B$7</formula>
    </cfRule>
  </conditionalFormatting>
  <conditionalFormatting sqref="L110 L113">
    <cfRule type="cellIs" dxfId="118" priority="119" operator="lessThan">
      <formula>$B$8</formula>
    </cfRule>
  </conditionalFormatting>
  <conditionalFormatting sqref="B108">
    <cfRule type="cellIs" dxfId="117" priority="118" operator="greaterThan">
      <formula>$F110</formula>
    </cfRule>
  </conditionalFormatting>
  <conditionalFormatting sqref="B113">
    <cfRule type="cellIs" dxfId="116" priority="117" operator="lessThanOrEqual">
      <formula>$F111</formula>
    </cfRule>
  </conditionalFormatting>
  <conditionalFormatting sqref="B107">
    <cfRule type="cellIs" dxfId="115" priority="116" operator="lessThan">
      <formula>$R110</formula>
    </cfRule>
  </conditionalFormatting>
  <conditionalFormatting sqref="B112">
    <cfRule type="cellIs" dxfId="114" priority="115" operator="lessThan">
      <formula>$R113</formula>
    </cfRule>
  </conditionalFormatting>
  <conditionalFormatting sqref="J123 J126">
    <cfRule type="cellIs" dxfId="113" priority="114" operator="greaterThanOrEqual">
      <formula>$B$7</formula>
    </cfRule>
  </conditionalFormatting>
  <conditionalFormatting sqref="L123 L126">
    <cfRule type="cellIs" dxfId="112" priority="113" operator="lessThan">
      <formula>$B$8</formula>
    </cfRule>
  </conditionalFormatting>
  <conditionalFormatting sqref="B121">
    <cfRule type="cellIs" dxfId="111" priority="112" operator="greaterThan">
      <formula>$F123</formula>
    </cfRule>
  </conditionalFormatting>
  <conditionalFormatting sqref="B126">
    <cfRule type="cellIs" dxfId="110" priority="111" operator="lessThanOrEqual">
      <formula>$F124</formula>
    </cfRule>
  </conditionalFormatting>
  <conditionalFormatting sqref="B120">
    <cfRule type="cellIs" dxfId="109" priority="110" operator="lessThan">
      <formula>$R123</formula>
    </cfRule>
  </conditionalFormatting>
  <conditionalFormatting sqref="B125">
    <cfRule type="cellIs" dxfId="108" priority="109" operator="lessThan">
      <formula>$R126</formula>
    </cfRule>
  </conditionalFormatting>
  <conditionalFormatting sqref="J136 J139">
    <cfRule type="cellIs" dxfId="107" priority="108" operator="greaterThanOrEqual">
      <formula>$B$7</formula>
    </cfRule>
  </conditionalFormatting>
  <conditionalFormatting sqref="L136 L139">
    <cfRule type="cellIs" dxfId="106" priority="107" operator="lessThan">
      <formula>$B$8</formula>
    </cfRule>
  </conditionalFormatting>
  <conditionalFormatting sqref="B134">
    <cfRule type="cellIs" dxfId="105" priority="106" operator="greaterThan">
      <formula>$F136</formula>
    </cfRule>
  </conditionalFormatting>
  <conditionalFormatting sqref="B139">
    <cfRule type="cellIs" dxfId="104" priority="105" operator="lessThanOrEqual">
      <formula>$F137</formula>
    </cfRule>
  </conditionalFormatting>
  <conditionalFormatting sqref="B133">
    <cfRule type="cellIs" dxfId="103" priority="104" operator="lessThan">
      <formula>$R136</formula>
    </cfRule>
  </conditionalFormatting>
  <conditionalFormatting sqref="B138">
    <cfRule type="cellIs" dxfId="102" priority="103" operator="lessThan">
      <formula>$R139</formula>
    </cfRule>
  </conditionalFormatting>
  <conditionalFormatting sqref="J149 J152">
    <cfRule type="cellIs" dxfId="101" priority="102" operator="greaterThanOrEqual">
      <formula>$B$7</formula>
    </cfRule>
  </conditionalFormatting>
  <conditionalFormatting sqref="L149 L152">
    <cfRule type="cellIs" dxfId="100" priority="101" operator="lessThan">
      <formula>$B$8</formula>
    </cfRule>
  </conditionalFormatting>
  <conditionalFormatting sqref="B147">
    <cfRule type="cellIs" dxfId="99" priority="100" operator="greaterThan">
      <formula>$F149</formula>
    </cfRule>
  </conditionalFormatting>
  <conditionalFormatting sqref="B152">
    <cfRule type="cellIs" dxfId="98" priority="99" operator="lessThanOrEqual">
      <formula>$F150</formula>
    </cfRule>
  </conditionalFormatting>
  <conditionalFormatting sqref="B146">
    <cfRule type="cellIs" dxfId="97" priority="98" operator="lessThan">
      <formula>$R149</formula>
    </cfRule>
  </conditionalFormatting>
  <conditionalFormatting sqref="B151">
    <cfRule type="cellIs" dxfId="96" priority="97" operator="lessThan">
      <formula>$R152</formula>
    </cfRule>
  </conditionalFormatting>
  <conditionalFormatting sqref="J162 J165">
    <cfRule type="cellIs" dxfId="95" priority="96" operator="greaterThanOrEqual">
      <formula>$B$7</formula>
    </cfRule>
  </conditionalFormatting>
  <conditionalFormatting sqref="L162 L165">
    <cfRule type="cellIs" dxfId="94" priority="95" operator="lessThan">
      <formula>$B$8</formula>
    </cfRule>
  </conditionalFormatting>
  <conditionalFormatting sqref="B160">
    <cfRule type="cellIs" dxfId="93" priority="94" operator="greaterThan">
      <formula>$F162</formula>
    </cfRule>
  </conditionalFormatting>
  <conditionalFormatting sqref="B165">
    <cfRule type="cellIs" dxfId="92" priority="93" operator="lessThanOrEqual">
      <formula>$F163</formula>
    </cfRule>
  </conditionalFormatting>
  <conditionalFormatting sqref="B159">
    <cfRule type="cellIs" dxfId="91" priority="92" operator="lessThan">
      <formula>$R162</formula>
    </cfRule>
  </conditionalFormatting>
  <conditionalFormatting sqref="B164">
    <cfRule type="cellIs" dxfId="90" priority="91" operator="lessThan">
      <formula>$R165</formula>
    </cfRule>
  </conditionalFormatting>
  <conditionalFormatting sqref="J175 J178">
    <cfRule type="cellIs" dxfId="89" priority="90" operator="greaterThanOrEqual">
      <formula>$B$7</formula>
    </cfRule>
  </conditionalFormatting>
  <conditionalFormatting sqref="L175 L178">
    <cfRule type="cellIs" dxfId="88" priority="89" operator="lessThan">
      <formula>$B$8</formula>
    </cfRule>
  </conditionalFormatting>
  <conditionalFormatting sqref="B173">
    <cfRule type="cellIs" dxfId="87" priority="88" operator="greaterThan">
      <formula>$F175</formula>
    </cfRule>
  </conditionalFormatting>
  <conditionalFormatting sqref="B178">
    <cfRule type="cellIs" dxfId="86" priority="87" operator="lessThanOrEqual">
      <formula>$F176</formula>
    </cfRule>
  </conditionalFormatting>
  <conditionalFormatting sqref="B172">
    <cfRule type="cellIs" dxfId="85" priority="86" operator="lessThan">
      <formula>$R175</formula>
    </cfRule>
  </conditionalFormatting>
  <conditionalFormatting sqref="B177">
    <cfRule type="cellIs" dxfId="84" priority="85" operator="lessThan">
      <formula>$R178</formula>
    </cfRule>
  </conditionalFormatting>
  <conditionalFormatting sqref="J188 J191">
    <cfRule type="cellIs" dxfId="83" priority="84" operator="greaterThanOrEqual">
      <formula>$B$7</formula>
    </cfRule>
  </conditionalFormatting>
  <conditionalFormatting sqref="L188 L191">
    <cfRule type="cellIs" dxfId="82" priority="83" operator="lessThan">
      <formula>$B$8</formula>
    </cfRule>
  </conditionalFormatting>
  <conditionalFormatting sqref="B186">
    <cfRule type="cellIs" dxfId="81" priority="82" operator="greaterThan">
      <formula>$F188</formula>
    </cfRule>
  </conditionalFormatting>
  <conditionalFormatting sqref="B191">
    <cfRule type="cellIs" dxfId="80" priority="81" operator="lessThanOrEqual">
      <formula>$F189</formula>
    </cfRule>
  </conditionalFormatting>
  <conditionalFormatting sqref="B185">
    <cfRule type="cellIs" dxfId="79" priority="80" operator="lessThan">
      <formula>$R188</formula>
    </cfRule>
  </conditionalFormatting>
  <conditionalFormatting sqref="B190">
    <cfRule type="cellIs" dxfId="78" priority="79" operator="lessThan">
      <formula>$R191</formula>
    </cfRule>
  </conditionalFormatting>
  <conditionalFormatting sqref="J201 J204">
    <cfRule type="cellIs" dxfId="77" priority="78" operator="greaterThanOrEqual">
      <formula>$B$7</formula>
    </cfRule>
  </conditionalFormatting>
  <conditionalFormatting sqref="L201 L204">
    <cfRule type="cellIs" dxfId="76" priority="77" operator="lessThan">
      <formula>$B$8</formula>
    </cfRule>
  </conditionalFormatting>
  <conditionalFormatting sqref="B199">
    <cfRule type="cellIs" dxfId="75" priority="76" operator="greaterThan">
      <formula>$F201</formula>
    </cfRule>
  </conditionalFormatting>
  <conditionalFormatting sqref="B204">
    <cfRule type="cellIs" dxfId="74" priority="75" operator="lessThanOrEqual">
      <formula>$F202</formula>
    </cfRule>
  </conditionalFormatting>
  <conditionalFormatting sqref="B198">
    <cfRule type="cellIs" dxfId="73" priority="74" operator="lessThan">
      <formula>$R201</formula>
    </cfRule>
  </conditionalFormatting>
  <conditionalFormatting sqref="B203">
    <cfRule type="cellIs" dxfId="72" priority="73" operator="lessThan">
      <formula>$R204</formula>
    </cfRule>
  </conditionalFormatting>
  <conditionalFormatting sqref="J71 J74">
    <cfRule type="cellIs" dxfId="71" priority="72" operator="greaterThanOrEqual">
      <formula>$B$7</formula>
    </cfRule>
  </conditionalFormatting>
  <conditionalFormatting sqref="L71 L74">
    <cfRule type="cellIs" dxfId="70" priority="71" operator="lessThan">
      <formula>$B$8</formula>
    </cfRule>
  </conditionalFormatting>
  <conditionalFormatting sqref="B69">
    <cfRule type="cellIs" dxfId="69" priority="70" operator="greaterThan">
      <formula>$F71</formula>
    </cfRule>
  </conditionalFormatting>
  <conditionalFormatting sqref="B74">
    <cfRule type="cellIs" dxfId="68" priority="69" operator="lessThanOrEqual">
      <formula>$F72</formula>
    </cfRule>
  </conditionalFormatting>
  <conditionalFormatting sqref="B68">
    <cfRule type="cellIs" dxfId="67" priority="68" operator="lessThan">
      <formula>$R71</formula>
    </cfRule>
  </conditionalFormatting>
  <conditionalFormatting sqref="B73">
    <cfRule type="cellIs" dxfId="66" priority="67" operator="lessThan">
      <formula>$R74</formula>
    </cfRule>
  </conditionalFormatting>
  <conditionalFormatting sqref="J214 J217">
    <cfRule type="cellIs" dxfId="65" priority="66" operator="greaterThanOrEqual">
      <formula>$B$7</formula>
    </cfRule>
  </conditionalFormatting>
  <conditionalFormatting sqref="L214 L217">
    <cfRule type="cellIs" dxfId="64" priority="65" operator="lessThan">
      <formula>$B$8</formula>
    </cfRule>
  </conditionalFormatting>
  <conditionalFormatting sqref="B212">
    <cfRule type="cellIs" dxfId="63" priority="64" operator="greaterThan">
      <formula>$F214</formula>
    </cfRule>
  </conditionalFormatting>
  <conditionalFormatting sqref="B217">
    <cfRule type="cellIs" dxfId="62" priority="63" operator="lessThanOrEqual">
      <formula>$F215</formula>
    </cfRule>
  </conditionalFormatting>
  <conditionalFormatting sqref="B211">
    <cfRule type="cellIs" dxfId="61" priority="62" operator="lessThan">
      <formula>$R214</formula>
    </cfRule>
  </conditionalFormatting>
  <conditionalFormatting sqref="B216">
    <cfRule type="cellIs" dxfId="60" priority="61" operator="lessThan">
      <formula>$R217</formula>
    </cfRule>
  </conditionalFormatting>
  <conditionalFormatting sqref="J227 J230">
    <cfRule type="cellIs" dxfId="59" priority="60" operator="greaterThanOrEqual">
      <formula>$B$7</formula>
    </cfRule>
  </conditionalFormatting>
  <conditionalFormatting sqref="L227 L230">
    <cfRule type="cellIs" dxfId="58" priority="59" operator="lessThan">
      <formula>$B$8</formula>
    </cfRule>
  </conditionalFormatting>
  <conditionalFormatting sqref="B225">
    <cfRule type="cellIs" dxfId="57" priority="58" operator="greaterThan">
      <formula>$F227</formula>
    </cfRule>
  </conditionalFormatting>
  <conditionalFormatting sqref="B230">
    <cfRule type="cellIs" dxfId="56" priority="57" operator="lessThanOrEqual">
      <formula>$F228</formula>
    </cfRule>
  </conditionalFormatting>
  <conditionalFormatting sqref="B224">
    <cfRule type="cellIs" dxfId="55" priority="56" operator="lessThan">
      <formula>$R227</formula>
    </cfRule>
  </conditionalFormatting>
  <conditionalFormatting sqref="B229">
    <cfRule type="cellIs" dxfId="54" priority="55" operator="lessThan">
      <formula>$R230</formula>
    </cfRule>
  </conditionalFormatting>
  <conditionalFormatting sqref="J240 J243">
    <cfRule type="cellIs" dxfId="53" priority="54" operator="greaterThanOrEqual">
      <formula>$B$7</formula>
    </cfRule>
  </conditionalFormatting>
  <conditionalFormatting sqref="L240 L243">
    <cfRule type="cellIs" dxfId="52" priority="53" operator="lessThan">
      <formula>$B$8</formula>
    </cfRule>
  </conditionalFormatting>
  <conditionalFormatting sqref="B238">
    <cfRule type="cellIs" dxfId="51" priority="52" operator="greaterThan">
      <formula>$F240</formula>
    </cfRule>
  </conditionalFormatting>
  <conditionalFormatting sqref="B243">
    <cfRule type="cellIs" dxfId="50" priority="51" operator="lessThanOrEqual">
      <formula>$F241</formula>
    </cfRule>
  </conditionalFormatting>
  <conditionalFormatting sqref="B237">
    <cfRule type="cellIs" dxfId="49" priority="50" operator="lessThan">
      <formula>$R240</formula>
    </cfRule>
  </conditionalFormatting>
  <conditionalFormatting sqref="B242">
    <cfRule type="cellIs" dxfId="48" priority="49" operator="lessThan">
      <formula>$R243</formula>
    </cfRule>
  </conditionalFormatting>
  <conditionalFormatting sqref="J253 J256">
    <cfRule type="cellIs" dxfId="47" priority="48" operator="greaterThanOrEqual">
      <formula>$B$7</formula>
    </cfRule>
  </conditionalFormatting>
  <conditionalFormatting sqref="L253 L256">
    <cfRule type="cellIs" dxfId="46" priority="47" operator="lessThan">
      <formula>$B$8</formula>
    </cfRule>
  </conditionalFormatting>
  <conditionalFormatting sqref="B251">
    <cfRule type="cellIs" dxfId="45" priority="46" operator="greaterThan">
      <formula>$F253</formula>
    </cfRule>
  </conditionalFormatting>
  <conditionalFormatting sqref="B256">
    <cfRule type="cellIs" dxfId="44" priority="45" operator="lessThanOrEqual">
      <formula>$F254</formula>
    </cfRule>
  </conditionalFormatting>
  <conditionalFormatting sqref="B250">
    <cfRule type="cellIs" dxfId="43" priority="44" operator="lessThan">
      <formula>$R253</formula>
    </cfRule>
  </conditionalFormatting>
  <conditionalFormatting sqref="B255">
    <cfRule type="cellIs" dxfId="42" priority="43" operator="lessThan">
      <formula>$R256</formula>
    </cfRule>
  </conditionalFormatting>
  <conditionalFormatting sqref="J266 J269">
    <cfRule type="cellIs" dxfId="41" priority="42" operator="greaterThanOrEqual">
      <formula>$B$7</formula>
    </cfRule>
  </conditionalFormatting>
  <conditionalFormatting sqref="L266 L269">
    <cfRule type="cellIs" dxfId="40" priority="41" operator="lessThan">
      <formula>$B$8</formula>
    </cfRule>
  </conditionalFormatting>
  <conditionalFormatting sqref="B264">
    <cfRule type="cellIs" dxfId="39" priority="40" operator="greaterThan">
      <formula>$F266</formula>
    </cfRule>
  </conditionalFormatting>
  <conditionalFormatting sqref="B269">
    <cfRule type="cellIs" dxfId="38" priority="39" operator="lessThanOrEqual">
      <formula>$F267</formula>
    </cfRule>
  </conditionalFormatting>
  <conditionalFormatting sqref="B263">
    <cfRule type="cellIs" dxfId="37" priority="38" operator="lessThan">
      <formula>$R266</formula>
    </cfRule>
  </conditionalFormatting>
  <conditionalFormatting sqref="B268">
    <cfRule type="cellIs" dxfId="36" priority="37" operator="lessThan">
      <formula>$R269</formula>
    </cfRule>
  </conditionalFormatting>
  <conditionalFormatting sqref="J279 J282">
    <cfRule type="cellIs" dxfId="35" priority="36" operator="greaterThanOrEqual">
      <formula>$B$7</formula>
    </cfRule>
  </conditionalFormatting>
  <conditionalFormatting sqref="L279 L282">
    <cfRule type="cellIs" dxfId="34" priority="35" operator="lessThan">
      <formula>$B$8</formula>
    </cfRule>
  </conditionalFormatting>
  <conditionalFormatting sqref="B277">
    <cfRule type="cellIs" dxfId="33" priority="34" operator="greaterThan">
      <formula>$F279</formula>
    </cfRule>
  </conditionalFormatting>
  <conditionalFormatting sqref="B282">
    <cfRule type="cellIs" dxfId="32" priority="33" operator="lessThanOrEqual">
      <formula>$F280</formula>
    </cfRule>
  </conditionalFormatting>
  <conditionalFormatting sqref="B276">
    <cfRule type="cellIs" dxfId="31" priority="32" operator="lessThan">
      <formula>$R279</formula>
    </cfRule>
  </conditionalFormatting>
  <conditionalFormatting sqref="B281">
    <cfRule type="cellIs" dxfId="30" priority="31" operator="lessThan">
      <formula>$R282</formula>
    </cfRule>
  </conditionalFormatting>
  <conditionalFormatting sqref="J292 J295">
    <cfRule type="cellIs" dxfId="29" priority="30" operator="greaterThanOrEqual">
      <formula>$B$7</formula>
    </cfRule>
  </conditionalFormatting>
  <conditionalFormatting sqref="L292 L295">
    <cfRule type="cellIs" dxfId="28" priority="29" operator="lessThan">
      <formula>$B$8</formula>
    </cfRule>
  </conditionalFormatting>
  <conditionalFormatting sqref="B290">
    <cfRule type="cellIs" dxfId="27" priority="28" operator="greaterThan">
      <formula>$F292</formula>
    </cfRule>
  </conditionalFormatting>
  <conditionalFormatting sqref="B295">
    <cfRule type="cellIs" dxfId="26" priority="27" operator="lessThanOrEqual">
      <formula>$F293</formula>
    </cfRule>
  </conditionalFormatting>
  <conditionalFormatting sqref="B289">
    <cfRule type="cellIs" dxfId="25" priority="26" operator="lessThan">
      <formula>$R292</formula>
    </cfRule>
  </conditionalFormatting>
  <conditionalFormatting sqref="B294">
    <cfRule type="cellIs" dxfId="24" priority="25" operator="lessThan">
      <formula>$R295</formula>
    </cfRule>
  </conditionalFormatting>
  <conditionalFormatting sqref="J305 J308">
    <cfRule type="cellIs" dxfId="23" priority="24" operator="greaterThanOrEqual">
      <formula>$B$7</formula>
    </cfRule>
  </conditionalFormatting>
  <conditionalFormatting sqref="L305 L308">
    <cfRule type="cellIs" dxfId="22" priority="23" operator="lessThan">
      <formula>$B$8</formula>
    </cfRule>
  </conditionalFormatting>
  <conditionalFormatting sqref="B303">
    <cfRule type="cellIs" dxfId="21" priority="22" operator="greaterThan">
      <formula>$F305</formula>
    </cfRule>
  </conditionalFormatting>
  <conditionalFormatting sqref="B308">
    <cfRule type="cellIs" dxfId="20" priority="21" operator="lessThanOrEqual">
      <formula>$F306</formula>
    </cfRule>
  </conditionalFormatting>
  <conditionalFormatting sqref="B302">
    <cfRule type="cellIs" dxfId="19" priority="20" operator="lessThan">
      <formula>$R305</formula>
    </cfRule>
  </conditionalFormatting>
  <conditionalFormatting sqref="B307">
    <cfRule type="cellIs" dxfId="18" priority="19" operator="lessThan">
      <formula>$R308</formula>
    </cfRule>
  </conditionalFormatting>
  <conditionalFormatting sqref="J318 J321">
    <cfRule type="cellIs" dxfId="17" priority="18" operator="greaterThanOrEqual">
      <formula>$B$7</formula>
    </cfRule>
  </conditionalFormatting>
  <conditionalFormatting sqref="L318 L321">
    <cfRule type="cellIs" dxfId="16" priority="17" operator="lessThan">
      <formula>$B$8</formula>
    </cfRule>
  </conditionalFormatting>
  <conditionalFormatting sqref="B316">
    <cfRule type="cellIs" dxfId="15" priority="16" operator="greaterThan">
      <formula>$F318</formula>
    </cfRule>
  </conditionalFormatting>
  <conditionalFormatting sqref="B321">
    <cfRule type="cellIs" dxfId="14" priority="15" operator="lessThanOrEqual">
      <formula>$F319</formula>
    </cfRule>
  </conditionalFormatting>
  <conditionalFormatting sqref="B315">
    <cfRule type="cellIs" dxfId="13" priority="14" operator="lessThan">
      <formula>$R318</formula>
    </cfRule>
  </conditionalFormatting>
  <conditionalFormatting sqref="B320">
    <cfRule type="cellIs" dxfId="12" priority="13" operator="lessThan">
      <formula>$R321</formula>
    </cfRule>
  </conditionalFormatting>
  <conditionalFormatting sqref="J331 J334">
    <cfRule type="cellIs" dxfId="11" priority="12" operator="greaterThanOrEqual">
      <formula>$B$7</formula>
    </cfRule>
  </conditionalFormatting>
  <conditionalFormatting sqref="L331 L334">
    <cfRule type="cellIs" dxfId="10" priority="11" operator="lessThan">
      <formula>$B$8</formula>
    </cfRule>
  </conditionalFormatting>
  <conditionalFormatting sqref="B329">
    <cfRule type="cellIs" dxfId="9" priority="10" operator="greaterThan">
      <formula>$F331</formula>
    </cfRule>
  </conditionalFormatting>
  <conditionalFormatting sqref="B334">
    <cfRule type="cellIs" dxfId="8" priority="9" operator="lessThanOrEqual">
      <formula>$F332</formula>
    </cfRule>
  </conditionalFormatting>
  <conditionalFormatting sqref="B328">
    <cfRule type="cellIs" dxfId="7" priority="8" operator="lessThan">
      <formula>$R331</formula>
    </cfRule>
  </conditionalFormatting>
  <conditionalFormatting sqref="B333">
    <cfRule type="cellIs" dxfId="6" priority="7" operator="lessThan">
      <formula>$R334</formula>
    </cfRule>
  </conditionalFormatting>
  <conditionalFormatting sqref="J344 J347">
    <cfRule type="cellIs" dxfId="5" priority="6" operator="greaterThanOrEqual">
      <formula>$B$7</formula>
    </cfRule>
  </conditionalFormatting>
  <conditionalFormatting sqref="L344 L347">
    <cfRule type="cellIs" dxfId="4" priority="5" operator="lessThan">
      <formula>$B$8</formula>
    </cfRule>
  </conditionalFormatting>
  <conditionalFormatting sqref="B342">
    <cfRule type="cellIs" dxfId="3" priority="4" operator="greaterThan">
      <formula>$F344</formula>
    </cfRule>
  </conditionalFormatting>
  <conditionalFormatting sqref="B347">
    <cfRule type="cellIs" dxfId="2" priority="3" operator="lessThanOrEqual">
      <formula>$F345</formula>
    </cfRule>
  </conditionalFormatting>
  <conditionalFormatting sqref="B341">
    <cfRule type="cellIs" dxfId="1" priority="2" operator="lessThan">
      <formula>$R344</formula>
    </cfRule>
  </conditionalFormatting>
  <conditionalFormatting sqref="B346">
    <cfRule type="cellIs" dxfId="0" priority="1" operator="lessThan">
      <formula>$R347</formula>
    </cfRule>
  </conditionalFormatting>
  <dataValidations count="3">
    <dataValidation type="list" allowBlank="1" showInputMessage="1" showErrorMessage="1" sqref="O14:O15 O27:O28 O40:O41 O53:O54 O79:O80 O92:O93 O105:O106 O118:O119 O131:O132 O144:O145 O157:O158 O170:O171 O183:O184 O196:O197 O66:O67 O209:O210 O222:O223 O235:O236 O248:O249 O261:O262 O274:O275 O287:O288 O300:O301 O313:O314 O326:O327 O339:O340">
      <formula1>$H$8:$H$16</formula1>
    </dataValidation>
    <dataValidation type="list" allowBlank="1" showInputMessage="1" showErrorMessage="1" sqref="M19 M22 M32 M35 M45 M48 M58 M61 M84 M87 M97 M100 M110 M113 M123 M126 M136 M139 M149 M152 M162 M165 M175 M178 M188 M191 M201 M204 M71 M74 M214 M217 M227 M230 M240 M243 M253 M256 M266 M269 M279 M282 M292 M295 M305 M308 M318 M321 M331 M334 M344 M347">
      <formula1>$H$6:$H$7</formula1>
    </dataValidation>
    <dataValidation type="list" allowBlank="1" showInputMessage="1" showErrorMessage="1" sqref="J18 J21 J31 J34 J44 J47 J57 J60 J83 J86 J96 J99 J109 J112 J122 J125 J135 J138 J148 J151 J161 J164 J174 J177 J187 J190 J200 J203 J70 J73 J213 J216 J226 J229 J239 J242 J252 J255 J265 J268 J278 J281 J291 J294 J304 J307 J317 J320 J330 J333 J343 J346">
      <formula1>$H$1:$H$3</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Beam">
                <anchor moveWithCells="1" sizeWithCells="1">
                  <from>
                    <xdr:col>8</xdr:col>
                    <xdr:colOff>60960</xdr:colOff>
                    <xdr:row>0</xdr:row>
                    <xdr:rowOff>91440</xdr:rowOff>
                  </from>
                  <to>
                    <xdr:col>10</xdr:col>
                    <xdr:colOff>251460</xdr:colOff>
                    <xdr:row>2</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5:L11"/>
  <sheetViews>
    <sheetView workbookViewId="0">
      <selection activeCell="E2" sqref="E2"/>
    </sheetView>
  </sheetViews>
  <sheetFormatPr defaultRowHeight="19.8" x14ac:dyDescent="0.3"/>
  <cols>
    <col min="1" max="1" width="16.77734375" style="31" customWidth="1"/>
    <col min="2" max="3" width="10.77734375" style="31" customWidth="1"/>
    <col min="4" max="9" width="16.77734375" style="31" customWidth="1"/>
    <col min="10" max="10" width="12.77734375" style="31" customWidth="1"/>
    <col min="11" max="11" width="40.77734375" style="31" customWidth="1"/>
    <col min="12" max="12" width="48.77734375" style="31" customWidth="1"/>
    <col min="13" max="16384" width="8.88671875" style="31"/>
  </cols>
  <sheetData>
    <row r="5" spans="1:12" x14ac:dyDescent="0.3">
      <c r="A5" s="80" t="s">
        <v>52</v>
      </c>
      <c r="B5" s="30" t="s">
        <v>41</v>
      </c>
      <c r="C5" s="30" t="s">
        <v>42</v>
      </c>
      <c r="D5" s="79" t="s">
        <v>43</v>
      </c>
      <c r="E5" s="79"/>
      <c r="F5" s="79" t="s">
        <v>46</v>
      </c>
      <c r="G5" s="79"/>
      <c r="H5" s="79" t="s">
        <v>47</v>
      </c>
      <c r="I5" s="79"/>
      <c r="J5" s="79" t="s">
        <v>48</v>
      </c>
      <c r="K5" s="79"/>
      <c r="L5" s="30" t="s">
        <v>51</v>
      </c>
    </row>
    <row r="6" spans="1:12" x14ac:dyDescent="0.3">
      <c r="A6" s="80"/>
      <c r="B6" s="30" t="s">
        <v>9</v>
      </c>
      <c r="C6" s="30" t="s">
        <v>9</v>
      </c>
      <c r="D6" s="30" t="s">
        <v>44</v>
      </c>
      <c r="E6" s="30" t="s">
        <v>45</v>
      </c>
      <c r="F6" s="30" t="s">
        <v>44</v>
      </c>
      <c r="G6" s="30" t="s">
        <v>45</v>
      </c>
      <c r="H6" s="30" t="s">
        <v>44</v>
      </c>
      <c r="I6" s="30" t="s">
        <v>45</v>
      </c>
      <c r="J6" s="30" t="s">
        <v>49</v>
      </c>
      <c r="K6" s="30" t="s">
        <v>50</v>
      </c>
      <c r="L6" s="30"/>
    </row>
    <row r="7" spans="1:12" x14ac:dyDescent="0.3">
      <c r="A7" s="30"/>
      <c r="B7" s="30"/>
      <c r="C7" s="30"/>
      <c r="D7" s="30"/>
      <c r="E7" s="30"/>
      <c r="F7" s="30"/>
      <c r="G7" s="30"/>
      <c r="H7" s="30"/>
      <c r="I7" s="30"/>
      <c r="J7" s="30"/>
      <c r="K7" s="30"/>
      <c r="L7" s="30"/>
    </row>
    <row r="8" spans="1:12" x14ac:dyDescent="0.3">
      <c r="A8" s="30"/>
      <c r="B8" s="30"/>
      <c r="C8" s="30"/>
      <c r="D8" s="30"/>
      <c r="E8" s="30"/>
      <c r="F8" s="30"/>
      <c r="G8" s="30"/>
      <c r="H8" s="30"/>
      <c r="I8" s="30"/>
      <c r="J8" s="30"/>
      <c r="K8" s="30"/>
      <c r="L8" s="30"/>
    </row>
    <row r="9" spans="1:12" x14ac:dyDescent="0.3">
      <c r="A9" s="30"/>
      <c r="B9" s="30"/>
      <c r="C9" s="30"/>
      <c r="D9" s="30"/>
      <c r="E9" s="30"/>
      <c r="F9" s="30"/>
      <c r="G9" s="30"/>
      <c r="H9" s="30"/>
      <c r="I9" s="30"/>
      <c r="J9" s="30"/>
      <c r="K9" s="30"/>
      <c r="L9" s="30"/>
    </row>
    <row r="10" spans="1:12" x14ac:dyDescent="0.3">
      <c r="A10" s="30"/>
      <c r="B10" s="30"/>
      <c r="C10" s="30"/>
      <c r="D10" s="30"/>
      <c r="E10" s="30"/>
      <c r="F10" s="30"/>
      <c r="G10" s="30"/>
      <c r="H10" s="30"/>
      <c r="I10" s="30"/>
      <c r="J10" s="30"/>
      <c r="K10" s="30"/>
      <c r="L10" s="30"/>
    </row>
    <row r="11" spans="1:12" x14ac:dyDescent="0.3">
      <c r="A11" s="30"/>
      <c r="B11" s="30"/>
      <c r="C11" s="30"/>
      <c r="D11" s="30"/>
      <c r="E11" s="30"/>
      <c r="F11" s="30"/>
      <c r="G11" s="30"/>
      <c r="H11" s="30"/>
      <c r="I11" s="30"/>
      <c r="J11" s="30"/>
      <c r="K11" s="30"/>
      <c r="L11" s="30"/>
    </row>
  </sheetData>
  <dataConsolidate/>
  <mergeCells count="5">
    <mergeCell ref="D5:E5"/>
    <mergeCell ref="F5:G5"/>
    <mergeCell ref="H5:I5"/>
    <mergeCell ref="J5:K5"/>
    <mergeCell ref="A5:A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_sched">
                <anchor moveWithCells="1" sizeWithCells="1">
                  <from>
                    <xdr:col>0</xdr:col>
                    <xdr:colOff>167640</xdr:colOff>
                    <xdr:row>0</xdr:row>
                    <xdr:rowOff>91440</xdr:rowOff>
                  </from>
                  <to>
                    <xdr:col>1</xdr:col>
                    <xdr:colOff>594360</xdr:colOff>
                    <xdr:row>1</xdr:row>
                    <xdr:rowOff>198120</xdr:rowOff>
                  </to>
                </anchor>
              </controlPr>
            </control>
          </mc:Choice>
        </mc:AlternateContent>
        <mc:AlternateContent xmlns:mc="http://schemas.openxmlformats.org/markup-compatibility/2006">
          <mc:Choice Requires="x14">
            <control shapeId="1026" r:id="rId5" name="Button 2">
              <controlPr defaultSize="0" print="0" autoFill="0" autoPict="0" macro="[0]!Button2_Click">
                <anchor moveWithCells="1" sizeWithCells="1">
                  <from>
                    <xdr:col>2</xdr:col>
                    <xdr:colOff>129540</xdr:colOff>
                    <xdr:row>0</xdr:row>
                    <xdr:rowOff>91440</xdr:rowOff>
                  </from>
                  <to>
                    <xdr:col>3</xdr:col>
                    <xdr:colOff>419100</xdr:colOff>
                    <xdr:row>1</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6"/>
  <sheetViews>
    <sheetView workbookViewId="0"/>
  </sheetViews>
  <sheetFormatPr defaultRowHeight="14.4" x14ac:dyDescent="0.3"/>
  <cols>
    <col min="1" max="16384" width="8.88671875" style="32"/>
  </cols>
  <sheetData>
    <row r="1" spans="1:17" x14ac:dyDescent="0.3">
      <c r="A1" s="32" t="s">
        <v>62</v>
      </c>
      <c r="B1" s="32" t="s">
        <v>41</v>
      </c>
      <c r="C1" s="32" t="s">
        <v>42</v>
      </c>
      <c r="D1" s="32" t="s">
        <v>60</v>
      </c>
      <c r="E1" s="32" t="s">
        <v>54</v>
      </c>
      <c r="F1" s="32" t="s">
        <v>55</v>
      </c>
      <c r="G1" s="32" t="s">
        <v>56</v>
      </c>
      <c r="H1" s="32" t="s">
        <v>61</v>
      </c>
      <c r="I1" s="32" t="s">
        <v>57</v>
      </c>
      <c r="J1" s="32" t="s">
        <v>58</v>
      </c>
      <c r="K1" s="32" t="s">
        <v>59</v>
      </c>
      <c r="L1" s="32" t="s">
        <v>53</v>
      </c>
      <c r="M1" s="32" t="s">
        <v>63</v>
      </c>
      <c r="N1" s="32" t="s">
        <v>64</v>
      </c>
      <c r="O1" s="32" t="s">
        <v>65</v>
      </c>
      <c r="P1" s="32" t="s">
        <v>66</v>
      </c>
    </row>
    <row r="2" spans="1:17" x14ac:dyDescent="0.2">
      <c r="Q2" s="33"/>
    </row>
    <row r="6" spans="1:17" x14ac:dyDescent="0.3">
      <c r="B6" s="32" t="s">
        <v>67</v>
      </c>
    </row>
  </sheetData>
  <sortState ref="A2:M470">
    <sortCondition ref="A2:A47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main">
                <anchor moveWithCells="1" sizeWithCells="1">
                  <from>
                    <xdr:col>16</xdr:col>
                    <xdr:colOff>396240</xdr:colOff>
                    <xdr:row>1</xdr:row>
                    <xdr:rowOff>91440</xdr:rowOff>
                  </from>
                  <to>
                    <xdr:col>18</xdr:col>
                    <xdr:colOff>342900</xdr:colOff>
                    <xdr:row>3</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BeamSum</vt:lpstr>
      <vt:lpstr>sched</vt:lpstr>
      <vt:lpstr>forFutureGrouping</vt:lpstr>
      <vt:lpstr>clrCover</vt:lpstr>
      <vt:lpstr>fc</vt:lpstr>
      <vt:lpstr>fy</vt:lpstr>
      <vt:lpstr>fys</vt:lpstr>
      <vt:lpstr>minSpac</vt:lpstr>
      <vt:lpstr>phi</vt:lpstr>
      <vt:lpstr>phiV</vt:lpstr>
      <vt:lpstr>phiVc</vt:lpstr>
      <vt:lpstr>BeamSum!Print_Area</vt:lpstr>
      <vt:lpstr>rhoMax</vt:lpstr>
      <vt:lpstr>rhoMin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GiulianoDiEnrico</dc:creator>
  <cp:lastModifiedBy>GiulianoDiEnrico</cp:lastModifiedBy>
  <dcterms:created xsi:type="dcterms:W3CDTF">2019-08-07T08:04:26Z</dcterms:created>
  <dcterms:modified xsi:type="dcterms:W3CDTF">2019-10-03T07:38:18Z</dcterms:modified>
</cp:coreProperties>
</file>