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64011"/>
  <mc:AlternateContent xmlns:mc="http://schemas.openxmlformats.org/markup-compatibility/2006">
    <mc:Choice Requires="x15">
      <x15ac:absPath xmlns:x15ac="http://schemas.microsoft.com/office/spreadsheetml/2010/11/ac" url="C:\Users\GiulianoDiEnrico\Documents\0-code\robotDev\macros\"/>
    </mc:Choice>
  </mc:AlternateContent>
  <bookViews>
    <workbookView xWindow="0" yWindow="0" windowWidth="23040" windowHeight="9780" activeTab="1"/>
  </bookViews>
  <sheets>
    <sheet name="BeamSum" sheetId="2" r:id="rId1"/>
    <sheet name="Sheet1" sheetId="3" r:id="rId2"/>
    <sheet name="sched" sheetId="1" r:id="rId3"/>
  </sheets>
  <functionGroups builtInGroupCount="18"/>
  <definedNames>
    <definedName name="_xlnm._FilterDatabase" localSheetId="1" hidden="1">Sheet1!$A$2:$M$470</definedName>
    <definedName name="clrCover">BeamSum!$B$8</definedName>
    <definedName name="fc">BeamSum!$B$1</definedName>
    <definedName name="fy">BeamSum!$B$2</definedName>
    <definedName name="fys">BeamSum!#REF!</definedName>
    <definedName name="minSpac">BeamSum!$B$7</definedName>
    <definedName name="phi">BeamSum!$B$4</definedName>
    <definedName name="phiV">BeamSum!$C$4</definedName>
    <definedName name="phiVc">BeamSum!$B$3</definedName>
    <definedName name="rhoMax">BeamSum!$B$6</definedName>
    <definedName name="rhoMin">BeamSum!$B$5</definedName>
  </definedNames>
  <calcPr calcId="162913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N19" i="2" l="1"/>
  <c r="O19" i="2" s="1"/>
  <c r="L19" i="2"/>
  <c r="B19" i="2"/>
  <c r="N18" i="2"/>
  <c r="L18" i="2" s="1"/>
  <c r="B14" i="2"/>
  <c r="J13" i="2"/>
  <c r="B3" i="2"/>
  <c r="D2" i="2"/>
  <c r="D1" i="2"/>
  <c r="O18" i="2" l="1"/>
  <c r="J18" i="2"/>
  <c r="B16" i="2" s="1"/>
  <c r="J19" i="2"/>
  <c r="B21" i="2" s="1"/>
  <c r="Q18" i="2"/>
  <c r="R18" i="2" s="1"/>
  <c r="S18" i="2" s="1"/>
  <c r="Q19" i="2"/>
  <c r="R19" i="2" s="1"/>
  <c r="S19" i="2" s="1"/>
  <c r="B20" i="2" l="1"/>
  <c r="B15" i="2"/>
</calcChain>
</file>

<file path=xl/sharedStrings.xml><?xml version="1.0" encoding="utf-8"?>
<sst xmlns="http://schemas.openxmlformats.org/spreadsheetml/2006/main" count="95" uniqueCount="70">
  <si>
    <t>f'c =</t>
  </si>
  <si>
    <t>MPa</t>
  </si>
  <si>
    <t>ksi</t>
  </si>
  <si>
    <t>fy =</t>
  </si>
  <si>
    <t>phi * vc =</t>
  </si>
  <si>
    <t xml:space="preserve">phi = </t>
  </si>
  <si>
    <t>rho min =</t>
  </si>
  <si>
    <t>rho max =</t>
  </si>
  <si>
    <t>minSpac =</t>
  </si>
  <si>
    <t>mm</t>
  </si>
  <si>
    <t>clrCover =</t>
  </si>
  <si>
    <t>B1</t>
  </si>
  <si>
    <t>Beam</t>
  </si>
  <si>
    <t>P</t>
  </si>
  <si>
    <t>Vy</t>
  </si>
  <si>
    <t>Vz</t>
  </si>
  <si>
    <t>My</t>
  </si>
  <si>
    <t>Mz</t>
  </si>
  <si>
    <t>b =</t>
  </si>
  <si>
    <t>kN</t>
  </si>
  <si>
    <t>kNm</t>
  </si>
  <si>
    <t>links:</t>
  </si>
  <si>
    <t>fys =</t>
  </si>
  <si>
    <t>h =</t>
  </si>
  <si>
    <t>main:</t>
  </si>
  <si>
    <t>Top</t>
  </si>
  <si>
    <t>mainAst:</t>
  </si>
  <si>
    <t>mm2</t>
  </si>
  <si>
    <t>d =</t>
  </si>
  <si>
    <t>As (mm2) =</t>
  </si>
  <si>
    <t>mCap (kNm)=</t>
  </si>
  <si>
    <t>vu</t>
  </si>
  <si>
    <t>vs</t>
  </si>
  <si>
    <t>legs</t>
  </si>
  <si>
    <t>linkSpac</t>
  </si>
  <si>
    <t>( + Side, bottom for Robot)</t>
  </si>
  <si>
    <t>Design Data</t>
  </si>
  <si>
    <t>pcs</t>
  </si>
  <si>
    <t>spac</t>
  </si>
  <si>
    <t>layers</t>
  </si>
  <si>
    <t>basePc</t>
  </si>
  <si>
    <t>inLayer</t>
  </si>
  <si>
    <t>Bottom</t>
  </si>
  <si>
    <t>rho =</t>
  </si>
  <si>
    <t>B</t>
  </si>
  <si>
    <t>H</t>
  </si>
  <si>
    <t>LEFT SUPPORT / END</t>
  </si>
  <si>
    <t>TOP</t>
  </si>
  <si>
    <t>BOTTOM</t>
  </si>
  <si>
    <t>MIDSPAN</t>
  </si>
  <si>
    <t>RIGHT SUPPORT / END</t>
  </si>
  <si>
    <t>STIRRUPS / LINKS</t>
  </si>
  <si>
    <t>TYPE</t>
  </si>
  <si>
    <t>SPACING</t>
  </si>
  <si>
    <t>REMARKS</t>
  </si>
  <si>
    <t>BEAM  MARK</t>
  </si>
  <si>
    <t>L</t>
  </si>
  <si>
    <t>x1</t>
  </si>
  <si>
    <t>y1</t>
  </si>
  <si>
    <t>z1</t>
  </si>
  <si>
    <t>x2</t>
  </si>
  <si>
    <t>y2</t>
  </si>
  <si>
    <t>z2</t>
  </si>
  <si>
    <t>start_node</t>
  </si>
  <si>
    <t>end_node</t>
  </si>
  <si>
    <t>bar_id</t>
  </si>
  <si>
    <t>storey</t>
  </si>
  <si>
    <t>Vmax</t>
  </si>
  <si>
    <t>Mmin</t>
  </si>
  <si>
    <t>Mmax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</si>
</sst>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2">
    <numFmt numFmtId="164" formatCode="0.000"/>
    <numFmt numFmtId="165" formatCode="0.0"/>
  </numFmts>
  <fonts count="13" x14ac:knownFonts="1">
    <font>
      <sz val="11"/>
      <color theme="1"/>
      <name val="Calibri"/>
      <family val="2"/>
      <scheme val="minor"/>
    </font>
    <font>
      <i/>
      <sz val="10"/>
      <color theme="1"/>
      <name val="Arial"/>
      <family val="2"/>
    </font>
    <font>
      <i/>
      <sz val="10"/>
      <color rgb="FF0000FF"/>
      <name val="Arial"/>
      <family val="2"/>
    </font>
    <font>
      <i/>
      <sz val="10"/>
      <name val="Arial"/>
      <family val="2"/>
    </font>
    <font>
      <sz val="10"/>
      <color theme="1"/>
      <name val="Arial"/>
      <family val="2"/>
    </font>
    <font>
      <sz val="10"/>
      <color theme="0"/>
      <name val="Arial"/>
      <family val="2"/>
    </font>
    <font>
      <b/>
      <sz val="10"/>
      <color theme="1"/>
      <name val="Arial"/>
      <family val="2"/>
    </font>
    <font>
      <b/>
      <i/>
      <sz val="10"/>
      <color rgb="FF0000FF"/>
      <name val="Arial"/>
      <family val="2"/>
    </font>
    <font>
      <b/>
      <i/>
      <sz val="10"/>
      <color theme="1"/>
      <name val="Arial"/>
      <family val="2"/>
    </font>
    <font>
      <i/>
      <sz val="8"/>
      <color theme="1"/>
      <name val="Arial"/>
      <family val="2"/>
    </font>
    <font>
      <sz val="12"/>
      <color theme="1"/>
      <name val="RomanD"/>
    </font>
    <font>
      <b/>
      <i/>
      <sz val="11"/>
      <color rgb="FF000000"/>
      <name val="Arial"/>
      <family val="2"/>
    </font>
    <font>
      <sz val="8"/>
      <color rgb="FF242729"/>
      <name val="Consolas"/>
      <family val="3"/>
    </font>
  </fonts>
  <fills count="3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</fills>
  <borders count="11">
    <border>
      <left/>
      <right/>
      <top/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</borders>
  <cellStyleXfs count="1">
    <xf numFmtId="0" fontId="0" fillId="0" borderId="0"/>
  </cellStyleXfs>
  <cellXfs count="47">
    <xf numFmtId="0" fontId="0" fillId="0" borderId="0" xfId="0"/>
    <xf numFmtId="0" fontId="1" fillId="0" borderId="0" xfId="0" applyFont="1" applyAlignment="1">
      <alignment horizontal="right" vertical="center"/>
    </xf>
    <xf numFmtId="0" fontId="2" fillId="0" borderId="0" xfId="0" applyFont="1" applyAlignment="1">
      <alignment horizontal="center" vertical="center"/>
    </xf>
    <xf numFmtId="0" fontId="1" fillId="0" borderId="0" xfId="0" quotePrefix="1" applyFont="1" applyAlignment="1">
      <alignment horizontal="center" vertical="center"/>
    </xf>
    <xf numFmtId="1" fontId="3" fillId="0" borderId="0" xfId="0" applyNumberFormat="1" applyFont="1" applyAlignment="1">
      <alignment horizontal="center" vertical="center"/>
    </xf>
    <xf numFmtId="0" fontId="4" fillId="0" borderId="0" xfId="0" applyFont="1"/>
    <xf numFmtId="0" fontId="5" fillId="0" borderId="0" xfId="0" applyFont="1"/>
    <xf numFmtId="0" fontId="4" fillId="0" borderId="0" xfId="0" applyFont="1" applyAlignment="1">
      <alignment horizontal="center" vertical="center"/>
    </xf>
    <xf numFmtId="0" fontId="4" fillId="0" borderId="0" xfId="0" applyFont="1" applyAlignment="1">
      <alignment horizontal="center"/>
    </xf>
    <xf numFmtId="164" fontId="3" fillId="0" borderId="0" xfId="0" applyNumberFormat="1" applyFont="1" applyAlignment="1">
      <alignment horizontal="center" vertical="center"/>
    </xf>
    <xf numFmtId="0" fontId="6" fillId="0" borderId="0" xfId="0" applyFont="1" applyAlignment="1">
      <alignment horizontal="center" vertical="center"/>
    </xf>
    <xf numFmtId="0" fontId="7" fillId="0" borderId="1" xfId="0" applyFont="1" applyBorder="1" applyAlignment="1">
      <alignment horizontal="center" vertical="center"/>
    </xf>
    <xf numFmtId="0" fontId="4" fillId="0" borderId="2" xfId="0" applyFont="1" applyBorder="1" applyAlignment="1">
      <alignment horizontal="center" vertical="center"/>
    </xf>
    <xf numFmtId="0" fontId="4" fillId="0" borderId="3" xfId="0" applyFont="1" applyBorder="1" applyAlignment="1">
      <alignment horizontal="center" vertical="center"/>
    </xf>
    <xf numFmtId="0" fontId="1" fillId="0" borderId="4" xfId="0" applyFont="1" applyBorder="1" applyAlignment="1">
      <alignment horizontal="right" vertical="center"/>
    </xf>
    <xf numFmtId="0" fontId="2" fillId="0" borderId="0" xfId="0" applyFont="1" applyBorder="1" applyAlignment="1">
      <alignment horizontal="center" vertical="center"/>
    </xf>
    <xf numFmtId="0" fontId="4" fillId="0" borderId="0" xfId="0" applyFont="1" applyBorder="1" applyAlignment="1">
      <alignment horizontal="center" vertical="center"/>
    </xf>
    <xf numFmtId="0" fontId="4" fillId="0" borderId="5" xfId="0" applyFont="1" applyBorder="1" applyAlignment="1">
      <alignment horizontal="center" vertical="center"/>
    </xf>
    <xf numFmtId="0" fontId="1" fillId="0" borderId="6" xfId="0" applyFont="1" applyBorder="1" applyAlignment="1">
      <alignment horizontal="right" vertical="center"/>
    </xf>
    <xf numFmtId="0" fontId="2" fillId="0" borderId="6" xfId="0" applyFont="1" applyBorder="1" applyAlignment="1">
      <alignment horizontal="center" vertical="center"/>
    </xf>
    <xf numFmtId="0" fontId="1" fillId="0" borderId="6" xfId="0" quotePrefix="1" applyFont="1" applyBorder="1" applyAlignment="1">
      <alignment horizontal="center" vertical="center"/>
    </xf>
    <xf numFmtId="2" fontId="8" fillId="2" borderId="6" xfId="0" applyNumberFormat="1" applyFont="1" applyFill="1" applyBorder="1" applyAlignment="1">
      <alignment horizontal="center" vertical="center"/>
    </xf>
    <xf numFmtId="2" fontId="4" fillId="0" borderId="0" xfId="0" applyNumberFormat="1" applyFont="1" applyBorder="1" applyAlignment="1">
      <alignment horizontal="center" vertical="center"/>
    </xf>
    <xf numFmtId="2" fontId="4" fillId="0" borderId="5" xfId="0" applyNumberFormat="1" applyFont="1" applyBorder="1" applyAlignment="1">
      <alignment horizontal="center" vertical="center"/>
    </xf>
    <xf numFmtId="0" fontId="4" fillId="0" borderId="4" xfId="0" applyFont="1" applyBorder="1" applyAlignment="1">
      <alignment horizontal="center"/>
    </xf>
    <xf numFmtId="1" fontId="1" fillId="0" borderId="6" xfId="0" applyNumberFormat="1" applyFont="1" applyBorder="1" applyAlignment="1">
      <alignment horizontal="center" vertical="center"/>
    </xf>
    <xf numFmtId="0" fontId="1" fillId="0" borderId="0" xfId="0" applyFont="1" applyBorder="1" applyAlignment="1">
      <alignment horizontal="center" vertical="center"/>
    </xf>
    <xf numFmtId="1" fontId="1" fillId="0" borderId="0" xfId="0" applyNumberFormat="1" applyFont="1" applyBorder="1" applyAlignment="1">
      <alignment horizontal="center" vertical="center"/>
    </xf>
    <xf numFmtId="165" fontId="1" fillId="0" borderId="0" xfId="0" applyNumberFormat="1" applyFont="1" applyBorder="1" applyAlignment="1">
      <alignment horizontal="center" vertical="center"/>
    </xf>
    <xf numFmtId="0" fontId="1" fillId="0" borderId="6" xfId="0" applyFont="1" applyBorder="1" applyAlignment="1">
      <alignment horizontal="center" vertical="center"/>
    </xf>
    <xf numFmtId="0" fontId="9" fillId="0" borderId="4" xfId="0" applyFont="1" applyBorder="1" applyAlignment="1">
      <alignment horizontal="left"/>
    </xf>
    <xf numFmtId="164" fontId="1" fillId="0" borderId="6" xfId="0" applyNumberFormat="1" applyFont="1" applyBorder="1" applyAlignment="1">
      <alignment horizontal="center"/>
    </xf>
    <xf numFmtId="2" fontId="1" fillId="0" borderId="6" xfId="0" applyNumberFormat="1" applyFont="1" applyBorder="1" applyAlignment="1">
      <alignment horizontal="center" vertical="center"/>
    </xf>
    <xf numFmtId="1" fontId="3" fillId="0" borderId="6" xfId="0" applyNumberFormat="1" applyFont="1" applyBorder="1" applyAlignment="1">
      <alignment horizontal="center" vertical="center"/>
    </xf>
    <xf numFmtId="0" fontId="1" fillId="0" borderId="9" xfId="0" applyFont="1" applyBorder="1" applyAlignment="1">
      <alignment horizontal="right" vertical="center"/>
    </xf>
    <xf numFmtId="165" fontId="1" fillId="0" borderId="10" xfId="0" applyNumberFormat="1" applyFont="1" applyBorder="1" applyAlignment="1">
      <alignment horizontal="center" vertical="center"/>
    </xf>
    <xf numFmtId="2" fontId="4" fillId="0" borderId="10" xfId="0" applyNumberFormat="1" applyFont="1" applyBorder="1" applyAlignment="1">
      <alignment horizontal="center" vertical="center"/>
    </xf>
    <xf numFmtId="0" fontId="4" fillId="0" borderId="0" xfId="0" applyFont="1" applyAlignment="1">
      <alignment horizontal="right"/>
    </xf>
    <xf numFmtId="0" fontId="10" fillId="0" borderId="6" xfId="0" applyFont="1" applyBorder="1" applyAlignment="1">
      <alignment horizontal="center" vertical="center"/>
    </xf>
    <xf numFmtId="0" fontId="10" fillId="0" borderId="0" xfId="0" applyFont="1" applyAlignment="1">
      <alignment horizontal="center" vertical="center"/>
    </xf>
    <xf numFmtId="0" fontId="0" fillId="0" borderId="0" xfId="0" applyAlignment="1">
      <alignment horizontal="center" vertical="center"/>
    </xf>
    <xf numFmtId="0" fontId="12" fillId="0" borderId="0" xfId="0" applyFont="1"/>
    <xf numFmtId="0" fontId="1" fillId="0" borderId="6" xfId="0" applyFont="1" applyBorder="1" applyAlignment="1">
      <alignment horizontal="center"/>
    </xf>
    <xf numFmtId="0" fontId="1" fillId="0" borderId="7" xfId="0" applyFont="1" applyBorder="1" applyAlignment="1">
      <alignment horizontal="center" vertical="center"/>
    </xf>
    <xf numFmtId="0" fontId="1" fillId="0" borderId="8" xfId="0" applyFont="1" applyBorder="1" applyAlignment="1">
      <alignment horizontal="center" vertical="center"/>
    </xf>
    <xf numFmtId="0" fontId="10" fillId="0" borderId="6" xfId="0" applyFont="1" applyBorder="1" applyAlignment="1">
      <alignment horizontal="center" vertical="center"/>
    </xf>
    <xf numFmtId="0" fontId="10" fillId="0" borderId="6" xfId="0" applyFont="1" applyBorder="1" applyAlignment="1">
      <alignment horizontal="center" vertical="center" wrapText="1"/>
    </xf>
  </cellXfs>
  <cellStyles count="1">
    <cellStyle name="Normal" xfId="0" builtinId="0"/>
  </cellStyles>
  <dxfs count="4">
    <dxf>
      <font>
        <b/>
        <i/>
        <color rgb="FFC00000"/>
      </font>
    </dxf>
    <dxf>
      <font>
        <b/>
        <i/>
        <color rgb="FFC00000"/>
      </font>
    </dxf>
    <dxf>
      <font>
        <b/>
        <i/>
        <color rgb="FFC00000"/>
      </font>
    </dxf>
    <dxf>
      <font>
        <b/>
        <i/>
        <color rgb="FFC00000"/>
      </font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312420</xdr:colOff>
          <xdr:row>0</xdr:row>
          <xdr:rowOff>106680</xdr:rowOff>
        </xdr:from>
        <xdr:to>
          <xdr:col>2</xdr:col>
          <xdr:colOff>533400</xdr:colOff>
          <xdr:row>1</xdr:row>
          <xdr:rowOff>137160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en-PH" sz="1100" b="1" i="1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Generate Schedule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T22"/>
  <sheetViews>
    <sheetView workbookViewId="0">
      <selection activeCell="B1" sqref="B1"/>
    </sheetView>
  </sheetViews>
  <sheetFormatPr defaultRowHeight="13.2" x14ac:dyDescent="0.25"/>
  <cols>
    <col min="1" max="1" width="16.77734375" style="37" customWidth="1"/>
    <col min="2" max="7" width="10.77734375" style="5" customWidth="1"/>
    <col min="8" max="8" width="2.77734375" style="5" customWidth="1"/>
    <col min="9" max="9" width="12.77734375" style="5" customWidth="1"/>
    <col min="10" max="10" width="10.77734375" style="5" customWidth="1"/>
    <col min="11" max="11" width="6.77734375" style="7" customWidth="1"/>
    <col min="12" max="12" width="10.77734375" style="8" customWidth="1"/>
    <col min="13" max="14" width="10.77734375" style="5" customWidth="1"/>
    <col min="15" max="15" width="8.88671875" style="5"/>
    <col min="16" max="16" width="2.77734375" style="5" customWidth="1"/>
    <col min="17" max="19" width="6.77734375" style="5" customWidth="1"/>
    <col min="20" max="16384" width="8.88671875" style="5"/>
  </cols>
  <sheetData>
    <row r="1" spans="1:20" x14ac:dyDescent="0.25">
      <c r="A1" s="1" t="s">
        <v>0</v>
      </c>
      <c r="B1" s="2">
        <v>27.5</v>
      </c>
      <c r="C1" s="3" t="s">
        <v>1</v>
      </c>
      <c r="D1" s="4">
        <f>B1*145.0377/1000</f>
        <v>3.9885367500000002</v>
      </c>
      <c r="E1" s="3" t="s">
        <v>2</v>
      </c>
      <c r="H1" s="6">
        <v>16</v>
      </c>
    </row>
    <row r="2" spans="1:20" x14ac:dyDescent="0.25">
      <c r="A2" s="1" t="s">
        <v>3</v>
      </c>
      <c r="B2" s="2">
        <v>414</v>
      </c>
      <c r="C2" s="3" t="s">
        <v>1</v>
      </c>
      <c r="D2" s="4">
        <f>B2*145.0377/1000</f>
        <v>60.045607799999999</v>
      </c>
      <c r="E2" s="3" t="s">
        <v>2</v>
      </c>
      <c r="H2" s="6">
        <v>20</v>
      </c>
    </row>
    <row r="3" spans="1:20" x14ac:dyDescent="0.25">
      <c r="A3" s="1" t="s">
        <v>4</v>
      </c>
      <c r="B3" s="9">
        <f>0.75*0.17*SQRT(fc)</f>
        <v>0.66861564070847157</v>
      </c>
      <c r="C3" s="3" t="s">
        <v>1</v>
      </c>
      <c r="D3" s="7"/>
      <c r="E3" s="7"/>
      <c r="H3" s="6"/>
    </row>
    <row r="4" spans="1:20" x14ac:dyDescent="0.25">
      <c r="A4" s="1" t="s">
        <v>5</v>
      </c>
      <c r="B4" s="2">
        <v>0.9</v>
      </c>
      <c r="C4" s="2">
        <v>0.75</v>
      </c>
      <c r="D4" s="7"/>
      <c r="E4" s="7"/>
      <c r="H4" s="6"/>
    </row>
    <row r="5" spans="1:20" x14ac:dyDescent="0.25">
      <c r="A5" s="1" t="s">
        <v>6</v>
      </c>
      <c r="B5" s="2">
        <v>3.3E-3</v>
      </c>
      <c r="H5" s="6">
        <v>1</v>
      </c>
    </row>
    <row r="6" spans="1:20" x14ac:dyDescent="0.25">
      <c r="A6" s="1" t="s">
        <v>7</v>
      </c>
      <c r="B6" s="2">
        <v>2.1399999999999999E-2</v>
      </c>
      <c r="H6" s="6">
        <v>2</v>
      </c>
    </row>
    <row r="7" spans="1:20" x14ac:dyDescent="0.25">
      <c r="A7" s="1" t="s">
        <v>8</v>
      </c>
      <c r="B7" s="2">
        <v>30</v>
      </c>
      <c r="C7" s="3" t="s">
        <v>9</v>
      </c>
      <c r="H7" s="6">
        <v>50</v>
      </c>
    </row>
    <row r="8" spans="1:20" x14ac:dyDescent="0.25">
      <c r="A8" s="1" t="s">
        <v>10</v>
      </c>
      <c r="B8" s="2">
        <v>40</v>
      </c>
      <c r="C8" s="3" t="s">
        <v>9</v>
      </c>
      <c r="H8" s="6">
        <v>75</v>
      </c>
    </row>
    <row r="9" spans="1:20" x14ac:dyDescent="0.25">
      <c r="A9" s="10"/>
      <c r="H9" s="6">
        <v>100</v>
      </c>
    </row>
    <row r="10" spans="1:20" x14ac:dyDescent="0.25">
      <c r="A10" s="11" t="s">
        <v>11</v>
      </c>
      <c r="B10" s="12" t="s">
        <v>12</v>
      </c>
      <c r="C10" s="12" t="s">
        <v>13</v>
      </c>
      <c r="D10" s="12" t="s">
        <v>14</v>
      </c>
      <c r="E10" s="12" t="s">
        <v>15</v>
      </c>
      <c r="F10" s="12" t="s">
        <v>16</v>
      </c>
      <c r="G10" s="13" t="s">
        <v>17</v>
      </c>
      <c r="H10" s="6">
        <v>125</v>
      </c>
      <c r="I10" s="1"/>
      <c r="J10" s="2"/>
      <c r="K10" s="3"/>
    </row>
    <row r="11" spans="1:20" x14ac:dyDescent="0.25">
      <c r="A11" s="14" t="s">
        <v>18</v>
      </c>
      <c r="B11" s="15">
        <v>400</v>
      </c>
      <c r="C11" s="16" t="s">
        <v>19</v>
      </c>
      <c r="D11" s="16" t="s">
        <v>19</v>
      </c>
      <c r="E11" s="16" t="s">
        <v>19</v>
      </c>
      <c r="F11" s="16" t="s">
        <v>20</v>
      </c>
      <c r="G11" s="17" t="s">
        <v>20</v>
      </c>
      <c r="H11" s="6">
        <v>150</v>
      </c>
      <c r="I11" s="18" t="s">
        <v>21</v>
      </c>
      <c r="J11" s="19">
        <v>10</v>
      </c>
      <c r="K11" s="20" t="s">
        <v>9</v>
      </c>
      <c r="L11" s="1" t="s">
        <v>22</v>
      </c>
      <c r="M11" s="2">
        <v>275</v>
      </c>
      <c r="N11" s="3" t="s">
        <v>1</v>
      </c>
      <c r="O11" s="4"/>
      <c r="P11" s="3"/>
    </row>
    <row r="12" spans="1:20" x14ac:dyDescent="0.25">
      <c r="A12" s="14" t="s">
        <v>23</v>
      </c>
      <c r="B12" s="15">
        <v>800</v>
      </c>
      <c r="C12" s="21">
        <v>-341.27127891908583</v>
      </c>
      <c r="D12" s="22">
        <v>4.6912278343216958</v>
      </c>
      <c r="E12" s="22">
        <v>0</v>
      </c>
      <c r="F12" s="22">
        <v>180.8742775428862</v>
      </c>
      <c r="G12" s="23">
        <v>0</v>
      </c>
      <c r="H12" s="6">
        <v>175</v>
      </c>
      <c r="I12" s="18" t="s">
        <v>24</v>
      </c>
      <c r="J12" s="19">
        <v>20</v>
      </c>
      <c r="K12" s="20" t="s">
        <v>9</v>
      </c>
    </row>
    <row r="13" spans="1:20" x14ac:dyDescent="0.25">
      <c r="A13" s="24" t="s">
        <v>25</v>
      </c>
      <c r="B13" s="16"/>
      <c r="C13" s="21">
        <v>363.94390349284157</v>
      </c>
      <c r="D13" s="22">
        <v>0</v>
      </c>
      <c r="E13" s="22">
        <v>-270.71449968105986</v>
      </c>
      <c r="F13" s="22">
        <v>0</v>
      </c>
      <c r="G13" s="23">
        <v>3.7661603512786321</v>
      </c>
      <c r="H13" s="6">
        <v>200</v>
      </c>
      <c r="I13" s="18" t="s">
        <v>26</v>
      </c>
      <c r="J13" s="25">
        <f>IF(J12=16,201,IF(J12=20,314,IF(J12=25,490,"Err")))</f>
        <v>314</v>
      </c>
      <c r="K13" s="20" t="s">
        <v>27</v>
      </c>
    </row>
    <row r="14" spans="1:20" x14ac:dyDescent="0.25">
      <c r="A14" s="14" t="s">
        <v>28</v>
      </c>
      <c r="B14" s="26">
        <f>B12-clrCover-J11-(IF(M18&gt;1,1.5*J12,0.5*J12))</f>
        <v>720</v>
      </c>
      <c r="C14" s="22">
        <v>316.4486959693009</v>
      </c>
      <c r="D14" s="21">
        <v>-10.281231997026964</v>
      </c>
      <c r="E14" s="22">
        <v>-237.65116551678614</v>
      </c>
      <c r="F14" s="22">
        <v>-303.47007362379634</v>
      </c>
      <c r="G14" s="23">
        <v>6.3130654931100194</v>
      </c>
      <c r="H14" s="6">
        <v>250</v>
      </c>
    </row>
    <row r="15" spans="1:20" x14ac:dyDescent="0.25">
      <c r="A15" s="14" t="s">
        <v>29</v>
      </c>
      <c r="B15" s="27">
        <f>B11*B14*J18</f>
        <v>3140.0000000000005</v>
      </c>
      <c r="C15" s="22">
        <v>309.8627530419468</v>
      </c>
      <c r="D15" s="21">
        <v>12.115234398066598</v>
      </c>
      <c r="E15" s="22">
        <v>156.50333204943314</v>
      </c>
      <c r="F15" s="22">
        <v>-69.401356149876051</v>
      </c>
      <c r="G15" s="23">
        <v>-4.8125170558896411</v>
      </c>
      <c r="H15" s="6">
        <v>300</v>
      </c>
    </row>
    <row r="16" spans="1:20" x14ac:dyDescent="0.25">
      <c r="A16" s="14" t="s">
        <v>30</v>
      </c>
      <c r="B16" s="28">
        <f>-phi*B11*(B14^2)*J18*fy*(1-(0.588*J18*fy/fc))/1000000</f>
        <v>-761.07471963211651</v>
      </c>
      <c r="C16" s="22">
        <v>357.9841945176691</v>
      </c>
      <c r="D16" s="22">
        <v>-3.0146253676294674</v>
      </c>
      <c r="E16" s="21">
        <v>-418.71193313796886</v>
      </c>
      <c r="F16" s="22">
        <v>-715.69639511928096</v>
      </c>
      <c r="G16" s="23">
        <v>2.0419285015238904</v>
      </c>
      <c r="Q16" s="29" t="s">
        <v>31</v>
      </c>
      <c r="R16" s="29" t="s">
        <v>32</v>
      </c>
      <c r="S16" s="29" t="s">
        <v>33</v>
      </c>
      <c r="T16" s="29" t="s">
        <v>34</v>
      </c>
    </row>
    <row r="17" spans="1:20" x14ac:dyDescent="0.25">
      <c r="A17" s="30" t="s">
        <v>35</v>
      </c>
      <c r="B17" s="16"/>
      <c r="C17" s="22">
        <v>-230.79125612651347</v>
      </c>
      <c r="D17" s="22">
        <v>-2.548013195107913</v>
      </c>
      <c r="E17" s="21">
        <v>419.94713282254139</v>
      </c>
      <c r="F17" s="22">
        <v>-704.74600312658288</v>
      </c>
      <c r="G17" s="23">
        <v>-1.6075816584200082</v>
      </c>
      <c r="I17" s="42" t="s">
        <v>36</v>
      </c>
      <c r="J17" s="42"/>
      <c r="K17" s="29" t="s">
        <v>37</v>
      </c>
      <c r="L17" s="29" t="s">
        <v>38</v>
      </c>
      <c r="M17" s="29" t="s">
        <v>39</v>
      </c>
      <c r="N17" s="29" t="s">
        <v>40</v>
      </c>
      <c r="O17" s="29" t="s">
        <v>41</v>
      </c>
      <c r="Q17" s="43" t="s">
        <v>1</v>
      </c>
      <c r="R17" s="44"/>
      <c r="S17" s="29" t="s">
        <v>37</v>
      </c>
      <c r="T17" s="29" t="s">
        <v>9</v>
      </c>
    </row>
    <row r="18" spans="1:20" x14ac:dyDescent="0.25">
      <c r="A18" s="24" t="s">
        <v>42</v>
      </c>
      <c r="B18" s="16"/>
      <c r="C18" s="22">
        <v>357.9841945176691</v>
      </c>
      <c r="D18" s="22">
        <v>-3.0146253676294674</v>
      </c>
      <c r="E18" s="22">
        <v>-418.71193313796886</v>
      </c>
      <c r="F18" s="21">
        <v>-715.69639511928096</v>
      </c>
      <c r="G18" s="23">
        <v>2.0419285015238904</v>
      </c>
      <c r="I18" s="18" t="s">
        <v>43</v>
      </c>
      <c r="J18" s="31">
        <f>MAX(rhoMin,(K18*J13/(B11*B14)))</f>
        <v>1.0902777777777779E-2</v>
      </c>
      <c r="K18" s="19">
        <v>10</v>
      </c>
      <c r="L18" s="25">
        <f>IF(M18&lt;2,(B11-(2*(J11+clrCover))-(K18*J12))/(K18-1),(B11-(2*(J11+clrCover))-(N18*J12))/((N18)-1))</f>
        <v>50</v>
      </c>
      <c r="M18" s="19">
        <v>2</v>
      </c>
      <c r="N18" s="29">
        <f>IF(M18&lt;2,K18,CEILING(K18/2,1))</f>
        <v>5</v>
      </c>
      <c r="O18" s="29">
        <f>K18-N18</f>
        <v>5</v>
      </c>
      <c r="Q18" s="32">
        <f>MAX(ABS(E16),ABS(E17))*1000/(B14*B11)</f>
        <v>1.4581497667449355</v>
      </c>
      <c r="R18" s="32">
        <f>Q18-phiVc</f>
        <v>0.78953412603646389</v>
      </c>
      <c r="S18" s="33">
        <f>R18*T18*B11/(phiV*M11*0.25*PI()*(J11^2))</f>
        <v>1.9496069259394748</v>
      </c>
      <c r="T18" s="19">
        <v>100</v>
      </c>
    </row>
    <row r="19" spans="1:20" x14ac:dyDescent="0.25">
      <c r="A19" s="14" t="s">
        <v>28</v>
      </c>
      <c r="B19" s="26">
        <f>B12-clrCover-J11-(IF(M19&gt;1,1.5*J12,0.5*J12))</f>
        <v>740</v>
      </c>
      <c r="C19" s="22">
        <v>30.273511268746741</v>
      </c>
      <c r="D19" s="22">
        <v>0.43764155444902131</v>
      </c>
      <c r="E19" s="22">
        <v>0.92234555728470624</v>
      </c>
      <c r="F19" s="21">
        <v>230.31679411340178</v>
      </c>
      <c r="G19" s="23">
        <v>0.18665405146127823</v>
      </c>
      <c r="I19" s="18" t="s">
        <v>43</v>
      </c>
      <c r="J19" s="31">
        <f>MAX(rhoMin,(K19*J13/(B11*B14)))</f>
        <v>3.3E-3</v>
      </c>
      <c r="K19" s="19">
        <v>2</v>
      </c>
      <c r="L19" s="25">
        <f>IF(M19&lt;2,(B11-(2*(J11+clrCover))-(K19*J12))/(K19-1),(B11-(2*(J11+clrCover))-(N19*J12))/((N19)-1))</f>
        <v>260</v>
      </c>
      <c r="M19" s="19">
        <v>1</v>
      </c>
      <c r="N19" s="29">
        <f>IF(M19&lt;2,K19,CEILING(K19/2,1))</f>
        <v>2</v>
      </c>
      <c r="O19" s="29">
        <f>K19-N19</f>
        <v>0</v>
      </c>
      <c r="Q19" s="32">
        <f>MAX(ABS(E16),ABS(E17))*1000/(B19*B11)</f>
        <v>1.418740313589667</v>
      </c>
      <c r="R19" s="32">
        <f>Q19-phiVc</f>
        <v>0.75012467288119544</v>
      </c>
      <c r="S19" s="33">
        <f>R19*T19*B11/(phiV*M11*0.25*PI()*(J11^2))</f>
        <v>1.8522926487153766</v>
      </c>
      <c r="T19" s="19">
        <v>100</v>
      </c>
    </row>
    <row r="20" spans="1:20" x14ac:dyDescent="0.25">
      <c r="A20" s="14" t="s">
        <v>29</v>
      </c>
      <c r="B20" s="27">
        <f>B11*B19*J19</f>
        <v>976.8</v>
      </c>
      <c r="C20" s="22">
        <v>-270.94855787234667</v>
      </c>
      <c r="D20" s="22">
        <v>-8.6233282532042921</v>
      </c>
      <c r="E20" s="22">
        <v>181.82087362107475</v>
      </c>
      <c r="F20" s="22">
        <v>-231.50833334349056</v>
      </c>
      <c r="G20" s="21">
        <v>-5.2647151839700239</v>
      </c>
    </row>
    <row r="21" spans="1:20" x14ac:dyDescent="0.25">
      <c r="A21" s="34" t="s">
        <v>30</v>
      </c>
      <c r="B21" s="35">
        <f>phi*B11*(B19^2)*J19*fy*(1-(0.588*J19*fy/fc))/1000000</f>
        <v>261.45966003247418</v>
      </c>
      <c r="C21" s="36">
        <v>309.8627530419468</v>
      </c>
      <c r="D21" s="36">
        <v>12.115234398066598</v>
      </c>
      <c r="E21" s="36">
        <v>231.78546009044817</v>
      </c>
      <c r="F21" s="36">
        <v>-263.33227196201852</v>
      </c>
      <c r="G21" s="21">
        <v>7.3027174368272263</v>
      </c>
    </row>
    <row r="22" spans="1:20" x14ac:dyDescent="0.25">
      <c r="A22" s="10"/>
    </row>
  </sheetData>
  <dataConsolidate/>
  <mergeCells count="2">
    <mergeCell ref="I17:J17"/>
    <mergeCell ref="Q17:R17"/>
  </mergeCells>
  <conditionalFormatting sqref="J18:J19">
    <cfRule type="cellIs" dxfId="3" priority="4" operator="greaterThanOrEqual">
      <formula>$B$6</formula>
    </cfRule>
  </conditionalFormatting>
  <conditionalFormatting sqref="L18:L19">
    <cfRule type="cellIs" dxfId="2" priority="3" operator="lessThan">
      <formula>$B$7</formula>
    </cfRule>
  </conditionalFormatting>
  <conditionalFormatting sqref="B16">
    <cfRule type="cellIs" dxfId="1" priority="2" operator="greaterThan">
      <formula>$F$18</formula>
    </cfRule>
  </conditionalFormatting>
  <conditionalFormatting sqref="B21">
    <cfRule type="cellIs" dxfId="0" priority="1" operator="lessThanOrEqual">
      <formula>$F$19</formula>
    </cfRule>
  </conditionalFormatting>
  <dataValidations count="3">
    <dataValidation type="list" allowBlank="1" showInputMessage="1" showErrorMessage="1" sqref="T18:T19">
      <formula1>$H$7:$H$15</formula1>
    </dataValidation>
    <dataValidation type="list" allowBlank="1" showInputMessage="1" showErrorMessage="1" sqref="J10 M18:M19">
      <formula1>$H$5:$H$6</formula1>
    </dataValidation>
    <dataValidation type="list" allowBlank="1" showInputMessage="1" showErrorMessage="1" sqref="J12">
      <formula1>$H$1:$H$2</formula1>
    </dataValidation>
  </dataValidations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Q2"/>
  <sheetViews>
    <sheetView tabSelected="1" workbookViewId="0">
      <selection activeCell="C6" sqref="C6"/>
    </sheetView>
  </sheetViews>
  <sheetFormatPr defaultRowHeight="14.4" x14ac:dyDescent="0.3"/>
  <cols>
    <col min="1" max="16384" width="8.88671875" style="40"/>
  </cols>
  <sheetData>
    <row r="1" spans="1:17" x14ac:dyDescent="0.3">
      <c r="A1" s="40" t="s">
        <v>65</v>
      </c>
      <c r="B1" s="40" t="s">
        <v>44</v>
      </c>
      <c r="C1" s="40" t="s">
        <v>45</v>
      </c>
      <c r="D1" s="40" t="s">
        <v>63</v>
      </c>
      <c r="E1" s="40" t="s">
        <v>57</v>
      </c>
      <c r="F1" s="40" t="s">
        <v>58</v>
      </c>
      <c r="G1" s="40" t="s">
        <v>59</v>
      </c>
      <c r="H1" s="40" t="s">
        <v>64</v>
      </c>
      <c r="I1" s="40" t="s">
        <v>60</v>
      </c>
      <c r="J1" s="40" t="s">
        <v>61</v>
      </c>
      <c r="K1" s="40" t="s">
        <v>62</v>
      </c>
      <c r="L1" s="40" t="s">
        <v>56</v>
      </c>
      <c r="M1" s="40" t="s">
        <v>66</v>
      </c>
      <c r="N1" s="40" t="s">
        <v>67</v>
      </c>
      <c r="O1" s="40" t="s">
        <v>68</v>
      </c>
      <c r="P1" s="40" t="s">
        <v>69</v>
      </c>
    </row>
    <row r="2" spans="1:17" x14ac:dyDescent="0.2">
      <c r="Q2" s="41"/>
    </row>
  </sheetData>
  <sortState ref="A2:M470">
    <sortCondition ref="A2:A470"/>
  </sortState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/>
  <dimension ref="A5:L11"/>
  <sheetViews>
    <sheetView workbookViewId="0">
      <selection activeCell="E6" sqref="E6"/>
    </sheetView>
  </sheetViews>
  <sheetFormatPr defaultRowHeight="19.8" x14ac:dyDescent="0.3"/>
  <cols>
    <col min="1" max="1" width="16.77734375" style="39" customWidth="1"/>
    <col min="2" max="3" width="10.77734375" style="39" customWidth="1"/>
    <col min="4" max="9" width="16.77734375" style="39" customWidth="1"/>
    <col min="10" max="10" width="12.77734375" style="39" customWidth="1"/>
    <col min="11" max="11" width="40.77734375" style="39" customWidth="1"/>
    <col min="12" max="12" width="48.77734375" style="39" customWidth="1"/>
    <col min="13" max="16384" width="8.88671875" style="39"/>
  </cols>
  <sheetData>
    <row r="5" spans="1:12" x14ac:dyDescent="0.3">
      <c r="A5" s="46" t="s">
        <v>55</v>
      </c>
      <c r="B5" s="38" t="s">
        <v>44</v>
      </c>
      <c r="C5" s="38" t="s">
        <v>45</v>
      </c>
      <c r="D5" s="45" t="s">
        <v>46</v>
      </c>
      <c r="E5" s="45"/>
      <c r="F5" s="45" t="s">
        <v>49</v>
      </c>
      <c r="G5" s="45"/>
      <c r="H5" s="45" t="s">
        <v>50</v>
      </c>
      <c r="I5" s="45"/>
      <c r="J5" s="45" t="s">
        <v>51</v>
      </c>
      <c r="K5" s="45"/>
      <c r="L5" s="38" t="s">
        <v>54</v>
      </c>
    </row>
    <row r="6" spans="1:12" x14ac:dyDescent="0.3">
      <c r="A6" s="46"/>
      <c r="B6" s="38" t="s">
        <v>9</v>
      </c>
      <c r="C6" s="38" t="s">
        <v>9</v>
      </c>
      <c r="D6" s="38" t="s">
        <v>47</v>
      </c>
      <c r="E6" s="38" t="s">
        <v>48</v>
      </c>
      <c r="F6" s="38" t="s">
        <v>47</v>
      </c>
      <c r="G6" s="38" t="s">
        <v>48</v>
      </c>
      <c r="H6" s="38" t="s">
        <v>47</v>
      </c>
      <c r="I6" s="38" t="s">
        <v>48</v>
      </c>
      <c r="J6" s="38" t="s">
        <v>52</v>
      </c>
      <c r="K6" s="38" t="s">
        <v>53</v>
      </c>
      <c r="L6" s="38"/>
    </row>
    <row r="7" spans="1:12" x14ac:dyDescent="0.3">
      <c r="A7" s="38"/>
      <c r="B7" s="38"/>
      <c r="C7" s="38"/>
      <c r="D7" s="38"/>
      <c r="E7" s="38"/>
      <c r="F7" s="38"/>
      <c r="G7" s="38"/>
      <c r="H7" s="38"/>
      <c r="I7" s="38"/>
      <c r="J7" s="38"/>
      <c r="K7" s="38"/>
      <c r="L7" s="38"/>
    </row>
    <row r="8" spans="1:12" x14ac:dyDescent="0.3">
      <c r="A8" s="38"/>
      <c r="B8" s="38"/>
      <c r="C8" s="38"/>
      <c r="D8" s="38"/>
      <c r="E8" s="38"/>
      <c r="F8" s="38"/>
      <c r="G8" s="38"/>
      <c r="H8" s="38"/>
      <c r="I8" s="38"/>
      <c r="J8" s="38"/>
      <c r="K8" s="38"/>
      <c r="L8" s="38"/>
    </row>
    <row r="9" spans="1:12" x14ac:dyDescent="0.3">
      <c r="A9" s="38"/>
      <c r="B9" s="38"/>
      <c r="C9" s="38"/>
      <c r="D9" s="38"/>
      <c r="E9" s="38"/>
      <c r="F9" s="38"/>
      <c r="G9" s="38"/>
      <c r="H9" s="38"/>
      <c r="I9" s="38"/>
      <c r="J9" s="38"/>
      <c r="K9" s="38"/>
      <c r="L9" s="38"/>
    </row>
    <row r="10" spans="1:12" x14ac:dyDescent="0.3">
      <c r="A10" s="38"/>
      <c r="B10" s="38"/>
      <c r="C10" s="38"/>
      <c r="D10" s="38"/>
      <c r="E10" s="38"/>
      <c r="F10" s="38"/>
      <c r="G10" s="38"/>
      <c r="H10" s="38"/>
      <c r="I10" s="38"/>
      <c r="J10" s="38"/>
      <c r="K10" s="38"/>
      <c r="L10" s="38"/>
    </row>
    <row r="11" spans="1:12" x14ac:dyDescent="0.3">
      <c r="A11" s="38"/>
      <c r="B11" s="38"/>
      <c r="C11" s="38"/>
      <c r="D11" s="38"/>
      <c r="E11" s="38"/>
      <c r="F11" s="38"/>
      <c r="G11" s="38"/>
      <c r="H11" s="38"/>
      <c r="I11" s="38"/>
      <c r="J11" s="38"/>
      <c r="K11" s="38"/>
      <c r="L11" s="38"/>
    </row>
  </sheetData>
  <dataConsolidate/>
  <mergeCells count="5">
    <mergeCell ref="D5:E5"/>
    <mergeCell ref="F5:G5"/>
    <mergeCell ref="H5:I5"/>
    <mergeCell ref="J5:K5"/>
    <mergeCell ref="A5:A6"/>
  </mergeCell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gen_sched">
                <anchor moveWithCells="1" sizeWithCells="1">
                  <from>
                    <xdr:col>0</xdr:col>
                    <xdr:colOff>312420</xdr:colOff>
                    <xdr:row>0</xdr:row>
                    <xdr:rowOff>106680</xdr:rowOff>
                  </from>
                  <to>
                    <xdr:col>2</xdr:col>
                    <xdr:colOff>533400</xdr:colOff>
                    <xdr:row>1</xdr:row>
                    <xdr:rowOff>137160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3</vt:i4>
      </vt:variant>
      <vt:variant>
        <vt:lpstr>Named Ranges</vt:lpstr>
      </vt:variant>
      <vt:variant>
        <vt:i4>9</vt:i4>
      </vt:variant>
    </vt:vector>
  </HeadingPairs>
  <TitlesOfParts>
    <vt:vector size="12" baseType="lpstr">
      <vt:lpstr>BeamSum</vt:lpstr>
      <vt:lpstr>Sheet1</vt:lpstr>
      <vt:lpstr>sched</vt:lpstr>
      <vt:lpstr>clrCover</vt:lpstr>
      <vt:lpstr>fc</vt:lpstr>
      <vt:lpstr>fy</vt:lpstr>
      <vt:lpstr>minSpac</vt:lpstr>
      <vt:lpstr>phi</vt:lpstr>
      <vt:lpstr>phiV</vt:lpstr>
      <vt:lpstr>phiVc</vt:lpstr>
      <vt:lpstr>rhoMax</vt:lpstr>
      <vt:lpstr>rhoMin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GiulianoDiEnrico</dc:creator>
  <cp:lastModifiedBy>GiulianoDiEnrico</cp:lastModifiedBy>
  <dcterms:created xsi:type="dcterms:W3CDTF">2019-08-07T08:04:26Z</dcterms:created>
  <dcterms:modified xsi:type="dcterms:W3CDTF">2019-08-16T11:43:31Z</dcterms:modified>
</cp:coreProperties>
</file>